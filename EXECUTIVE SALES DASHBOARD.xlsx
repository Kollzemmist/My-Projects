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13_ncr:1_{82D50DCB-E7A3-4D70-81B7-FBE957F9279B}" xr6:coauthVersionLast="47" xr6:coauthVersionMax="47" xr10:uidLastSave="{00000000-0000-0000-0000-000000000000}"/>
  <bookViews>
    <workbookView xWindow="-108" yWindow="-108" windowWidth="23256" windowHeight="12456" activeTab="4" xr2:uid="{6B8E9A28-49CB-41E0-8554-4DF716B84592}"/>
  </bookViews>
  <sheets>
    <sheet name="Sheet3" sheetId="4" r:id="rId1"/>
    <sheet name="Sheet4" sheetId="5" r:id="rId2"/>
    <sheet name="product-sales-data (1)" sheetId="2" r:id="rId3"/>
    <sheet name="Pivot Table" sheetId="3" r:id="rId4"/>
    <sheet name="Dashboard" sheetId="6" r:id="rId5"/>
  </sheets>
  <definedNames>
    <definedName name="_xlcn.WorksheetConnection_Book1product_sales_data__11" hidden="1">product_sales_data__1[]</definedName>
    <definedName name="ExternalData_1" localSheetId="2" hidden="1">'product-sales-data (1)'!$A$1:$T$582</definedName>
    <definedName name="ExternalData_1" localSheetId="0" hidden="1">Sheet3!$A$3:$V$584</definedName>
    <definedName name="ExternalData_1" localSheetId="1" hidden="1">Sheet4!$A$3:$V$292</definedName>
    <definedName name="Slicer_OrderDate__Year">#N/A</definedName>
    <definedName name="Slicer_StoreLocation">#N/A</definedName>
    <definedName name="Timeline_OrderDate">#N/A</definedName>
  </definedNames>
  <calcPr calcId="191029"/>
  <pivotCaches>
    <pivotCache cacheId="1013" r:id="rId6"/>
    <pivotCache cacheId="1225" r:id="rId7"/>
    <pivotCache cacheId="1228" r:id="rId8"/>
    <pivotCache cacheId="1231" r:id="rId9"/>
    <pivotCache cacheId="1234" r:id="rId10"/>
    <pivotCache cacheId="1237" r:id="rId11"/>
    <pivotCache cacheId="1240" r:id="rId12"/>
    <pivotCache cacheId="1243" r:id="rId13"/>
    <pivotCache cacheId="1246" r:id="rId14"/>
    <pivotCache cacheId="1249" r:id="rId15"/>
    <pivotCache cacheId="1252" r:id="rId16"/>
    <pivotCache cacheId="1255" r:id="rId17"/>
    <pivotCache cacheId="1258" r:id="rId18"/>
    <pivotCache cacheId="1261" r:id="rId19"/>
    <pivotCache cacheId="1264" r:id="rId20"/>
  </pivotCaches>
  <extLst>
    <ext xmlns:x14="http://schemas.microsoft.com/office/spreadsheetml/2009/9/main" uri="{876F7934-8845-4945-9796-88D515C7AA90}">
      <x14:pivotCaches>
        <pivotCache cacheId="925"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88"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sales_data__1" name="product_sales_data__1" connection="WorksheetConnection_Book1!product_sales_data__1"/>
        </x15:modelTables>
        <x15:extLst>
          <ext xmlns:x16="http://schemas.microsoft.com/office/spreadsheetml/2014/11/main" uri="{9835A34E-60A6-4A7C-AAB8-D5F71C897F49}">
            <x16:modelTimeGroupings>
              <x16:modelTimeGrouping tableName="product_sales_data__1"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20" i="3" l="1"/>
  <c r="Y21" i="3"/>
  <c r="Y16" i="3"/>
  <c r="Y17" i="3"/>
  <c r="Y18" i="3"/>
  <c r="Y19" i="3"/>
  <c r="Y15" i="3"/>
  <c r="J21" i="3"/>
  <c r="K21" i="3" s="1"/>
  <c r="B10" i="3"/>
  <c r="C10" i="3"/>
  <c r="D10" i="3"/>
  <c r="E10" i="3"/>
  <c r="A10" i="3"/>
  <c r="S24" i="3"/>
  <c r="S23" i="3"/>
  <c r="S22" i="3"/>
  <c r="S21" i="3"/>
  <c r="S20" i="3"/>
  <c r="AF6" i="3"/>
  <c r="AF7" i="3"/>
  <c r="AF8" i="3"/>
  <c r="AF9" i="3"/>
  <c r="AF10" i="3"/>
  <c r="AF11" i="3"/>
  <c r="AF5" i="3"/>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AG5" i="3" l="1"/>
  <c r="AG8" i="3"/>
  <c r="AH7" i="3"/>
  <c r="AH6" i="3"/>
  <c r="AH11" i="3"/>
  <c r="AG9" i="3"/>
  <c r="AG7" i="3"/>
  <c r="AH9" i="3"/>
  <c r="AG11" i="3"/>
  <c r="AH10" i="3"/>
  <c r="AG10" i="3"/>
  <c r="AG6" i="3"/>
  <c r="AH5" i="3"/>
  <c r="AH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B017C6-0C7F-4795-9EE3-5E242B973EBA}" keepAlive="1" name="ModelConnection_ExternalData_1" description="Data Model" type="5" refreshedVersion="8" minRefreshableVersion="5" saveData="1">
    <dbPr connection="Data Model Connection" command="DRILLTHROUGH MAXROWS 1000 SELECT FROM [Model] WHERE ([Measures].[Revenue YOY%]) RETURN [$product_sales_data__1].[Date],[$product_sales_data__1].[Region],[$product_sales_data__1].[Product],[$product_sales_data__1].[Quantity],[$product_sales_data__1].[UnitPrice],[$product_sales_data__1].[StoreLocation],[$product_sales_data__1].[CustomerType],[$product_sales_data__1].[Discount],[$product_sales_data__1].[Salesperson],[$product_sales_data__1].[TotalPrice],[$product_sales_data__1].[PaymentMethod],[$product_sales_data__1].[Promotion],[$product_sales_data__1].[Returned],[$product_sales_data__1].[OrderID],[$product_sales_data__1].[CustomerName],[$product_sales_data__1].[ShippingCost],[$product_sales_data__1].[OrderDate],[$product_sales_data__1].[DeliveryDate],[$product_sales_data__1].[RegionManager],[$product_sales_data__1].[Order Month],[$product_sales_data__1].[Gross Revenue],[$product_sales_data__1].[Total Discount]" commandType="4"/>
    <extLst>
      <ext xmlns:x15="http://schemas.microsoft.com/office/spreadsheetml/2010/11/main" uri="{DE250136-89BD-433C-8126-D09CA5730AF9}">
        <x15:connection id="" model="1"/>
      </ext>
    </extLst>
  </connection>
  <connection id="2" xr16:uid="{825713CE-9B03-498A-A400-D335075DE697}" keepAlive="1" name="ModelConnection_ExternalData_11" description="Data Model" type="5" refreshedVersion="8" minRefreshableVersion="5" saveData="1">
    <dbPr connection="Data Model Connection" command="DRILLTHROUGH MAXROWS 1000 SELECT FROM [Model] WHERE (([Measures].[Revennue],[product_sales_data__1].[CustomerType].&amp;[Retail])) RETURN [$product_sales_data__1].[Date],[$product_sales_data__1].[Region],[$product_sales_data__1].[Product],[$product_sales_data__1].[Quantity],[$product_sales_data__1].[UnitPrice],[$product_sales_data__1].[StoreLocation],[$product_sales_data__1].[CustomerType],[$product_sales_data__1].[Discount],[$product_sales_data__1].[Salesperson],[$product_sales_data__1].[TotalPrice],[$product_sales_data__1].[PaymentMethod],[$product_sales_data__1].[Promotion],[$product_sales_data__1].[Returned],[$product_sales_data__1].[OrderID],[$product_sales_data__1].[CustomerName],[$product_sales_data__1].[ShippingCost],[$product_sales_data__1].[OrderDate],[$product_sales_data__1].[DeliveryDate],[$product_sales_data__1].[RegionManager],[$product_sales_data__1].[Order Month],[$product_sales_data__1].[Gross Revenue],[$product_sales_data__1].[Total Discount]" commandType="4"/>
    <extLst>
      <ext xmlns:x15="http://schemas.microsoft.com/office/spreadsheetml/2010/11/main" uri="{DE250136-89BD-433C-8126-D09CA5730AF9}">
        <x15:connection id="" model="1"/>
      </ext>
    </extLst>
  </connection>
  <connection id="3" xr16:uid="{4895466B-E086-416D-A8C9-F38262CE81FD}" keepAlive="1" name="Query - product-sales-data (1)" description="Connection to the 'product-sales-data (1)' query in the workbook." type="5" refreshedVersion="8" background="1" saveData="1">
    <dbPr connection="Provider=Microsoft.Mashup.OleDb.1;Data Source=$Workbook$;Location=&quot;product-sales-data (1)&quot;;Extended Properties=&quot;&quot;" command="SELECT * FROM [product-sales-data (1)]"/>
  </connection>
  <connection id="4" xr16:uid="{106B65F6-4F98-4CE3-A415-25CEB66F12D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A24DE68E-BBE4-4CFD-8282-4C5C9C16E5AC}" name="WorksheetConnection_Book1!product_sales_data__1" type="102" refreshedVersion="8" minRefreshableVersion="5">
    <extLst>
      <ext xmlns:x15="http://schemas.microsoft.com/office/spreadsheetml/2010/11/main" uri="{DE250136-89BD-433C-8126-D09CA5730AF9}">
        <x15:connection id="product_sales_data__1" autoDelete="1">
          <x15:rangePr sourceName="_xlcn.WorksheetConnection_Book1product_sales_data__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<sst xmlns="http://schemas.openxmlformats.org/spreadsheetml/2006/main" count="19108" uniqueCount="1776">
  <si>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</si>
  <si>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</si>
  <si>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</si>
  <si>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</si>
  <si>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</si>
  <si>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</si>
  <si>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</si>
  <si>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</si>
  <si>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</si>
  <si>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</si>
  <si>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</si>
  <si>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</si>
  <si>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</si>
  <si>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</si>
  <si>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</si>
  <si>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</si>
  <si>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</si>
  <si>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</si>
  <si>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</si>
  <si>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Order Month</t>
  </si>
  <si>
    <t>10/05/2023</t>
  </si>
  <si>
    <t>North</t>
  </si>
  <si>
    <t>Desk</t>
  </si>
  <si>
    <t>Store B</t>
  </si>
  <si>
    <t>Wholesale</t>
  </si>
  <si>
    <t>Alice</t>
  </si>
  <si>
    <t>Online</t>
  </si>
  <si>
    <t>WINTER15</t>
  </si>
  <si>
    <t>REG100002</t>
  </si>
  <si>
    <t>Cust 5998</t>
  </si>
  <si>
    <t>19/05/2023</t>
  </si>
  <si>
    <t>Ryan</t>
  </si>
  <si>
    <t>Oct</t>
  </si>
  <si>
    <t>11/01/2023</t>
  </si>
  <si>
    <t>South</t>
  </si>
  <si>
    <t>Chair</t>
  </si>
  <si>
    <t>Store C</t>
  </si>
  <si>
    <t>Retail</t>
  </si>
  <si>
    <t>Debit Card</t>
  </si>
  <si>
    <t>REG100006</t>
  </si>
  <si>
    <t>Cust 7887</t>
  </si>
  <si>
    <t>14/01/2023</t>
  </si>
  <si>
    <t>Sophie</t>
  </si>
  <si>
    <t>Nov</t>
  </si>
  <si>
    <t>09/01/2023</t>
  </si>
  <si>
    <t>Central</t>
  </si>
  <si>
    <t>Carlos</t>
  </si>
  <si>
    <t>Cash</t>
  </si>
  <si>
    <t/>
  </si>
  <si>
    <t>REG100007</t>
  </si>
  <si>
    <t>Cust 5301</t>
  </si>
  <si>
    <t>Cameron</t>
  </si>
  <si>
    <t>Sep</t>
  </si>
  <si>
    <t>05/03/2025</t>
  </si>
  <si>
    <t>West</t>
  </si>
  <si>
    <t>Store D</t>
  </si>
  <si>
    <t>Frank</t>
  </si>
  <si>
    <t>Gift Card</t>
  </si>
  <si>
    <t>SAVE10</t>
  </si>
  <si>
    <t>REG100009</t>
  </si>
  <si>
    <t>Cust 3732</t>
  </si>
  <si>
    <t>13/03/2025</t>
  </si>
  <si>
    <t>Wendy</t>
  </si>
  <si>
    <t>May</t>
  </si>
  <si>
    <t>10/04/2024</t>
  </si>
  <si>
    <t>Eva</t>
  </si>
  <si>
    <t>REG100010</t>
  </si>
  <si>
    <t>Cust 1462</t>
  </si>
  <si>
    <t>17/04/2024</t>
  </si>
  <si>
    <t>12/07/2024</t>
  </si>
  <si>
    <t>East</t>
  </si>
  <si>
    <t>Phone</t>
  </si>
  <si>
    <t>REG100011</t>
  </si>
  <si>
    <t>Cust 4330</t>
  </si>
  <si>
    <t>18/07/2024</t>
  </si>
  <si>
    <t>Eric</t>
  </si>
  <si>
    <t>Dec</t>
  </si>
  <si>
    <t>08/12/2024</t>
  </si>
  <si>
    <t>Diana</t>
  </si>
  <si>
    <t>REG100014</t>
  </si>
  <si>
    <t>Cust 4548</t>
  </si>
  <si>
    <t>15/12/2024</t>
  </si>
  <si>
    <t>Aug</t>
  </si>
  <si>
    <t>11/05/2025</t>
  </si>
  <si>
    <t>Store A</t>
  </si>
  <si>
    <t>FREESHIP</t>
  </si>
  <si>
    <t>REG100015</t>
  </si>
  <si>
    <t>Cust 7037</t>
  </si>
  <si>
    <t>17/05/2025</t>
  </si>
  <si>
    <t>05/06/2025</t>
  </si>
  <si>
    <t>REG100020</t>
  </si>
  <si>
    <t>Cust 4199</t>
  </si>
  <si>
    <t>08/06/2025</t>
  </si>
  <si>
    <t>03/03/2023</t>
  </si>
  <si>
    <t>Bob</t>
  </si>
  <si>
    <t>REG100021</t>
  </si>
  <si>
    <t>Cust 4186</t>
  </si>
  <si>
    <t>08/03/2023</t>
  </si>
  <si>
    <t>Mar</t>
  </si>
  <si>
    <t>06/08/2023</t>
  </si>
  <si>
    <t>Laptop</t>
  </si>
  <si>
    <t>Credit Card</t>
  </si>
  <si>
    <t>REG100023</t>
  </si>
  <si>
    <t>Cust 4638</t>
  </si>
  <si>
    <t>14/08/2023</t>
  </si>
  <si>
    <t>Jun</t>
  </si>
  <si>
    <t>REG100027</t>
  </si>
  <si>
    <t>Cust 6880</t>
  </si>
  <si>
    <t>09/05/2023</t>
  </si>
  <si>
    <t>Tablet</t>
  </si>
  <si>
    <t>REG100029</t>
  </si>
  <si>
    <t>Cust 7072</t>
  </si>
  <si>
    <t>17/05/2023</t>
  </si>
  <si>
    <t>07/12/2024</t>
  </si>
  <si>
    <t>REG100030</t>
  </si>
  <si>
    <t>Cust 7201</t>
  </si>
  <si>
    <t>14/12/2024</t>
  </si>
  <si>
    <t>Jul</t>
  </si>
  <si>
    <t>09/03/2025</t>
  </si>
  <si>
    <t>REG100032</t>
  </si>
  <si>
    <t>Cust 2205</t>
  </si>
  <si>
    <t>15/03/2025</t>
  </si>
  <si>
    <t>05/04/2023</t>
  </si>
  <si>
    <t>REG100033</t>
  </si>
  <si>
    <t>Cust 6403</t>
  </si>
  <si>
    <t>11/04/2023</t>
  </si>
  <si>
    <t>08/05/2025</t>
  </si>
  <si>
    <t>Monitor</t>
  </si>
  <si>
    <t>REG100034</t>
  </si>
  <si>
    <t>Cust 3953</t>
  </si>
  <si>
    <t>12/05/2025</t>
  </si>
  <si>
    <t>03/09/2023</t>
  </si>
  <si>
    <t>REG100035</t>
  </si>
  <si>
    <t>Cust 7902</t>
  </si>
  <si>
    <t>11/09/2023</t>
  </si>
  <si>
    <t>09/06/2023</t>
  </si>
  <si>
    <t>REG100039</t>
  </si>
  <si>
    <t>Cust 6468</t>
  </si>
  <si>
    <t>17/06/2023</t>
  </si>
  <si>
    <t>10/08/2023</t>
  </si>
  <si>
    <t>Printer</t>
  </si>
  <si>
    <t>REG100040</t>
  </si>
  <si>
    <t>Cust 5312</t>
  </si>
  <si>
    <t>04/06/2024</t>
  </si>
  <si>
    <t>REG100045</t>
  </si>
  <si>
    <t>Cust 5533</t>
  </si>
  <si>
    <t>14/06/2024</t>
  </si>
  <si>
    <t>Apr</t>
  </si>
  <si>
    <t>03/02/2025</t>
  </si>
  <si>
    <t>REG100046</t>
  </si>
  <si>
    <t>Cust 6362</t>
  </si>
  <si>
    <t>05/02/2025</t>
  </si>
  <si>
    <t>09/01/2024</t>
  </si>
  <si>
    <t>REG100047</t>
  </si>
  <si>
    <t>Cust 4826</t>
  </si>
  <si>
    <t>13/01/2024</t>
  </si>
  <si>
    <t>06/09/2024</t>
  </si>
  <si>
    <t>REG100049</t>
  </si>
  <si>
    <t>Cust 4005</t>
  </si>
  <si>
    <t>13/09/2024</t>
  </si>
  <si>
    <t>12/09/2024</t>
  </si>
  <si>
    <t>REG100052</t>
  </si>
  <si>
    <t>Cust 5702</t>
  </si>
  <si>
    <t>18/09/2024</t>
  </si>
  <si>
    <t>05/01/2024</t>
  </si>
  <si>
    <t>REG100053</t>
  </si>
  <si>
    <t>Cust 4944</t>
  </si>
  <si>
    <t>15/01/2024</t>
  </si>
  <si>
    <t>11/06/2025</t>
  </si>
  <si>
    <t>REG100055</t>
  </si>
  <si>
    <t>Cust 3638</t>
  </si>
  <si>
    <t>21/06/2025</t>
  </si>
  <si>
    <t>06/03/2025</t>
  </si>
  <si>
    <t>REG100056</t>
  </si>
  <si>
    <t>Cust 9973</t>
  </si>
  <si>
    <t>12/06/2023</t>
  </si>
  <si>
    <t>REG100061</t>
  </si>
  <si>
    <t>Cust 3903</t>
  </si>
  <si>
    <t>21/06/2023</t>
  </si>
  <si>
    <t>09/12/2023</t>
  </si>
  <si>
    <t>REG100064</t>
  </si>
  <si>
    <t>Cust 6747</t>
  </si>
  <si>
    <t>12/12/2023</t>
  </si>
  <si>
    <t>01/10/2023</t>
  </si>
  <si>
    <t>REG100065</t>
  </si>
  <si>
    <t>Cust 8330</t>
  </si>
  <si>
    <t>05/10/2023</t>
  </si>
  <si>
    <t>Jan</t>
  </si>
  <si>
    <t>03/03/2024</t>
  </si>
  <si>
    <t>REG100070</t>
  </si>
  <si>
    <t>Cust 1907</t>
  </si>
  <si>
    <t>12/03/2024</t>
  </si>
  <si>
    <t>11/02/2023</t>
  </si>
  <si>
    <t>REG100071</t>
  </si>
  <si>
    <t>Cust 4639</t>
  </si>
  <si>
    <t>14/02/2023</t>
  </si>
  <si>
    <t>02/01/2024</t>
  </si>
  <si>
    <t>REG100079</t>
  </si>
  <si>
    <t>Cust 6597</t>
  </si>
  <si>
    <t>Feb</t>
  </si>
  <si>
    <t>03/05/2024</t>
  </si>
  <si>
    <t>REG100081</t>
  </si>
  <si>
    <t>Cust 2883</t>
  </si>
  <si>
    <t>12/05/2024</t>
  </si>
  <si>
    <t>05/01/2023</t>
  </si>
  <si>
    <t>REG100083</t>
  </si>
  <si>
    <t>Cust 1231</t>
  </si>
  <si>
    <t>12/01/2025</t>
  </si>
  <si>
    <t>REG100089</t>
  </si>
  <si>
    <t>Cust 3273</t>
  </si>
  <si>
    <t>21/01/2025</t>
  </si>
  <si>
    <t>01/03/2025</t>
  </si>
  <si>
    <t>REG100091</t>
  </si>
  <si>
    <t>Cust 4439</t>
  </si>
  <si>
    <t>REG100101</t>
  </si>
  <si>
    <t>Cust 3845</t>
  </si>
  <si>
    <t>08/04/2023</t>
  </si>
  <si>
    <t>07/07/2024</t>
  </si>
  <si>
    <t>REG100103</t>
  </si>
  <si>
    <t>Cust 1711</t>
  </si>
  <si>
    <t>17/07/2024</t>
  </si>
  <si>
    <t>04/10/2023</t>
  </si>
  <si>
    <t>REG100105</t>
  </si>
  <si>
    <t>Cust 4233</t>
  </si>
  <si>
    <t>11/10/2023</t>
  </si>
  <si>
    <t>09/06/2025</t>
  </si>
  <si>
    <t>REG100106</t>
  </si>
  <si>
    <t>Cust 4121</t>
  </si>
  <si>
    <t>16/06/2025</t>
  </si>
  <si>
    <t>12/06/2025</t>
  </si>
  <si>
    <t>REG100107</t>
  </si>
  <si>
    <t>Cust 9092</t>
  </si>
  <si>
    <t>14/06/2025</t>
  </si>
  <si>
    <t>11/08/2024</t>
  </si>
  <si>
    <t>REG100117</t>
  </si>
  <si>
    <t>Cust 2015</t>
  </si>
  <si>
    <t>13/08/2024</t>
  </si>
  <si>
    <t>01/12/2023</t>
  </si>
  <si>
    <t>REG100118</t>
  </si>
  <si>
    <t>Cust 6895</t>
  </si>
  <si>
    <t>08/12/2023</t>
  </si>
  <si>
    <t>REG100119</t>
  </si>
  <si>
    <t>Cust 1797</t>
  </si>
  <si>
    <t>11/08/2023</t>
  </si>
  <si>
    <t>07/03/2024</t>
  </si>
  <si>
    <t>REG100121</t>
  </si>
  <si>
    <t>Cust 1815</t>
  </si>
  <si>
    <t>13/03/2024</t>
  </si>
  <si>
    <t>REG100129</t>
  </si>
  <si>
    <t>Cust 4034</t>
  </si>
  <si>
    <t>15/06/2025</t>
  </si>
  <si>
    <t>09/08/2023</t>
  </si>
  <si>
    <t>REG100140</t>
  </si>
  <si>
    <t>Cust 5847</t>
  </si>
  <si>
    <t>REG100143</t>
  </si>
  <si>
    <t>Cust 8905</t>
  </si>
  <si>
    <t>20/06/2025</t>
  </si>
  <si>
    <t>REG100148</t>
  </si>
  <si>
    <t>Cust 5895</t>
  </si>
  <si>
    <t>21/05/2025</t>
  </si>
  <si>
    <t>REG100149</t>
  </si>
  <si>
    <t>Cust 9691</t>
  </si>
  <si>
    <t>05/03/2024</t>
  </si>
  <si>
    <t>08/11/2024</t>
  </si>
  <si>
    <t>REG100154</t>
  </si>
  <si>
    <t>Cust 4358</t>
  </si>
  <si>
    <t>11/11/2024</t>
  </si>
  <si>
    <t>REG100159</t>
  </si>
  <si>
    <t>Cust 5668</t>
  </si>
  <si>
    <t>15/04/2024</t>
  </si>
  <si>
    <t>11/03/2023</t>
  </si>
  <si>
    <t>REG100161</t>
  </si>
  <si>
    <t>Cust 4438</t>
  </si>
  <si>
    <t>18/03/2023</t>
  </si>
  <si>
    <t>REG100166</t>
  </si>
  <si>
    <t>Cust 9589</t>
  </si>
  <si>
    <t>08/01/2023</t>
  </si>
  <si>
    <t>12/02/2025</t>
  </si>
  <si>
    <t>REG100170</t>
  </si>
  <si>
    <t>Cust 2017</t>
  </si>
  <si>
    <t>19/02/2025</t>
  </si>
  <si>
    <t>03/01/2024</t>
  </si>
  <si>
    <t>REG100171</t>
  </si>
  <si>
    <t>Cust 3446</t>
  </si>
  <si>
    <t>07/01/2024</t>
  </si>
  <si>
    <t>03/02/2023</t>
  </si>
  <si>
    <t>REG100172</t>
  </si>
  <si>
    <t>Cust 4877</t>
  </si>
  <si>
    <t>13/02/2023</t>
  </si>
  <si>
    <t>01/03/2024</t>
  </si>
  <si>
    <t>REG100173</t>
  </si>
  <si>
    <t>Cust 9112</t>
  </si>
  <si>
    <t>08/03/2024</t>
  </si>
  <si>
    <t>10/04/2023</t>
  </si>
  <si>
    <t>REG100176</t>
  </si>
  <si>
    <t>Cust 3690</t>
  </si>
  <si>
    <t>14/04/2023</t>
  </si>
  <si>
    <t>04/03/2025</t>
  </si>
  <si>
    <t>REG100177</t>
  </si>
  <si>
    <t>Cust 2893</t>
  </si>
  <si>
    <t>10/03/2025</t>
  </si>
  <si>
    <t>11/07/2024</t>
  </si>
  <si>
    <t>REG100178</t>
  </si>
  <si>
    <t>Cust 5602</t>
  </si>
  <si>
    <t>20/07/2024</t>
  </si>
  <si>
    <t>06/11/2024</t>
  </si>
  <si>
    <t>REG100181</t>
  </si>
  <si>
    <t>Cust 6315</t>
  </si>
  <si>
    <t>13/11/2024</t>
  </si>
  <si>
    <t>01/04/2025</t>
  </si>
  <si>
    <t>REG100182</t>
  </si>
  <si>
    <t>Cust 1224</t>
  </si>
  <si>
    <t>04/04/2025</t>
  </si>
  <si>
    <t>01/07/2024</t>
  </si>
  <si>
    <t>REG100183</t>
  </si>
  <si>
    <t>Cust 7182</t>
  </si>
  <si>
    <t>06/07/2024</t>
  </si>
  <si>
    <t>REG100184</t>
  </si>
  <si>
    <t>Cust 7901</t>
  </si>
  <si>
    <t>18/12/2023</t>
  </si>
  <si>
    <t>08/02/2023</t>
  </si>
  <si>
    <t>REG100187</t>
  </si>
  <si>
    <t>Cust 2471</t>
  </si>
  <si>
    <t>16/02/2023</t>
  </si>
  <si>
    <t>REG100192</t>
  </si>
  <si>
    <t>Cust 2326</t>
  </si>
  <si>
    <t>02/02/2025</t>
  </si>
  <si>
    <t>REG100197</t>
  </si>
  <si>
    <t>Cust 3884</t>
  </si>
  <si>
    <t>06/02/2025</t>
  </si>
  <si>
    <t>REG100198</t>
  </si>
  <si>
    <t>Cust 5739</t>
  </si>
  <si>
    <t>20/04/2023</t>
  </si>
  <si>
    <t>08/07/2024</t>
  </si>
  <si>
    <t>REG100199</t>
  </si>
  <si>
    <t>Cust 9707</t>
  </si>
  <si>
    <t>13/07/2024</t>
  </si>
  <si>
    <t>REG100200</t>
  </si>
  <si>
    <t>Cust 9288</t>
  </si>
  <si>
    <t>09/04/2024</t>
  </si>
  <si>
    <t>REG100201</t>
  </si>
  <si>
    <t>Cust 1216</t>
  </si>
  <si>
    <t>16/04/2024</t>
  </si>
  <si>
    <t>02/09/2024</t>
  </si>
  <si>
    <t>REG100203</t>
  </si>
  <si>
    <t>Cust 7171</t>
  </si>
  <si>
    <t>02/04/2025</t>
  </si>
  <si>
    <t>REG100205</t>
  </si>
  <si>
    <t>Cust 9697</t>
  </si>
  <si>
    <t>08/04/2025</t>
  </si>
  <si>
    <t>07/08/2024</t>
  </si>
  <si>
    <t>REG100207</t>
  </si>
  <si>
    <t>Cust 2004</t>
  </si>
  <si>
    <t>17/08/2024</t>
  </si>
  <si>
    <t>12/08/2023</t>
  </si>
  <si>
    <t>REG100209</t>
  </si>
  <si>
    <t>Cust 9837</t>
  </si>
  <si>
    <t>15/08/2023</t>
  </si>
  <si>
    <t>01/09/2023</t>
  </si>
  <si>
    <t>REG100213</t>
  </si>
  <si>
    <t>Cust 5220</t>
  </si>
  <si>
    <t>07/09/2023</t>
  </si>
  <si>
    <t>05/08/2024</t>
  </si>
  <si>
    <t>REG100214</t>
  </si>
  <si>
    <t>Cust 3386</t>
  </si>
  <si>
    <t>03/06/2024</t>
  </si>
  <si>
    <t>REG100218</t>
  </si>
  <si>
    <t>Cust 9683</t>
  </si>
  <si>
    <t>12/06/2024</t>
  </si>
  <si>
    <t>08/11/2023</t>
  </si>
  <si>
    <t>REG100219</t>
  </si>
  <si>
    <t>Cust 5416</t>
  </si>
  <si>
    <t>15/11/2023</t>
  </si>
  <si>
    <t>REG100223</t>
  </si>
  <si>
    <t>Cust 6109</t>
  </si>
  <si>
    <t>10/04/2025</t>
  </si>
  <si>
    <t>REG100224</t>
  </si>
  <si>
    <t>Cust 5234</t>
  </si>
  <si>
    <t>18/06/2025</t>
  </si>
  <si>
    <t>07/07/2023</t>
  </si>
  <si>
    <t>REG100228</t>
  </si>
  <si>
    <t>Cust 7137</t>
  </si>
  <si>
    <t>17/07/2023</t>
  </si>
  <si>
    <t>05/10/2024</t>
  </si>
  <si>
    <t>REG100229</t>
  </si>
  <si>
    <t>Cust 4627</t>
  </si>
  <si>
    <t>09/10/2024</t>
  </si>
  <si>
    <t>REG100231</t>
  </si>
  <si>
    <t>Cust 2779</t>
  </si>
  <si>
    <t>11/11/2023</t>
  </si>
  <si>
    <t>REG100235</t>
  </si>
  <si>
    <t>Cust 4173</t>
  </si>
  <si>
    <t>16/11/2023</t>
  </si>
  <si>
    <t>01/04/2024</t>
  </si>
  <si>
    <t>REG100236</t>
  </si>
  <si>
    <t>Cust 7607</t>
  </si>
  <si>
    <t>REG100239</t>
  </si>
  <si>
    <t>Cust 3002</t>
  </si>
  <si>
    <t>16/11/2024</t>
  </si>
  <si>
    <t>04/11/2024</t>
  </si>
  <si>
    <t>REG100240</t>
  </si>
  <si>
    <t>Cust 3237</t>
  </si>
  <si>
    <t>01/01/2023</t>
  </si>
  <si>
    <t>REG100241</t>
  </si>
  <si>
    <t>Cust 6437</t>
  </si>
  <si>
    <t>02/05/2023</t>
  </si>
  <si>
    <t>REG100243</t>
  </si>
  <si>
    <t>Cust 8678</t>
  </si>
  <si>
    <t>REG100249</t>
  </si>
  <si>
    <t>Cust 2279</t>
  </si>
  <si>
    <t>01/06/2025</t>
  </si>
  <si>
    <t>REG100250</t>
  </si>
  <si>
    <t>Cust 4689</t>
  </si>
  <si>
    <t>10/06/2025</t>
  </si>
  <si>
    <t>10/08/2024</t>
  </si>
  <si>
    <t>REG100252</t>
  </si>
  <si>
    <t>Cust 2724</t>
  </si>
  <si>
    <t>02/03/2025</t>
  </si>
  <si>
    <t>REG100253</t>
  </si>
  <si>
    <t>Cust 2823</t>
  </si>
  <si>
    <t>01/01/2024</t>
  </si>
  <si>
    <t>REG100257</t>
  </si>
  <si>
    <t>Cust 1015</t>
  </si>
  <si>
    <t>08/01/2024</t>
  </si>
  <si>
    <t>10/06/2023</t>
  </si>
  <si>
    <t>REG100260</t>
  </si>
  <si>
    <t>Cust 2330</t>
  </si>
  <si>
    <t>18/06/2023</t>
  </si>
  <si>
    <t>07/02/2023</t>
  </si>
  <si>
    <t>REG100264</t>
  </si>
  <si>
    <t>Cust 4127</t>
  </si>
  <si>
    <t>REG100267</t>
  </si>
  <si>
    <t>Cust 6957</t>
  </si>
  <si>
    <t>02/02/2023</t>
  </si>
  <si>
    <t>REG100268</t>
  </si>
  <si>
    <t>Cust 9822</t>
  </si>
  <si>
    <t>12/02/2023</t>
  </si>
  <si>
    <t>06/02/2023</t>
  </si>
  <si>
    <t>REG100272</t>
  </si>
  <si>
    <t>Cust 9816</t>
  </si>
  <si>
    <t>15/02/2023</t>
  </si>
  <si>
    <t>REG100274</t>
  </si>
  <si>
    <t>Cust 4990</t>
  </si>
  <si>
    <t>16/03/2025</t>
  </si>
  <si>
    <t>REG100277</t>
  </si>
  <si>
    <t>Cust 5273</t>
  </si>
  <si>
    <t>13/04/2024</t>
  </si>
  <si>
    <t>REG100285</t>
  </si>
  <si>
    <t>Cust 4002</t>
  </si>
  <si>
    <t>15/08/2024</t>
  </si>
  <si>
    <t>08/09/2023</t>
  </si>
  <si>
    <t>REG100289</t>
  </si>
  <si>
    <t>Cust 4117</t>
  </si>
  <si>
    <t>15/09/2023</t>
  </si>
  <si>
    <t>REG100292</t>
  </si>
  <si>
    <t>Cust 8704</t>
  </si>
  <si>
    <t>20/01/2023</t>
  </si>
  <si>
    <t>04/07/2023</t>
  </si>
  <si>
    <t>REG100293</t>
  </si>
  <si>
    <t>Cust 3528</t>
  </si>
  <si>
    <t>08/03/2025</t>
  </si>
  <si>
    <t>REG100294</t>
  </si>
  <si>
    <t>Cust 3907</t>
  </si>
  <si>
    <t>18/03/2025</t>
  </si>
  <si>
    <t>10/02/2025</t>
  </si>
  <si>
    <t>REG100295</t>
  </si>
  <si>
    <t>Cust 9005</t>
  </si>
  <si>
    <t>09/11/2023</t>
  </si>
  <si>
    <t>REG100297</t>
  </si>
  <si>
    <t>Cust 2122</t>
  </si>
  <si>
    <t>03/11/2023</t>
  </si>
  <si>
    <t>REG100302</t>
  </si>
  <si>
    <t>Cust 2194</t>
  </si>
  <si>
    <t>02/11/2024</t>
  </si>
  <si>
    <t>REG100306</t>
  </si>
  <si>
    <t>Cust 2529</t>
  </si>
  <si>
    <t>09/11/2024</t>
  </si>
  <si>
    <t>REG100308</t>
  </si>
  <si>
    <t>Cust 9069</t>
  </si>
  <si>
    <t>19/01/2023</t>
  </si>
  <si>
    <t>REG100309</t>
  </si>
  <si>
    <t>Cust 5858</t>
  </si>
  <si>
    <t>07/10/2024</t>
  </si>
  <si>
    <t>REG100312</t>
  </si>
  <si>
    <t>Cust 9397</t>
  </si>
  <si>
    <t>17/10/2024</t>
  </si>
  <si>
    <t>12/04/2023</t>
  </si>
  <si>
    <t>REG100313</t>
  </si>
  <si>
    <t>Cust 4614</t>
  </si>
  <si>
    <t>15/04/2023</t>
  </si>
  <si>
    <t>06/11/2023</t>
  </si>
  <si>
    <t>REG100314</t>
  </si>
  <si>
    <t>Cust 1573</t>
  </si>
  <si>
    <t>10/10/2024</t>
  </si>
  <si>
    <t>REG100317</t>
  </si>
  <si>
    <t>Cust 5407</t>
  </si>
  <si>
    <t>16/10/2024</t>
  </si>
  <si>
    <t>05/02/2023</t>
  </si>
  <si>
    <t>REG100318</t>
  </si>
  <si>
    <t>Cust 9595</t>
  </si>
  <si>
    <t>04/08/2024</t>
  </si>
  <si>
    <t>REG100319</t>
  </si>
  <si>
    <t>Cust 3245</t>
  </si>
  <si>
    <t>14/08/2024</t>
  </si>
  <si>
    <t>REG100322</t>
  </si>
  <si>
    <t>Cust 4310</t>
  </si>
  <si>
    <t>07/06/2024</t>
  </si>
  <si>
    <t>06/05/2025</t>
  </si>
  <si>
    <t>REG100330</t>
  </si>
  <si>
    <t>Cust 3746</t>
  </si>
  <si>
    <t>10/05/2025</t>
  </si>
  <si>
    <t>08/02/2024</t>
  </si>
  <si>
    <t>REG100337</t>
  </si>
  <si>
    <t>Cust 5857</t>
  </si>
  <si>
    <t>11/02/2024</t>
  </si>
  <si>
    <t>01/06/2024</t>
  </si>
  <si>
    <t>REG100338</t>
  </si>
  <si>
    <t>Cust 6953</t>
  </si>
  <si>
    <t>REG100342</t>
  </si>
  <si>
    <t>Cust 9700</t>
  </si>
  <si>
    <t>09/12/2024</t>
  </si>
  <si>
    <t>05/08/2023</t>
  </si>
  <si>
    <t>REG100345</t>
  </si>
  <si>
    <t>Cust 6500</t>
  </si>
  <si>
    <t>REG100349</t>
  </si>
  <si>
    <t>Cust 3467</t>
  </si>
  <si>
    <t>14/09/2023</t>
  </si>
  <si>
    <t>REG100350</t>
  </si>
  <si>
    <t>Cust 5212</t>
  </si>
  <si>
    <t>21/12/2023</t>
  </si>
  <si>
    <t>04/05/2025</t>
  </si>
  <si>
    <t>REG100352</t>
  </si>
  <si>
    <t>Cust 5316</t>
  </si>
  <si>
    <t>07/05/2025</t>
  </si>
  <si>
    <t>03/05/2023</t>
  </si>
  <si>
    <t>REG100355</t>
  </si>
  <si>
    <t>Cust 9841</t>
  </si>
  <si>
    <t>06/05/2023</t>
  </si>
  <si>
    <t>REG100364</t>
  </si>
  <si>
    <t>Cust 3323</t>
  </si>
  <si>
    <t>11/03/2025</t>
  </si>
  <si>
    <t>REG100367</t>
  </si>
  <si>
    <t>Cust 6361</t>
  </si>
  <si>
    <t>08/08/2023</t>
  </si>
  <si>
    <t>11/09/2024</t>
  </si>
  <si>
    <t>REG100368</t>
  </si>
  <si>
    <t>Cust 5267</t>
  </si>
  <si>
    <t>19/09/2024</t>
  </si>
  <si>
    <t>08/01/2025</t>
  </si>
  <si>
    <t>REG100369</t>
  </si>
  <si>
    <t>Cust 9354</t>
  </si>
  <si>
    <t>12/08/2024</t>
  </si>
  <si>
    <t>REG100370</t>
  </si>
  <si>
    <t>Cust 9443</t>
  </si>
  <si>
    <t>01/02/2023</t>
  </si>
  <si>
    <t>REG100372</t>
  </si>
  <si>
    <t>Cust 1031</t>
  </si>
  <si>
    <t>09/02/2023</t>
  </si>
  <si>
    <t>REG100377</t>
  </si>
  <si>
    <t>Cust 6453</t>
  </si>
  <si>
    <t>REG100378</t>
  </si>
  <si>
    <t>Cust 4772</t>
  </si>
  <si>
    <t>11/06/2024</t>
  </si>
  <si>
    <t>01/06/2023</t>
  </si>
  <si>
    <t>REG100383</t>
  </si>
  <si>
    <t>Cust 8712</t>
  </si>
  <si>
    <t>06/06/2023</t>
  </si>
  <si>
    <t>07/01/2025</t>
  </si>
  <si>
    <t>REG100388</t>
  </si>
  <si>
    <t>Cust 8909</t>
  </si>
  <si>
    <t>10/01/2025</t>
  </si>
  <si>
    <t>REG100389</t>
  </si>
  <si>
    <t>Cust 4196</t>
  </si>
  <si>
    <t>11/02/2025</t>
  </si>
  <si>
    <t>REG100390</t>
  </si>
  <si>
    <t>Cust 4189</t>
  </si>
  <si>
    <t>04/04/2024</t>
  </si>
  <si>
    <t>REG100391</t>
  </si>
  <si>
    <t>Cust 7226</t>
  </si>
  <si>
    <t>03/07/2023</t>
  </si>
  <si>
    <t>REG100392</t>
  </si>
  <si>
    <t>Cust 5015</t>
  </si>
  <si>
    <t>06/07/2023</t>
  </si>
  <si>
    <t>09/04/2025</t>
  </si>
  <si>
    <t>REG100394</t>
  </si>
  <si>
    <t>Cust 7687</t>
  </si>
  <si>
    <t>19/04/2025</t>
  </si>
  <si>
    <t>05/11/2023</t>
  </si>
  <si>
    <t>REG100395</t>
  </si>
  <si>
    <t>Cust 6511</t>
  </si>
  <si>
    <t>12/11/2023</t>
  </si>
  <si>
    <t>REG100397</t>
  </si>
  <si>
    <t>Cust 1664</t>
  </si>
  <si>
    <t>REG100401</t>
  </si>
  <si>
    <t>Cust 7532</t>
  </si>
  <si>
    <t>12/11/2024</t>
  </si>
  <si>
    <t>10/09/2024</t>
  </si>
  <si>
    <t>REG100405</t>
  </si>
  <si>
    <t>Cust 1319</t>
  </si>
  <si>
    <t>10/11/2024</t>
  </si>
  <si>
    <t>REG100407</t>
  </si>
  <si>
    <t>Cust 7369</t>
  </si>
  <si>
    <t>17/11/2024</t>
  </si>
  <si>
    <t>04/03/2023</t>
  </si>
  <si>
    <t>REG100411</t>
  </si>
  <si>
    <t>09/03/2023</t>
  </si>
  <si>
    <t>REG100414</t>
  </si>
  <si>
    <t>Cust 6928</t>
  </si>
  <si>
    <t>07/03/2023</t>
  </si>
  <si>
    <t>REG100415</t>
  </si>
  <si>
    <t>Cust 6223</t>
  </si>
  <si>
    <t>13/03/2023</t>
  </si>
  <si>
    <t>REG100416</t>
  </si>
  <si>
    <t>Cust 7614</t>
  </si>
  <si>
    <t>11/01/2024</t>
  </si>
  <si>
    <t>08/05/2024</t>
  </si>
  <si>
    <t>REG100418</t>
  </si>
  <si>
    <t>Cust 9123</t>
  </si>
  <si>
    <t>14/05/2024</t>
  </si>
  <si>
    <t>REG100419</t>
  </si>
  <si>
    <t>Cust 7054</t>
  </si>
  <si>
    <t>15/03/2024</t>
  </si>
  <si>
    <t>REG100421</t>
  </si>
  <si>
    <t>Cust 1237</t>
  </si>
  <si>
    <t>REG100424</t>
  </si>
  <si>
    <t>Cust 8492</t>
  </si>
  <si>
    <t>17/03/2023</t>
  </si>
  <si>
    <t>02/05/2024</t>
  </si>
  <si>
    <t>REG100425</t>
  </si>
  <si>
    <t>Cust 2451</t>
  </si>
  <si>
    <t>06/05/2024</t>
  </si>
  <si>
    <t>REG100428</t>
  </si>
  <si>
    <t>Cust 2559</t>
  </si>
  <si>
    <t>09/02/2024</t>
  </si>
  <si>
    <t>REG100430</t>
  </si>
  <si>
    <t>Cust 9139</t>
  </si>
  <si>
    <t>18/02/2024</t>
  </si>
  <si>
    <t>REG100433</t>
  </si>
  <si>
    <t>Cust 8000</t>
  </si>
  <si>
    <t>09/05/2025</t>
  </si>
  <si>
    <t>04/11/2023</t>
  </si>
  <si>
    <t>REG100437</t>
  </si>
  <si>
    <t>Cust 6956</t>
  </si>
  <si>
    <t>10/11/2023</t>
  </si>
  <si>
    <t>02/10/2024</t>
  </si>
  <si>
    <t>REG100439</t>
  </si>
  <si>
    <t>Cust 8852</t>
  </si>
  <si>
    <t>06/10/2024</t>
  </si>
  <si>
    <t>03/06/2023</t>
  </si>
  <si>
    <t>REG100440</t>
  </si>
  <si>
    <t>Cust 2850</t>
  </si>
  <si>
    <t>13/06/2023</t>
  </si>
  <si>
    <t>10/09/2023</t>
  </si>
  <si>
    <t>REG100441</t>
  </si>
  <si>
    <t>Cust 9572</t>
  </si>
  <si>
    <t>18/09/2023</t>
  </si>
  <si>
    <t>09/01/2025</t>
  </si>
  <si>
    <t>REG100448</t>
  </si>
  <si>
    <t>Cust 7073</t>
  </si>
  <si>
    <t>17/01/2025</t>
  </si>
  <si>
    <t>REG100451</t>
  </si>
  <si>
    <t>Cust 8504</t>
  </si>
  <si>
    <t>REG100457</t>
  </si>
  <si>
    <t>Cust 9768</t>
  </si>
  <si>
    <t>REG100458</t>
  </si>
  <si>
    <t>Cust 1179</t>
  </si>
  <si>
    <t>REG100461</t>
  </si>
  <si>
    <t>Cust 3394</t>
  </si>
  <si>
    <t>02/01/2025</t>
  </si>
  <si>
    <t>REG100462</t>
  </si>
  <si>
    <t>Cust 1649</t>
  </si>
  <si>
    <t>04/05/2024</t>
  </si>
  <si>
    <t>REG100464</t>
  </si>
  <si>
    <t>Cust 9879</t>
  </si>
  <si>
    <t>09/05/2024</t>
  </si>
  <si>
    <t>04/12/2023</t>
  </si>
  <si>
    <t>REG100474</t>
  </si>
  <si>
    <t>Cust 5942</t>
  </si>
  <si>
    <t>13/12/2023</t>
  </si>
  <si>
    <t>REG100489</t>
  </si>
  <si>
    <t>Cust 2810</t>
  </si>
  <si>
    <t>17/06/2025</t>
  </si>
  <si>
    <t>03/12/2023</t>
  </si>
  <si>
    <t>REG100491</t>
  </si>
  <si>
    <t>Cust 9602</t>
  </si>
  <si>
    <t>05/12/2023</t>
  </si>
  <si>
    <t>02/10/2023</t>
  </si>
  <si>
    <t>REG100495</t>
  </si>
  <si>
    <t>Cust 6944</t>
  </si>
  <si>
    <t>10/10/2023</t>
  </si>
  <si>
    <t>REG100496</t>
  </si>
  <si>
    <t>Cust 4136</t>
  </si>
  <si>
    <t>07/11/2023</t>
  </si>
  <si>
    <t>05/04/2024</t>
  </si>
  <si>
    <t>REG100500</t>
  </si>
  <si>
    <t>Cust 3160</t>
  </si>
  <si>
    <t>REG100503</t>
  </si>
  <si>
    <t>Cust 1144</t>
  </si>
  <si>
    <t>10/03/2023</t>
  </si>
  <si>
    <t>11/10/2024</t>
  </si>
  <si>
    <t>REG100507</t>
  </si>
  <si>
    <t>Cust 4456</t>
  </si>
  <si>
    <t>19/10/2024</t>
  </si>
  <si>
    <t>REG100514</t>
  </si>
  <si>
    <t>Cust 4010</t>
  </si>
  <si>
    <t>15/05/2023</t>
  </si>
  <si>
    <t>REG100517</t>
  </si>
  <si>
    <t>Cust 6034</t>
  </si>
  <si>
    <t>20/05/2025</t>
  </si>
  <si>
    <t>REG100520</t>
  </si>
  <si>
    <t>Cust 3696</t>
  </si>
  <si>
    <t>02/06/2024</t>
  </si>
  <si>
    <t>REG100522</t>
  </si>
  <si>
    <t>Cust 9924</t>
  </si>
  <si>
    <t>08/06/2024</t>
  </si>
  <si>
    <t>01/09/2024</t>
  </si>
  <si>
    <t>REG100523</t>
  </si>
  <si>
    <t>Cust 3887</t>
  </si>
  <si>
    <t>05/09/2024</t>
  </si>
  <si>
    <t>11/01/2025</t>
  </si>
  <si>
    <t>REG100524</t>
  </si>
  <si>
    <t>Cust 5302</t>
  </si>
  <si>
    <t>18/01/2025</t>
  </si>
  <si>
    <t>05/07/2023</t>
  </si>
  <si>
    <t>REG100527</t>
  </si>
  <si>
    <t>Cust 1726</t>
  </si>
  <si>
    <t>REG100529</t>
  </si>
  <si>
    <t>Cust 1774</t>
  </si>
  <si>
    <t>16/04/2025</t>
  </si>
  <si>
    <t>05/06/2024</t>
  </si>
  <si>
    <t>REG100530</t>
  </si>
  <si>
    <t>Cust 2414</t>
  </si>
  <si>
    <t>10/06/2024</t>
  </si>
  <si>
    <t>REG100532</t>
  </si>
  <si>
    <t>Cust 3170</t>
  </si>
  <si>
    <t>REG100533</t>
  </si>
  <si>
    <t>Cust 5438</t>
  </si>
  <si>
    <t>REG100534</t>
  </si>
  <si>
    <t>Cust 2670</t>
  </si>
  <si>
    <t>12/01/2024</t>
  </si>
  <si>
    <t>REG100538</t>
  </si>
  <si>
    <t>Cust 5645</t>
  </si>
  <si>
    <t>22/01/2024</t>
  </si>
  <si>
    <t>08/04/2024</t>
  </si>
  <si>
    <t>REG100539</t>
  </si>
  <si>
    <t>Cust 6577</t>
  </si>
  <si>
    <t>06/04/2024</t>
  </si>
  <si>
    <t>REG100548</t>
  </si>
  <si>
    <t>Cust 4015</t>
  </si>
  <si>
    <t>REG100550</t>
  </si>
  <si>
    <t>Cust 7584</t>
  </si>
  <si>
    <t>06/01/2025</t>
  </si>
  <si>
    <t>REG100565</t>
  </si>
  <si>
    <t>Cust 5381</t>
  </si>
  <si>
    <t>14/01/2025</t>
  </si>
  <si>
    <t>REG100566</t>
  </si>
  <si>
    <t>Cust 5436</t>
  </si>
  <si>
    <t>REG100568</t>
  </si>
  <si>
    <t>Cust 4380</t>
  </si>
  <si>
    <t>16/02/2025</t>
  </si>
  <si>
    <t>01/07/2023</t>
  </si>
  <si>
    <t>REG100571</t>
  </si>
  <si>
    <t>Cust 5698</t>
  </si>
  <si>
    <t>09/07/2023</t>
  </si>
  <si>
    <t>REG100576</t>
  </si>
  <si>
    <t>Cust 6173</t>
  </si>
  <si>
    <t>12/04/2024</t>
  </si>
  <si>
    <t>10/12/2024</t>
  </si>
  <si>
    <t>REG100583</t>
  </si>
  <si>
    <t>Cust 1514</t>
  </si>
  <si>
    <t>01/01/2025</t>
  </si>
  <si>
    <t>REG100584</t>
  </si>
  <si>
    <t>Cust 2774</t>
  </si>
  <si>
    <t>03/01/2025</t>
  </si>
  <si>
    <t>REG100588</t>
  </si>
  <si>
    <t>Cust 5051</t>
  </si>
  <si>
    <t>11/12/2023</t>
  </si>
  <si>
    <t>07/02/2025</t>
  </si>
  <si>
    <t>REG100590</t>
  </si>
  <si>
    <t>Cust 6948</t>
  </si>
  <si>
    <t>13/02/2025</t>
  </si>
  <si>
    <t>REG100593</t>
  </si>
  <si>
    <t>Cust 2219</t>
  </si>
  <si>
    <t>11/05/2024</t>
  </si>
  <si>
    <t>07/10/2023</t>
  </si>
  <si>
    <t>REG100596</t>
  </si>
  <si>
    <t>Cust 4252</t>
  </si>
  <si>
    <t>16/10/2023</t>
  </si>
  <si>
    <t>11/07/2023</t>
  </si>
  <si>
    <t>REG100597</t>
  </si>
  <si>
    <t>Cust 6104</t>
  </si>
  <si>
    <t>13/07/2023</t>
  </si>
  <si>
    <t>04/02/2023</t>
  </si>
  <si>
    <t>REG100599</t>
  </si>
  <si>
    <t>Cust 3573</t>
  </si>
  <si>
    <t>02/09/2023</t>
  </si>
  <si>
    <t>REG100600</t>
  </si>
  <si>
    <t>Cust 5280</t>
  </si>
  <si>
    <t>12/09/2023</t>
  </si>
  <si>
    <t>03/10/2024</t>
  </si>
  <si>
    <t>REG100603</t>
  </si>
  <si>
    <t>Cust 6539</t>
  </si>
  <si>
    <t>07/02/2024</t>
  </si>
  <si>
    <t>REG100605</t>
  </si>
  <si>
    <t>Cust 1932</t>
  </si>
  <si>
    <t>14/02/2024</t>
  </si>
  <si>
    <t>REG100606</t>
  </si>
  <si>
    <t>Cust 7367</t>
  </si>
  <si>
    <t>REG100611</t>
  </si>
  <si>
    <t>Cust 3199</t>
  </si>
  <si>
    <t>22/08/2024</t>
  </si>
  <si>
    <t>07/01/2023</t>
  </si>
  <si>
    <t>REG100614</t>
  </si>
  <si>
    <t>Cust 8391</t>
  </si>
  <si>
    <t>REG100616</t>
  </si>
  <si>
    <t>Cust 8653</t>
  </si>
  <si>
    <t>05/05/2024</t>
  </si>
  <si>
    <t>REG100618</t>
  </si>
  <si>
    <t>Cust 5972</t>
  </si>
  <si>
    <t>02/12/2024</t>
  </si>
  <si>
    <t>REG100623</t>
  </si>
  <si>
    <t>04/12/2024</t>
  </si>
  <si>
    <t>10/07/2024</t>
  </si>
  <si>
    <t>REG100626</t>
  </si>
  <si>
    <t>Cust 6107</t>
  </si>
  <si>
    <t>19/07/2024</t>
  </si>
  <si>
    <t>06/01/2023</t>
  </si>
  <si>
    <t>REG100627</t>
  </si>
  <si>
    <t>Cust 3330</t>
  </si>
  <si>
    <t>15/01/2023</t>
  </si>
  <si>
    <t>REG100629</t>
  </si>
  <si>
    <t>Cust 7412</t>
  </si>
  <si>
    <t>20/12/2023</t>
  </si>
  <si>
    <t>REG100634</t>
  </si>
  <si>
    <t>Cust 5964</t>
  </si>
  <si>
    <t>REG100635</t>
  </si>
  <si>
    <t>Cust 1810</t>
  </si>
  <si>
    <t>13/01/2025</t>
  </si>
  <si>
    <t>REG100638</t>
  </si>
  <si>
    <t>Cust 4101</t>
  </si>
  <si>
    <t>REG100640</t>
  </si>
  <si>
    <t>16/09/2023</t>
  </si>
  <si>
    <t>REG100641</t>
  </si>
  <si>
    <t>Cust 7010</t>
  </si>
  <si>
    <t>06/06/2025</t>
  </si>
  <si>
    <t>REG100642</t>
  </si>
  <si>
    <t>Cust 7917</t>
  </si>
  <si>
    <t>REG100645</t>
  </si>
  <si>
    <t>Cust 8720</t>
  </si>
  <si>
    <t>13/01/2023</t>
  </si>
  <si>
    <t>06/09/2023</t>
  </si>
  <si>
    <t>REG100647</t>
  </si>
  <si>
    <t>Cust 6946</t>
  </si>
  <si>
    <t>REG100651</t>
  </si>
  <si>
    <t>Cust 2446</t>
  </si>
  <si>
    <t>04/01/2024</t>
  </si>
  <si>
    <t>REG100656</t>
  </si>
  <si>
    <t>Cust 4798</t>
  </si>
  <si>
    <t>14/01/2024</t>
  </si>
  <si>
    <t>REG100657</t>
  </si>
  <si>
    <t>Cust 8305</t>
  </si>
  <si>
    <t>19/02/2023</t>
  </si>
  <si>
    <t>REG100661</t>
  </si>
  <si>
    <t>Cust 7509</t>
  </si>
  <si>
    <t>08/10/2024</t>
  </si>
  <si>
    <t>REG100663</t>
  </si>
  <si>
    <t>Cust 5943</t>
  </si>
  <si>
    <t>REG100664</t>
  </si>
  <si>
    <t>Cust 8364</t>
  </si>
  <si>
    <t>17/01/2023</t>
  </si>
  <si>
    <t>REG100666</t>
  </si>
  <si>
    <t>Cust 4047</t>
  </si>
  <si>
    <t>20/05/2024</t>
  </si>
  <si>
    <t>10/12/2023</t>
  </si>
  <si>
    <t>REG100668</t>
  </si>
  <si>
    <t>Cust 8750</t>
  </si>
  <si>
    <t>03/02/2024</t>
  </si>
  <si>
    <t>REG100669</t>
  </si>
  <si>
    <t>Cust 5782</t>
  </si>
  <si>
    <t>05/02/2024</t>
  </si>
  <si>
    <t>06/03/2024</t>
  </si>
  <si>
    <t>REG100671</t>
  </si>
  <si>
    <t>Cust 4730</t>
  </si>
  <si>
    <t>11/03/2024</t>
  </si>
  <si>
    <t>01/02/2025</t>
  </si>
  <si>
    <t>REG100672</t>
  </si>
  <si>
    <t>Cust 5648</t>
  </si>
  <si>
    <t>REG100673</t>
  </si>
  <si>
    <t>Cust 8933</t>
  </si>
  <si>
    <t>09/06/2024</t>
  </si>
  <si>
    <t>REG100674</t>
  </si>
  <si>
    <t>Cust 9280</t>
  </si>
  <si>
    <t>13/08/2023</t>
  </si>
  <si>
    <t>REG100680</t>
  </si>
  <si>
    <t>Cust 8088</t>
  </si>
  <si>
    <t>REG100692</t>
  </si>
  <si>
    <t>Cust 6785</t>
  </si>
  <si>
    <t>17/03/2025</t>
  </si>
  <si>
    <t>REG100694</t>
  </si>
  <si>
    <t>Cust 4023</t>
  </si>
  <si>
    <t>08/02/2025</t>
  </si>
  <si>
    <t>REG100695</t>
  </si>
  <si>
    <t>Cust 3721</t>
  </si>
  <si>
    <t>16/01/2024</t>
  </si>
  <si>
    <t>05/05/2025</t>
  </si>
  <si>
    <t>REG100696</t>
  </si>
  <si>
    <t>Cust 1486</t>
  </si>
  <si>
    <t>14/05/2025</t>
  </si>
  <si>
    <t>01/11/2024</t>
  </si>
  <si>
    <t>REG100699</t>
  </si>
  <si>
    <t>Cust 3287</t>
  </si>
  <si>
    <t>REG100700</t>
  </si>
  <si>
    <t>Cust 9072</t>
  </si>
  <si>
    <t>REG100704</t>
  </si>
  <si>
    <t>Cust 4618</t>
  </si>
  <si>
    <t>07/06/2025</t>
  </si>
  <si>
    <t>12/03/2023</t>
  </si>
  <si>
    <t>REG100705</t>
  </si>
  <si>
    <t>Cust 5322</t>
  </si>
  <si>
    <t>14/03/2023</t>
  </si>
  <si>
    <t>REG100706</t>
  </si>
  <si>
    <t>Cust 9873</t>
  </si>
  <si>
    <t>19/11/2024</t>
  </si>
  <si>
    <t>REG100708</t>
  </si>
  <si>
    <t>Cust 5569</t>
  </si>
  <si>
    <t>13/05/2023</t>
  </si>
  <si>
    <t>REG100712</t>
  </si>
  <si>
    <t>Cust 1559</t>
  </si>
  <si>
    <t>09/09/2023</t>
  </si>
  <si>
    <t>REG100713</t>
  </si>
  <si>
    <t>Cust 1722</t>
  </si>
  <si>
    <t>REG100717</t>
  </si>
  <si>
    <t>Cust 4763</t>
  </si>
  <si>
    <t>13/10/2024</t>
  </si>
  <si>
    <t>05/03/2023</t>
  </si>
  <si>
    <t>REG100719</t>
  </si>
  <si>
    <t>Cust 5528</t>
  </si>
  <si>
    <t>REG100722</t>
  </si>
  <si>
    <t>Cust 3368</t>
  </si>
  <si>
    <t>REG100724</t>
  </si>
  <si>
    <t>Cust 6229</t>
  </si>
  <si>
    <t>12/07/2023</t>
  </si>
  <si>
    <t>REG100725</t>
  </si>
  <si>
    <t>Cust 4560</t>
  </si>
  <si>
    <t>21/07/2023</t>
  </si>
  <si>
    <t>03/04/2024</t>
  </si>
  <si>
    <t>REG100729</t>
  </si>
  <si>
    <t>Cust 6657</t>
  </si>
  <si>
    <t>05/04/2025</t>
  </si>
  <si>
    <t>REG100731</t>
  </si>
  <si>
    <t>Cust 8150</t>
  </si>
  <si>
    <t>14/04/2025</t>
  </si>
  <si>
    <t>12/10/2024</t>
  </si>
  <si>
    <t>REG100733</t>
  </si>
  <si>
    <t>Cust 4803</t>
  </si>
  <si>
    <t>15/10/2024</t>
  </si>
  <si>
    <t>REG100735</t>
  </si>
  <si>
    <t>Cust 7235</t>
  </si>
  <si>
    <t>REG100738</t>
  </si>
  <si>
    <t>Cust 5411</t>
  </si>
  <si>
    <t>20/08/2024</t>
  </si>
  <si>
    <t>REG100741</t>
  </si>
  <si>
    <t>Cust 4788</t>
  </si>
  <si>
    <t>14/10/2024</t>
  </si>
  <si>
    <t>REG100746</t>
  </si>
  <si>
    <t>Cust 1905</t>
  </si>
  <si>
    <t>REG100753</t>
  </si>
  <si>
    <t>Cust 8900</t>
  </si>
  <si>
    <t>REG100759</t>
  </si>
  <si>
    <t>Cust 7224</t>
  </si>
  <si>
    <t>REG100761</t>
  </si>
  <si>
    <t>Cust 1201</t>
  </si>
  <si>
    <t>13/12/2024</t>
  </si>
  <si>
    <t>04/07/2024</t>
  </si>
  <si>
    <t>REG100762</t>
  </si>
  <si>
    <t>Cust 9584</t>
  </si>
  <si>
    <t>REG100763</t>
  </si>
  <si>
    <t>Cust 6980</t>
  </si>
  <si>
    <t>12/03/2025</t>
  </si>
  <si>
    <t>REG100765</t>
  </si>
  <si>
    <t>Cust 4286</t>
  </si>
  <si>
    <t>21/03/2025</t>
  </si>
  <si>
    <t>REG100771</t>
  </si>
  <si>
    <t>Cust 2830</t>
  </si>
  <si>
    <t>14/10/2023</t>
  </si>
  <si>
    <t>07/08/2023</t>
  </si>
  <si>
    <t>REG100772</t>
  </si>
  <si>
    <t>Cust 3767</t>
  </si>
  <si>
    <t>REG100773</t>
  </si>
  <si>
    <t>Cust 1561</t>
  </si>
  <si>
    <t>01/08/2024</t>
  </si>
  <si>
    <t>REG100774</t>
  </si>
  <si>
    <t>Cust 8569</t>
  </si>
  <si>
    <t>REG100777</t>
  </si>
  <si>
    <t>Cust 7204</t>
  </si>
  <si>
    <t>REG100779</t>
  </si>
  <si>
    <t>Cust 9210</t>
  </si>
  <si>
    <t>REG100782</t>
  </si>
  <si>
    <t>Cust 3606</t>
  </si>
  <si>
    <t>13/06/2024</t>
  </si>
  <si>
    <t>09/07/2024</t>
  </si>
  <si>
    <t>REG100783</t>
  </si>
  <si>
    <t>Cust 5865</t>
  </si>
  <si>
    <t>REG100784</t>
  </si>
  <si>
    <t>Cust 7195</t>
  </si>
  <si>
    <t>REG100787</t>
  </si>
  <si>
    <t>Cust 3936</t>
  </si>
  <si>
    <t>13/04/2025</t>
  </si>
  <si>
    <t>REG100788</t>
  </si>
  <si>
    <t>Cust 3937</t>
  </si>
  <si>
    <t>09/03/2024</t>
  </si>
  <si>
    <t>REG100789</t>
  </si>
  <si>
    <t>Cust 5262</t>
  </si>
  <si>
    <t>REG100792</t>
  </si>
  <si>
    <t>Cust 1119</t>
  </si>
  <si>
    <t>06/08/2024</t>
  </si>
  <si>
    <t>REG100799</t>
  </si>
  <si>
    <t>Cust 1637</t>
  </si>
  <si>
    <t>REG100800</t>
  </si>
  <si>
    <t>Cust 6914</t>
  </si>
  <si>
    <t>REG100806</t>
  </si>
  <si>
    <t>Cust 7132</t>
  </si>
  <si>
    <t>08/06/2023</t>
  </si>
  <si>
    <t>REG100809</t>
  </si>
  <si>
    <t>Cust 5133</t>
  </si>
  <si>
    <t>14/06/2023</t>
  </si>
  <si>
    <t>REG100813</t>
  </si>
  <si>
    <t>Cust 6830</t>
  </si>
  <si>
    <t>14/05/2023</t>
  </si>
  <si>
    <t>REG100817</t>
  </si>
  <si>
    <t>Cust 4095</t>
  </si>
  <si>
    <t>17/06/2024</t>
  </si>
  <si>
    <t>12/05/2023</t>
  </si>
  <si>
    <t>REG100822</t>
  </si>
  <si>
    <t>Cust 6665</t>
  </si>
  <si>
    <t>REG100824</t>
  </si>
  <si>
    <t>Cust 4599</t>
  </si>
  <si>
    <t>07/04/2024</t>
  </si>
  <si>
    <t>REG100825</t>
  </si>
  <si>
    <t>Cust 7166</t>
  </si>
  <si>
    <t>16/01/2025</t>
  </si>
  <si>
    <t>REG100827</t>
  </si>
  <si>
    <t>13/09/2023</t>
  </si>
  <si>
    <t>REG100829</t>
  </si>
  <si>
    <t>14/02/2025</t>
  </si>
  <si>
    <t>REG100831</t>
  </si>
  <si>
    <t>Cust 7487</t>
  </si>
  <si>
    <t>REG100832</t>
  </si>
  <si>
    <t>Cust 5481</t>
  </si>
  <si>
    <t>21/08/2024</t>
  </si>
  <si>
    <t>REG100833</t>
  </si>
  <si>
    <t>Cust 3150</t>
  </si>
  <si>
    <t>17/04/2025</t>
  </si>
  <si>
    <t>02/07/2024</t>
  </si>
  <si>
    <t>REG100836</t>
  </si>
  <si>
    <t>Cust 6924</t>
  </si>
  <si>
    <t>REG100837</t>
  </si>
  <si>
    <t>Cust 2411</t>
  </si>
  <si>
    <t>02/06/2025</t>
  </si>
  <si>
    <t>REG100838</t>
  </si>
  <si>
    <t>Cust 9648</t>
  </si>
  <si>
    <t>10/01/2024</t>
  </si>
  <si>
    <t>REG100840</t>
  </si>
  <si>
    <t>Cust 9452</t>
  </si>
  <si>
    <t>REG100843</t>
  </si>
  <si>
    <t>Cust 7788</t>
  </si>
  <si>
    <t>REG100844</t>
  </si>
  <si>
    <t>Cust 2788</t>
  </si>
  <si>
    <t>06/01/2024</t>
  </si>
  <si>
    <t>REG100845</t>
  </si>
  <si>
    <t>Cust 6621</t>
  </si>
  <si>
    <t>02/08/2023</t>
  </si>
  <si>
    <t>REG100846</t>
  </si>
  <si>
    <t>Cust 8575</t>
  </si>
  <si>
    <t>REG100850</t>
  </si>
  <si>
    <t>Cust 4933</t>
  </si>
  <si>
    <t>REG100851</t>
  </si>
  <si>
    <t>Cust 9517</t>
  </si>
  <si>
    <t>REG100853</t>
  </si>
  <si>
    <t>Cust 1301</t>
  </si>
  <si>
    <t>01/03/2023</t>
  </si>
  <si>
    <t>REG100854</t>
  </si>
  <si>
    <t>Cust 1736</t>
  </si>
  <si>
    <t>REG100855</t>
  </si>
  <si>
    <t>Cust 6864</t>
  </si>
  <si>
    <t>06/06/2024</t>
  </si>
  <si>
    <t>REG100856</t>
  </si>
  <si>
    <t>Cust 5207</t>
  </si>
  <si>
    <t>REG100859</t>
  </si>
  <si>
    <t>Cust 8204</t>
  </si>
  <si>
    <t>05/09/2023</t>
  </si>
  <si>
    <t>REG100861</t>
  </si>
  <si>
    <t>Cust 1654</t>
  </si>
  <si>
    <t>REG100868</t>
  </si>
  <si>
    <t>Cust 4362</t>
  </si>
  <si>
    <t>REG100870</t>
  </si>
  <si>
    <t>04/10/2024</t>
  </si>
  <si>
    <t>REG100871</t>
  </si>
  <si>
    <t>Cust 6428</t>
  </si>
  <si>
    <t>06/04/2025</t>
  </si>
  <si>
    <t>REG100872</t>
  </si>
  <si>
    <t>Cust 2570</t>
  </si>
  <si>
    <t>REG100874</t>
  </si>
  <si>
    <t>Cust 4929</t>
  </si>
  <si>
    <t>10/01/2023</t>
  </si>
  <si>
    <t>REG100882</t>
  </si>
  <si>
    <t>Cust 6138</t>
  </si>
  <si>
    <t>REG100885</t>
  </si>
  <si>
    <t>Cust 8602</t>
  </si>
  <si>
    <t>19/12/2024</t>
  </si>
  <si>
    <t>REG100886</t>
  </si>
  <si>
    <t>Cust 9131</t>
  </si>
  <si>
    <t>20/05/2023</t>
  </si>
  <si>
    <t>03/12/2024</t>
  </si>
  <si>
    <t>REG100888</t>
  </si>
  <si>
    <t>Cust 2071</t>
  </si>
  <si>
    <t>06/12/2024</t>
  </si>
  <si>
    <t>REG100889</t>
  </si>
  <si>
    <t>Cust 4472</t>
  </si>
  <si>
    <t>REG100890</t>
  </si>
  <si>
    <t>Cust 3899</t>
  </si>
  <si>
    <t>05/05/2023</t>
  </si>
  <si>
    <t>REG100893</t>
  </si>
  <si>
    <t>Cust 3511</t>
  </si>
  <si>
    <t>REG100895</t>
  </si>
  <si>
    <t>Cust 2840</t>
  </si>
  <si>
    <t>05/06/2023</t>
  </si>
  <si>
    <t>REG100899</t>
  </si>
  <si>
    <t>Cust 6579</t>
  </si>
  <si>
    <t>01/08/2023</t>
  </si>
  <si>
    <t>REG100901</t>
  </si>
  <si>
    <t>REG100902</t>
  </si>
  <si>
    <t>Cust 8999</t>
  </si>
  <si>
    <t>20/02/2025</t>
  </si>
  <si>
    <t>REG100903</t>
  </si>
  <si>
    <t>Cust 4277</t>
  </si>
  <si>
    <t>REG100904</t>
  </si>
  <si>
    <t>Cust 8751</t>
  </si>
  <si>
    <t>13/05/2025</t>
  </si>
  <si>
    <t>REG100905</t>
  </si>
  <si>
    <t>Cust 2482</t>
  </si>
  <si>
    <t>REG100906</t>
  </si>
  <si>
    <t>Cust 4078</t>
  </si>
  <si>
    <t>REG100908</t>
  </si>
  <si>
    <t>Cust 8706</t>
  </si>
  <si>
    <t>03/04/2025</t>
  </si>
  <si>
    <t>REG100909</t>
  </si>
  <si>
    <t>Cust 5042</t>
  </si>
  <si>
    <t>12/04/2025</t>
  </si>
  <si>
    <t>REG100911</t>
  </si>
  <si>
    <t>Cust 4139</t>
  </si>
  <si>
    <t>REG100915</t>
  </si>
  <si>
    <t>Cust 1156</t>
  </si>
  <si>
    <t>REG100920</t>
  </si>
  <si>
    <t>Cust 1252</t>
  </si>
  <si>
    <t>REG100921</t>
  </si>
  <si>
    <t>Cust 6679</t>
  </si>
  <si>
    <t>REG100922</t>
  </si>
  <si>
    <t>Cust 1656</t>
  </si>
  <si>
    <t>REG100926</t>
  </si>
  <si>
    <t>Cust 6415</t>
  </si>
  <si>
    <t>REG100928</t>
  </si>
  <si>
    <t>Cust 3106</t>
  </si>
  <si>
    <t>REG100930</t>
  </si>
  <si>
    <t>Cust 7107</t>
  </si>
  <si>
    <t>REG100932</t>
  </si>
  <si>
    <t>Cust 6330</t>
  </si>
  <si>
    <t>REG100935</t>
  </si>
  <si>
    <t>Cust 9833</t>
  </si>
  <si>
    <t>REG100937</t>
  </si>
  <si>
    <t>Cust 7891</t>
  </si>
  <si>
    <t>18/11/2024</t>
  </si>
  <si>
    <t>04/02/2025</t>
  </si>
  <si>
    <t>REG100938</t>
  </si>
  <si>
    <t>Cust 3373</t>
  </si>
  <si>
    <t>REG100941</t>
  </si>
  <si>
    <t>Cust 6920</t>
  </si>
  <si>
    <t>13/05/2024</t>
  </si>
  <si>
    <t>REG100942</t>
  </si>
  <si>
    <t>Cust 9652</t>
  </si>
  <si>
    <t>04/01/2025</t>
  </si>
  <si>
    <t>REG100943</t>
  </si>
  <si>
    <t>REG100946</t>
  </si>
  <si>
    <t>Cust 2789</t>
  </si>
  <si>
    <t>REG100948</t>
  </si>
  <si>
    <t>Cust 9538</t>
  </si>
  <si>
    <t>REG100954</t>
  </si>
  <si>
    <t>Cust 8850</t>
  </si>
  <si>
    <t>REG100955</t>
  </si>
  <si>
    <t>15/10/2023</t>
  </si>
  <si>
    <t>REG100957</t>
  </si>
  <si>
    <t>Cust 9384</t>
  </si>
  <si>
    <t>REG100958</t>
  </si>
  <si>
    <t>Cust 3809</t>
  </si>
  <si>
    <t>14/07/2024</t>
  </si>
  <si>
    <t>REG100960</t>
  </si>
  <si>
    <t>Cust 1822</t>
  </si>
  <si>
    <t>REG100961</t>
  </si>
  <si>
    <t>Cust 8260</t>
  </si>
  <si>
    <t>10/07/2023</t>
  </si>
  <si>
    <t>REG100964</t>
  </si>
  <si>
    <t>Cust 9046</t>
  </si>
  <si>
    <t>REG100965</t>
  </si>
  <si>
    <t>Cust 6859</t>
  </si>
  <si>
    <t>15/05/2024</t>
  </si>
  <si>
    <t>11/04/2024</t>
  </si>
  <si>
    <t>REG100969</t>
  </si>
  <si>
    <t>Cust 8519</t>
  </si>
  <si>
    <t>20/04/2024</t>
  </si>
  <si>
    <t>REG100970</t>
  </si>
  <si>
    <t>Cust 3422</t>
  </si>
  <si>
    <t>REG100972</t>
  </si>
  <si>
    <t>Cust 6438</t>
  </si>
  <si>
    <t>13/02/2024</t>
  </si>
  <si>
    <t>REG100973</t>
  </si>
  <si>
    <t>Cust 1724</t>
  </si>
  <si>
    <t>REG100974</t>
  </si>
  <si>
    <t>Cust 7808</t>
  </si>
  <si>
    <t>02/04/2023</t>
  </si>
  <si>
    <t>REG100977</t>
  </si>
  <si>
    <t>Cust 5666</t>
  </si>
  <si>
    <t>04/04/2023</t>
  </si>
  <si>
    <t>REG100979</t>
  </si>
  <si>
    <t>Cust 6675</t>
  </si>
  <si>
    <t>20/11/2023</t>
  </si>
  <si>
    <t>04/03/2024</t>
  </si>
  <si>
    <t>REG100984</t>
  </si>
  <si>
    <t>Cust 3396</t>
  </si>
  <si>
    <t>REG100985</t>
  </si>
  <si>
    <t>Cust 4797</t>
  </si>
  <si>
    <t>15/07/2023</t>
  </si>
  <si>
    <t>REG100990</t>
  </si>
  <si>
    <t>Cust 8631</t>
  </si>
  <si>
    <t>01/02/2024</t>
  </si>
  <si>
    <t>REG100991</t>
  </si>
  <si>
    <t>Cust 6986</t>
  </si>
  <si>
    <t>04/02/2024</t>
  </si>
  <si>
    <t>REG100992</t>
  </si>
  <si>
    <t>Cust 9636</t>
  </si>
  <si>
    <t>REG100994</t>
  </si>
  <si>
    <t>Cust 1943</t>
  </si>
  <si>
    <t>12/12/2024</t>
  </si>
  <si>
    <t>REG100998</t>
  </si>
  <si>
    <t>Cust 8723</t>
  </si>
  <si>
    <t>17/12/2024</t>
  </si>
  <si>
    <t>REG101001</t>
  </si>
  <si>
    <t>Cust 5413</t>
  </si>
  <si>
    <t>01/12/2024</t>
  </si>
  <si>
    <t>REG101002</t>
  </si>
  <si>
    <t>Cust 9590</t>
  </si>
  <si>
    <t>03/09/2024</t>
  </si>
  <si>
    <t>REG101003</t>
  </si>
  <si>
    <t>Cust 9379</t>
  </si>
  <si>
    <t>REG101005</t>
  </si>
  <si>
    <t>Cust 7152</t>
  </si>
  <si>
    <t>REG101009</t>
  </si>
  <si>
    <t>Cust 2561</t>
  </si>
  <si>
    <t>REG101016</t>
  </si>
  <si>
    <t>Cust 3944</t>
  </si>
  <si>
    <t>REG101018</t>
  </si>
  <si>
    <t>Cust 3286</t>
  </si>
  <si>
    <t>18/01/2023</t>
  </si>
  <si>
    <t>REG101019</t>
  </si>
  <si>
    <t>10/02/2023</t>
  </si>
  <si>
    <t>REG101020</t>
  </si>
  <si>
    <t>20/04/2025</t>
  </si>
  <si>
    <t>REG101023</t>
  </si>
  <si>
    <t>Cust 3892</t>
  </si>
  <si>
    <t>19/09/2023</t>
  </si>
  <si>
    <t>REG101026</t>
  </si>
  <si>
    <t>Cust 9311</t>
  </si>
  <si>
    <t>18/05/2025</t>
  </si>
  <si>
    <t>REG101027</t>
  </si>
  <si>
    <t>Cust 4097</t>
  </si>
  <si>
    <t>REG101028</t>
  </si>
  <si>
    <t>Cust 6145</t>
  </si>
  <si>
    <t>REG101029</t>
  </si>
  <si>
    <t>Cust 8124</t>
  </si>
  <si>
    <t>REG101044</t>
  </si>
  <si>
    <t>Cust 5210</t>
  </si>
  <si>
    <t>18/07/2023</t>
  </si>
  <si>
    <t>REG101046</t>
  </si>
  <si>
    <t>Cust 5818</t>
  </si>
  <si>
    <t>REG101053</t>
  </si>
  <si>
    <t>Cust 4537</t>
  </si>
  <si>
    <t>18/04/2025</t>
  </si>
  <si>
    <t>REG101054</t>
  </si>
  <si>
    <t>Cust 6274</t>
  </si>
  <si>
    <t>19/01/2025</t>
  </si>
  <si>
    <t>REG101056</t>
  </si>
  <si>
    <t>Cust 5002</t>
  </si>
  <si>
    <t>REG101061</t>
  </si>
  <si>
    <t>Cust 3440</t>
  </si>
  <si>
    <t>19/07/2023</t>
  </si>
  <si>
    <t>REG101062</t>
  </si>
  <si>
    <t>Cust 4102</t>
  </si>
  <si>
    <t>16/08/2024</t>
  </si>
  <si>
    <t>REG101066</t>
  </si>
  <si>
    <t>Cust 8676</t>
  </si>
  <si>
    <t>REG101069</t>
  </si>
  <si>
    <t>Cust 7872</t>
  </si>
  <si>
    <t>REG101072</t>
  </si>
  <si>
    <t>Cust 2781</t>
  </si>
  <si>
    <t>18/06/2024</t>
  </si>
  <si>
    <t>REG101073</t>
  </si>
  <si>
    <t>Cust 9982</t>
  </si>
  <si>
    <t>04/05/2023</t>
  </si>
  <si>
    <t>REG101074</t>
  </si>
  <si>
    <t>Cust 9561</t>
  </si>
  <si>
    <t>REG101076</t>
  </si>
  <si>
    <t>Cust 4085</t>
  </si>
  <si>
    <t>REG101079</t>
  </si>
  <si>
    <t>Cust 9345</t>
  </si>
  <si>
    <t>15/06/2024</t>
  </si>
  <si>
    <t>03/11/2024</t>
  </si>
  <si>
    <t>REG101081</t>
  </si>
  <si>
    <t>Cust 1762</t>
  </si>
  <si>
    <t>REG101082</t>
  </si>
  <si>
    <t>Cust 7060</t>
  </si>
  <si>
    <t>REG101083</t>
  </si>
  <si>
    <t>Cust 8796</t>
  </si>
  <si>
    <t>REG101088</t>
  </si>
  <si>
    <t>Cust 3321</t>
  </si>
  <si>
    <t>REG101089</t>
  </si>
  <si>
    <t>Cust 6554</t>
  </si>
  <si>
    <t>REG101090</t>
  </si>
  <si>
    <t>Cust 6855</t>
  </si>
  <si>
    <t>REG101091</t>
  </si>
  <si>
    <t>Cust 9955</t>
  </si>
  <si>
    <t>15/05/2025</t>
  </si>
  <si>
    <t>06/04/2023</t>
  </si>
  <si>
    <t>REG101096</t>
  </si>
  <si>
    <t>Cust 9323</t>
  </si>
  <si>
    <t>REG101099</t>
  </si>
  <si>
    <t>Cust 1904</t>
  </si>
  <si>
    <t>REG101100</t>
  </si>
  <si>
    <t>Cust 8062</t>
  </si>
  <si>
    <t>REG101102</t>
  </si>
  <si>
    <t>Cust 3275</t>
  </si>
  <si>
    <t>20/06/2024</t>
  </si>
  <si>
    <t>09/08/2024</t>
  </si>
  <si>
    <t>REG101113</t>
  </si>
  <si>
    <t>Cust 7619</t>
  </si>
  <si>
    <t>REG101114</t>
  </si>
  <si>
    <t>Cust 6167</t>
  </si>
  <si>
    <t>REG101120</t>
  </si>
  <si>
    <t>Cust 3807</t>
  </si>
  <si>
    <t>21/11/2024</t>
  </si>
  <si>
    <t>07/12/2023</t>
  </si>
  <si>
    <t>REG101121</t>
  </si>
  <si>
    <t>Cust 6633</t>
  </si>
  <si>
    <t>15/12/2023</t>
  </si>
  <si>
    <t>REG101127</t>
  </si>
  <si>
    <t>Cust 5600</t>
  </si>
  <si>
    <t>14/07/2023</t>
  </si>
  <si>
    <t>REG101129</t>
  </si>
  <si>
    <t>Cust 4293</t>
  </si>
  <si>
    <t>REG101131</t>
  </si>
  <si>
    <t>Cust 2616</t>
  </si>
  <si>
    <t>REG101133</t>
  </si>
  <si>
    <t>Cust 1670</t>
  </si>
  <si>
    <t>REG101142</t>
  </si>
  <si>
    <t>Cust 8769</t>
  </si>
  <si>
    <t>09/02/2025</t>
  </si>
  <si>
    <t>REG101144</t>
  </si>
  <si>
    <t>Cust 4068</t>
  </si>
  <si>
    <t>REG101148</t>
  </si>
  <si>
    <t>Cust 4623</t>
  </si>
  <si>
    <t>09/10/2023</t>
  </si>
  <si>
    <t>REG101149</t>
  </si>
  <si>
    <t>Cust 4571</t>
  </si>
  <si>
    <t>REG101151</t>
  </si>
  <si>
    <t>Cust 6982</t>
  </si>
  <si>
    <t>06/12/2023</t>
  </si>
  <si>
    <t>REG101153</t>
  </si>
  <si>
    <t>Cust 3172</t>
  </si>
  <si>
    <t>16/12/2023</t>
  </si>
  <si>
    <t>REG101154</t>
  </si>
  <si>
    <t>Cust 8146</t>
  </si>
  <si>
    <t>REG101155</t>
  </si>
  <si>
    <t>Cust 3299</t>
  </si>
  <si>
    <t>15/02/2025</t>
  </si>
  <si>
    <t>08/08/2024</t>
  </si>
  <si>
    <t>REG101161</t>
  </si>
  <si>
    <t>Cust 1690</t>
  </si>
  <si>
    <t>REG101162</t>
  </si>
  <si>
    <t>Cust 2507</t>
  </si>
  <si>
    <t>REG101168</t>
  </si>
  <si>
    <t>Cust 7265</t>
  </si>
  <si>
    <t>REG101170</t>
  </si>
  <si>
    <t>Cust 2928</t>
  </si>
  <si>
    <t>REG101173</t>
  </si>
  <si>
    <t>Cust 7587</t>
  </si>
  <si>
    <t>04/09/2024</t>
  </si>
  <si>
    <t>REG101174</t>
  </si>
  <si>
    <t>Cust 2611</t>
  </si>
  <si>
    <t>08/09/2024</t>
  </si>
  <si>
    <t>10/02/2024</t>
  </si>
  <si>
    <t>REG101176</t>
  </si>
  <si>
    <t>Cust 8154</t>
  </si>
  <si>
    <t>16/02/2024</t>
  </si>
  <si>
    <t>REG101177</t>
  </si>
  <si>
    <t>Cust 5215</t>
  </si>
  <si>
    <t>REG101178</t>
  </si>
  <si>
    <t>Cust 5309</t>
  </si>
  <si>
    <t>REG101179</t>
  </si>
  <si>
    <t>Cust 2016</t>
  </si>
  <si>
    <t>16/03/2023</t>
  </si>
  <si>
    <t>REG101182</t>
  </si>
  <si>
    <t>Cust 6172</t>
  </si>
  <si>
    <t>REG101184</t>
  </si>
  <si>
    <t>Cust 1970</t>
  </si>
  <si>
    <t>REG101188</t>
  </si>
  <si>
    <t>Cust 6365</t>
  </si>
  <si>
    <t>REG101189</t>
  </si>
  <si>
    <t>Cust 9159</t>
  </si>
  <si>
    <t>22/03/2023</t>
  </si>
  <si>
    <t>REG101190</t>
  </si>
  <si>
    <t>Cust 3252</t>
  </si>
  <si>
    <t>REG101192</t>
  </si>
  <si>
    <t>Cust 5547</t>
  </si>
  <si>
    <t>06/10/2023</t>
  </si>
  <si>
    <t>REG101193</t>
  </si>
  <si>
    <t>Cust 9438</t>
  </si>
  <si>
    <t>REG101194</t>
  </si>
  <si>
    <t>REG101196</t>
  </si>
  <si>
    <t>Cust 3001</t>
  </si>
  <si>
    <t>REG101199</t>
  </si>
  <si>
    <t>Cust 3627</t>
  </si>
  <si>
    <t>REG101203</t>
  </si>
  <si>
    <t>Cust 4510</t>
  </si>
  <si>
    <t>REG101206</t>
  </si>
  <si>
    <t>Cust 2951</t>
  </si>
  <si>
    <t>REG101208</t>
  </si>
  <si>
    <t>Cust 5988</t>
  </si>
  <si>
    <t>REG101210</t>
  </si>
  <si>
    <t>Cust 9853</t>
  </si>
  <si>
    <t>REG101212</t>
  </si>
  <si>
    <t>Cust 3175</t>
  </si>
  <si>
    <t>REG101213</t>
  </si>
  <si>
    <t>Cust 1813</t>
  </si>
  <si>
    <t>REG101216</t>
  </si>
  <si>
    <t>Cust 7066</t>
  </si>
  <si>
    <t>REG101221</t>
  </si>
  <si>
    <t>Cust 6844</t>
  </si>
  <si>
    <t>REG101224</t>
  </si>
  <si>
    <t>Cust 9804</t>
  </si>
  <si>
    <t>REG101225</t>
  </si>
  <si>
    <t>Cust 3990</t>
  </si>
  <si>
    <t>REG101227</t>
  </si>
  <si>
    <t>Cust 3448</t>
  </si>
  <si>
    <t>REG101229</t>
  </si>
  <si>
    <t>Cust 5342</t>
  </si>
  <si>
    <t>REG101231</t>
  </si>
  <si>
    <t>Cust 6441</t>
  </si>
  <si>
    <t>REG101232</t>
  </si>
  <si>
    <t>Cust 7591</t>
  </si>
  <si>
    <t>REG101233</t>
  </si>
  <si>
    <t>Cust 9778</t>
  </si>
  <si>
    <t>REG101234</t>
  </si>
  <si>
    <t>Cust 1195</t>
  </si>
  <si>
    <t>13/04/2023</t>
  </si>
  <si>
    <t>REG101237</t>
  </si>
  <si>
    <t>Cust 1449</t>
  </si>
  <si>
    <t>REG101238</t>
  </si>
  <si>
    <t>Cust 3508</t>
  </si>
  <si>
    <t>REG101239</t>
  </si>
  <si>
    <t>REG101242</t>
  </si>
  <si>
    <t>Cust 5153</t>
  </si>
  <si>
    <t>REG101247</t>
  </si>
  <si>
    <t>Cust 8095</t>
  </si>
  <si>
    <t>REG101250</t>
  </si>
  <si>
    <t>Cust 6485</t>
  </si>
  <si>
    <t>03/05/2025</t>
  </si>
  <si>
    <t>REG101252</t>
  </si>
  <si>
    <t>Cust 1135</t>
  </si>
  <si>
    <t>05/01/2025</t>
  </si>
  <si>
    <t>REG101253</t>
  </si>
  <si>
    <t>Cust 6186</t>
  </si>
  <si>
    <t>REG101256</t>
  </si>
  <si>
    <t>Cust 4744</t>
  </si>
  <si>
    <t>REG101258</t>
  </si>
  <si>
    <t>Cust 2236</t>
  </si>
  <si>
    <t>REG101259</t>
  </si>
  <si>
    <t>18/02/2025</t>
  </si>
  <si>
    <t>REG101260</t>
  </si>
  <si>
    <t>Cust 5096</t>
  </si>
  <si>
    <t>REG101261</t>
  </si>
  <si>
    <t>Cust 1162</t>
  </si>
  <si>
    <t>21/03/2024</t>
  </si>
  <si>
    <t>03/07/2024</t>
  </si>
  <si>
    <t>REG101262</t>
  </si>
  <si>
    <t>Cust 1669</t>
  </si>
  <si>
    <t>REG101263</t>
  </si>
  <si>
    <t>Cust 6213</t>
  </si>
  <si>
    <t>REG101270</t>
  </si>
  <si>
    <t>Cust 5049</t>
  </si>
  <si>
    <t>REG101271</t>
  </si>
  <si>
    <t>Cust 9534</t>
  </si>
  <si>
    <t>06/02/2024</t>
  </si>
  <si>
    <t>REG101274</t>
  </si>
  <si>
    <t>Cust 7098</t>
  </si>
  <si>
    <t>REG101275</t>
  </si>
  <si>
    <t>Cust 8300</t>
  </si>
  <si>
    <t>REG101276</t>
  </si>
  <si>
    <t>Cust 9557</t>
  </si>
  <si>
    <t>02/05/2025</t>
  </si>
  <si>
    <t>REG101277</t>
  </si>
  <si>
    <t>Cust 8787</t>
  </si>
  <si>
    <t>REG101279</t>
  </si>
  <si>
    <t>Cust 2719</t>
  </si>
  <si>
    <t>14/09/2024</t>
  </si>
  <si>
    <t>REG101280</t>
  </si>
  <si>
    <t>Cust 6203</t>
  </si>
  <si>
    <t>REG101282</t>
  </si>
  <si>
    <t>14/11/2023</t>
  </si>
  <si>
    <t>REG101284</t>
  </si>
  <si>
    <t>Cust 1276</t>
  </si>
  <si>
    <t>19/08/2023</t>
  </si>
  <si>
    <t>REG101285</t>
  </si>
  <si>
    <t>Cust 6063</t>
  </si>
  <si>
    <t>21/12/2024</t>
  </si>
  <si>
    <t>REG101286</t>
  </si>
  <si>
    <t>Cust 7604</t>
  </si>
  <si>
    <t>REG101287</t>
  </si>
  <si>
    <t>Cust 9402</t>
  </si>
  <si>
    <t>REG101288</t>
  </si>
  <si>
    <t>Cust 4398</t>
  </si>
  <si>
    <t>REG101290</t>
  </si>
  <si>
    <t>Cust 2148</t>
  </si>
  <si>
    <t>REG101292</t>
  </si>
  <si>
    <t>Cust 4450</t>
  </si>
  <si>
    <t>07/11/2024</t>
  </si>
  <si>
    <t>REG101293</t>
  </si>
  <si>
    <t>Cust 8233</t>
  </si>
  <si>
    <t>REG101295</t>
  </si>
  <si>
    <t>Cust 1496</t>
  </si>
  <si>
    <t>REG101296</t>
  </si>
  <si>
    <t>Cust 9365</t>
  </si>
  <si>
    <t>REG101302</t>
  </si>
  <si>
    <t>Cust 7035</t>
  </si>
  <si>
    <t>REG101309</t>
  </si>
  <si>
    <t>Cust 9182</t>
  </si>
  <si>
    <t>REG101311</t>
  </si>
  <si>
    <t>Cust 9628</t>
  </si>
  <si>
    <t>REG101313</t>
  </si>
  <si>
    <t>Cust 7955</t>
  </si>
  <si>
    <t>REG101314</t>
  </si>
  <si>
    <t>Cust 3939</t>
  </si>
  <si>
    <t>REG101315</t>
  </si>
  <si>
    <t>Cust 7916</t>
  </si>
  <si>
    <t>08/07/2023</t>
  </si>
  <si>
    <t>REG101317</t>
  </si>
  <si>
    <t>Cust 3781</t>
  </si>
  <si>
    <t>17/02/2024</t>
  </si>
  <si>
    <t>REG101318</t>
  </si>
  <si>
    <t>Cust 2641</t>
  </si>
  <si>
    <t>REG101319</t>
  </si>
  <si>
    <t>Cust 1969</t>
  </si>
  <si>
    <t>REG101324</t>
  </si>
  <si>
    <t>Cust 9889</t>
  </si>
  <si>
    <t>11/04/2025</t>
  </si>
  <si>
    <t>REG101325</t>
  </si>
  <si>
    <t>Cust 2165</t>
  </si>
  <si>
    <t>REG101329</t>
  </si>
  <si>
    <t>Cust 4262</t>
  </si>
  <si>
    <t>12/10/2023</t>
  </si>
  <si>
    <t>07/05/2023</t>
  </si>
  <si>
    <t>REG101331</t>
  </si>
  <si>
    <t>Cust 7703</t>
  </si>
  <si>
    <t>REG101332</t>
  </si>
  <si>
    <t>Cust 8367</t>
  </si>
  <si>
    <t>REG101333</t>
  </si>
  <si>
    <t>14/03/2025</t>
  </si>
  <si>
    <t>REG101336</t>
  </si>
  <si>
    <t>Cust 1946</t>
  </si>
  <si>
    <t>21/07/2024</t>
  </si>
  <si>
    <t>05/07/2024</t>
  </si>
  <si>
    <t>REG101337</t>
  </si>
  <si>
    <t>Cust 6347</t>
  </si>
  <si>
    <t>REG101340</t>
  </si>
  <si>
    <t>Cust 6744</t>
  </si>
  <si>
    <t>05/12/2024</t>
  </si>
  <si>
    <t>REG101341</t>
  </si>
  <si>
    <t>Cust 5690</t>
  </si>
  <si>
    <t>REG101342</t>
  </si>
  <si>
    <t>Cust 1265</t>
  </si>
  <si>
    <t>03/08/2023</t>
  </si>
  <si>
    <t>REG101343</t>
  </si>
  <si>
    <t>Cust 7676</t>
  </si>
  <si>
    <t>REG101344</t>
  </si>
  <si>
    <t>Cust 4442</t>
  </si>
  <si>
    <t>21/02/2025</t>
  </si>
  <si>
    <t>REG101346</t>
  </si>
  <si>
    <t>Cust 7832</t>
  </si>
  <si>
    <t>REG101348</t>
  </si>
  <si>
    <t>Cust 8639</t>
  </si>
  <si>
    <t>REG101351</t>
  </si>
  <si>
    <t>Cust 4009</t>
  </si>
  <si>
    <t>03/08/2024</t>
  </si>
  <si>
    <t>REG101354</t>
  </si>
  <si>
    <t>Cust 2008</t>
  </si>
  <si>
    <t>REG101355</t>
  </si>
  <si>
    <t>Cust 6509</t>
  </si>
  <si>
    <t>REG101356</t>
  </si>
  <si>
    <t>Cust 4270</t>
  </si>
  <si>
    <t>REG101362</t>
  </si>
  <si>
    <t>Cust 1258</t>
  </si>
  <si>
    <t>REG101364</t>
  </si>
  <si>
    <t>Cust 9371</t>
  </si>
  <si>
    <t>REG101367</t>
  </si>
  <si>
    <t>Cust 9189</t>
  </si>
  <si>
    <t>15/01/2025</t>
  </si>
  <si>
    <t>REG101369</t>
  </si>
  <si>
    <t>Cust 8707</t>
  </si>
  <si>
    <t>02/06/2023</t>
  </si>
  <si>
    <t>REG101370</t>
  </si>
  <si>
    <t>Cust 5638</t>
  </si>
  <si>
    <t>REG101372</t>
  </si>
  <si>
    <t>Cust 5504</t>
  </si>
  <si>
    <t>11/12/2024</t>
  </si>
  <si>
    <t>REG101373</t>
  </si>
  <si>
    <t>Cust 1161</t>
  </si>
  <si>
    <t>14/12/2023</t>
  </si>
  <si>
    <t>REG101374</t>
  </si>
  <si>
    <t>Cust 5420</t>
  </si>
  <si>
    <t>REG101378</t>
  </si>
  <si>
    <t>Cust 9020</t>
  </si>
  <si>
    <t>REG101387</t>
  </si>
  <si>
    <t>Cust 9451</t>
  </si>
  <si>
    <t>02/03/2023</t>
  </si>
  <si>
    <t>REG101390</t>
  </si>
  <si>
    <t>Cust 7613</t>
  </si>
  <si>
    <t>REG101393</t>
  </si>
  <si>
    <t>Cust 5620</t>
  </si>
  <si>
    <t>REG101394</t>
  </si>
  <si>
    <t>REG101396</t>
  </si>
  <si>
    <t>Cust 3187</t>
  </si>
  <si>
    <t>04/01/2023</t>
  </si>
  <si>
    <t>REG101397</t>
  </si>
  <si>
    <t>Cust 1081</t>
  </si>
  <si>
    <t>REG101398</t>
  </si>
  <si>
    <t>REG101399</t>
  </si>
  <si>
    <t>Cust 5409</t>
  </si>
  <si>
    <t>REG101404</t>
  </si>
  <si>
    <t>Cust 7918</t>
  </si>
  <si>
    <t>REG101405</t>
  </si>
  <si>
    <t>Cust 3456</t>
  </si>
  <si>
    <t>17/11/2023</t>
  </si>
  <si>
    <t>REG101406</t>
  </si>
  <si>
    <t>Cust 8272</t>
  </si>
  <si>
    <t>10/05/2024</t>
  </si>
  <si>
    <t>REG101408</t>
  </si>
  <si>
    <t>Cust 6716</t>
  </si>
  <si>
    <t>REG101411</t>
  </si>
  <si>
    <t>Cust 1222</t>
  </si>
  <si>
    <t>REG101413</t>
  </si>
  <si>
    <t>Cust 1287</t>
  </si>
  <si>
    <t>REG101417</t>
  </si>
  <si>
    <t>Cust 6620</t>
  </si>
  <si>
    <t>REG101418</t>
  </si>
  <si>
    <t>Cust 4092</t>
  </si>
  <si>
    <t>REG101423</t>
  </si>
  <si>
    <t>19/05/2025</t>
  </si>
  <si>
    <t>REG101424</t>
  </si>
  <si>
    <t>Cust 4228</t>
  </si>
  <si>
    <t>REG101426</t>
  </si>
  <si>
    <t>Cust 4392</t>
  </si>
  <si>
    <t>REG101430</t>
  </si>
  <si>
    <t>Cust 2592</t>
  </si>
  <si>
    <t>REG101432</t>
  </si>
  <si>
    <t>Cust 6600</t>
  </si>
  <si>
    <t>REG101435</t>
  </si>
  <si>
    <t>Cust 6733</t>
  </si>
  <si>
    <t>REG101444</t>
  </si>
  <si>
    <t>Cust 6354</t>
  </si>
  <si>
    <t>REG101446</t>
  </si>
  <si>
    <t>Cust 6646</t>
  </si>
  <si>
    <t>REG101448</t>
  </si>
  <si>
    <t>Cust 5351</t>
  </si>
  <si>
    <t>REG101449</t>
  </si>
  <si>
    <t>Cust 6284</t>
  </si>
  <si>
    <t>REG101451</t>
  </si>
  <si>
    <t>19/04/2023</t>
  </si>
  <si>
    <t>REG101453</t>
  </si>
  <si>
    <t>Cust 8533</t>
  </si>
  <si>
    <t>08/10/2023</t>
  </si>
  <si>
    <t>REG101455</t>
  </si>
  <si>
    <t>02/01/2023</t>
  </si>
  <si>
    <t>REG101457</t>
  </si>
  <si>
    <t>Cust 2394</t>
  </si>
  <si>
    <t>12/01/2023</t>
  </si>
  <si>
    <t>04/09/2023</t>
  </si>
  <si>
    <t>REG101465</t>
  </si>
  <si>
    <t>Cust 5465</t>
  </si>
  <si>
    <t>REG101475</t>
  </si>
  <si>
    <t>Cust 6593</t>
  </si>
  <si>
    <t>11/05/2023</t>
  </si>
  <si>
    <t>REG101478</t>
  </si>
  <si>
    <t>Cust 8458</t>
  </si>
  <si>
    <t>REG101479</t>
  </si>
  <si>
    <t>20/09/2024</t>
  </si>
  <si>
    <t>REG101490</t>
  </si>
  <si>
    <t>Cust 1977</t>
  </si>
  <si>
    <t>REG101492</t>
  </si>
  <si>
    <t>Cust 2437</t>
  </si>
  <si>
    <t>REG101496</t>
  </si>
  <si>
    <t>Cust 5559</t>
  </si>
  <si>
    <t>17/01/2024</t>
  </si>
  <si>
    <t>REG101498</t>
  </si>
  <si>
    <t>Cust 1824</t>
  </si>
  <si>
    <t>REG101499</t>
  </si>
  <si>
    <t>Cust 1935</t>
  </si>
  <si>
    <t>Gross Revenue</t>
  </si>
  <si>
    <t>Total Discount</t>
  </si>
  <si>
    <t>Revennue</t>
  </si>
  <si>
    <t>Average Order Value</t>
  </si>
  <si>
    <t>Total Discount offered</t>
  </si>
  <si>
    <t>Total Returns</t>
  </si>
  <si>
    <t>Total Orders</t>
  </si>
  <si>
    <t>Revenue YOY%</t>
  </si>
  <si>
    <t>Average order value YOY%</t>
  </si>
  <si>
    <t>Total Discount YOY%</t>
  </si>
  <si>
    <t>Total Return YOY%</t>
  </si>
  <si>
    <t>Total Order YOY%</t>
  </si>
  <si>
    <t>KPIs</t>
  </si>
  <si>
    <t>YOY&amp;</t>
  </si>
  <si>
    <t>Row Labels</t>
  </si>
  <si>
    <t>Grand Total</t>
  </si>
  <si>
    <t>Total orders by month</t>
  </si>
  <si>
    <t>Total Returns by month</t>
  </si>
  <si>
    <t>Total Discount by month</t>
  </si>
  <si>
    <t>Average order value by month</t>
  </si>
  <si>
    <t>Revenue by month</t>
  </si>
  <si>
    <t>product_sales_data__1[Date]</t>
  </si>
  <si>
    <t>product_sales_data__1[Region]</t>
  </si>
  <si>
    <t>product_sales_data__1[Product]</t>
  </si>
  <si>
    <t>product_sales_data__1[Quantity]</t>
  </si>
  <si>
    <t>product_sales_data__1[UnitPrice]</t>
  </si>
  <si>
    <t>product_sales_data__1[StoreLocation]</t>
  </si>
  <si>
    <t>product_sales_data__1[CustomerType]</t>
  </si>
  <si>
    <t>product_sales_data__1[Discount]</t>
  </si>
  <si>
    <t>product_sales_data__1[Salesperson]</t>
  </si>
  <si>
    <t>product_sales_data__1[TotalPrice]</t>
  </si>
  <si>
    <t>product_sales_data__1[PaymentMethod]</t>
  </si>
  <si>
    <t>product_sales_data__1[Promotion]</t>
  </si>
  <si>
    <t>product_sales_data__1[Returned]</t>
  </si>
  <si>
    <t>product_sales_data__1[OrderID]</t>
  </si>
  <si>
    <t>product_sales_data__1[CustomerName]</t>
  </si>
  <si>
    <t>product_sales_data__1[ShippingCost]</t>
  </si>
  <si>
    <t>product_sales_data__1[OrderDate]</t>
  </si>
  <si>
    <t>product_sales_data__1[DeliveryDate]</t>
  </si>
  <si>
    <t>product_sales_data__1[RegionManager]</t>
  </si>
  <si>
    <t>product_sales_data__1[Order Month]</t>
  </si>
  <si>
    <t>product_sales_data__1[Gross Revenue]</t>
  </si>
  <si>
    <t>product_sales_data__1[Total Discount]</t>
  </si>
  <si>
    <t>Data returned for Revenue YOY% (First 1000 rows).</t>
  </si>
  <si>
    <t>Revennue2</t>
  </si>
  <si>
    <t>X</t>
  </si>
  <si>
    <t>Y</t>
  </si>
  <si>
    <t>Revenue</t>
  </si>
  <si>
    <t>Max</t>
  </si>
  <si>
    <t>Others</t>
  </si>
  <si>
    <t>Revenue by Customer type</t>
  </si>
  <si>
    <t>Data returned for Revennue, Retail (First 1000 rows).</t>
  </si>
  <si>
    <t>Revenue by Payment Method</t>
  </si>
  <si>
    <t>Revenue by Region</t>
  </si>
  <si>
    <t>Revenue by Sales Person</t>
  </si>
  <si>
    <t>Revenue by Regional Manager</t>
  </si>
  <si>
    <t>A</t>
  </si>
  <si>
    <t xml:space="preserve"> </t>
  </si>
  <si>
    <t>Avg Order Value</t>
  </si>
  <si>
    <t>Slicers</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</si>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</sst>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76" formatCode="[&gt;=1000000]0.0,,&quot;M&quot;;[&gt;=1000]0.0,&quot;K&quot;;0"/>
    <numFmt numFmtId="177" formatCode="[Green]\▲0.0%;[Red]\ \▼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3" tint="0.499984740745262"/>
        <bgColor indexed="64"/>
      </patternFill>
    </fill>
    <fill>
      <patternFill patternType="solid">
        <fgColor rgb="FF00000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0" fontId="0" fillId="0" borderId="0" xfId="0" applyNumberFormat="1"/>
    <xf numFmtId="14" fontId="0" fillId="0" borderId="0" xfId="0" applyNumberFormat="1"/>
    <xf numFmtId="2" fontId="0" fillId="0" borderId="0" xfId="0" applyNumberFormat="1"/>
    <xf numFmtId="44" fontId="0" fillId="0" borderId="0" xfId="1" applyFont="1"/>
    <xf numFmtId="44" fontId="0" fillId="0" borderId="0" xfId="0" applyNumberFormat="1"/>
    <xf numFmtId="0" fontId="0" fillId="0" borderId="0" xfId="0" pivotButton="1"/>
    <xf numFmtId="10" fontId="0" fillId="0" borderId="0" xfId="0" applyNumberFormat="1"/>
    <xf numFmtId="0" fontId="0" fillId="0" borderId="0" xfId="0" applyAlignment="1">
      <alignment horizontal="left"/>
    </xf>
    <xf numFmtId="0" fontId="0" fillId="0" borderId="0" xfId="0"/>
    <xf numFmtId="176" fontId="0" fillId="0" borderId="0" xfId="0" applyNumberFormat="1"/>
    <xf numFmtId="0" fontId="2" fillId="0" borderId="0" xfId="0" applyFont="1"/>
    <xf numFmtId="177" fontId="0" fillId="0" borderId="0" xfId="0" applyNumberFormat="1"/>
    <xf numFmtId="0" fontId="0" fillId="2" borderId="0" xfId="0" applyFill="1"/>
    <xf numFmtId="0" fontId="0" fillId="3" borderId="0" xfId="0" applyFill="1"/>
  </cellXfs>
  <cellStyles count="2">
    <cellStyle name="Currency" xfId="1" builtinId="4"/>
    <cellStyle name="Normal" xfId="0" builtinId="0"/>
  </cellStyles>
  <dxfs count="66">
    <dxf>
      <numFmt numFmtId="34" formatCode="_(&quot;$&quot;* #,##0.00_);_(&quot;$&quot;* \(#,##0.00\);_(&quot;$&quot;* &quot;-&quot;??_);_(@_)"/>
    </dxf>
    <dxf>
      <numFmt numFmtId="176" formatCode="[&gt;=1000000]0.0,,&quot;M&quot;;[&gt;=1000]0.0,&quot;K&quot;;0"/>
    </dxf>
    <dxf>
      <numFmt numFmtId="176" formatCode="[&gt;=1000000]0.0,,&quot;M&quot;;[&gt;=1000]0.0,&quot;K&quot;;0"/>
    </dxf>
    <dxf>
      <numFmt numFmtId="34" formatCode="_(&quot;$&quot;* #,##0.00_);_(&quot;$&quot;* \(#,##0.00\);_(&quot;$&quot;* &quot;-&quot;??_);_(@_)"/>
    </dxf>
    <dxf>
      <numFmt numFmtId="176" formatCode="[&gt;=1000000]0.0,,&quot;M&quot;;[&gt;=1000]0.0,&quot;K&quot;;0"/>
    </dxf>
    <dxf>
      <numFmt numFmtId="176" formatCode="[&gt;=1000000]0.0,,&quot;M&quot;;[&gt;=1000]0.0,&quot;K&quot;;0"/>
    </dxf>
    <dxf>
      <numFmt numFmtId="34" formatCode="_(&quot;$&quot;* #,##0.00_);_(&quot;$&quot;* \(#,##0.00\);_(&quot;$&quot;* &quot;-&quot;??_);_(@_)"/>
    </dxf>
    <dxf>
      <numFmt numFmtId="34" formatCode="_(&quot;$&quot;* #,##0.00_);_(&quot;$&quot;* \(#,##0.00\);_(&quot;$&quot;* &quot;-&quot;??_);_(@_)"/>
    </dxf>
    <dxf>
      <numFmt numFmtId="176" formatCode="[&gt;=1000000]0.0,,&quot;M&quot;;[&gt;=1000]0.0,&quot;K&quot;;0"/>
    </dxf>
    <dxf>
      <numFmt numFmtId="14" formatCode="0.00%"/>
    </dxf>
    <dxf>
      <numFmt numFmtId="34" formatCode="_(&quot;$&quot;* #,##0.00_);_(&quot;$&quot;* \(#,##0.00\);_(&quot;$&quot;* &quot;-&quot;??_);_(@_)"/>
    </dxf>
    <dxf>
      <numFmt numFmtId="34" formatCode="_(&quot;$&quot;* #,##0.00_);_(&quot;$&quot;* \(#,##0.00\);_(&quot;$&quot;* &quot;-&quot;??_);_(@_)"/>
    </dxf>
    <dxf>
      <numFmt numFmtId="176" formatCode="[&gt;=1000000]0.0,,&quot;M&quot;;[&gt;=1000]0.0,&quot;K&quot;;0"/>
    </dxf>
    <dxf>
      <numFmt numFmtId="14" formatCode="0.00%"/>
    </dxf>
    <dxf>
      <numFmt numFmtId="34" formatCode="_(&quot;$&quot;* #,##0.00_);_(&quot;$&quot;* \(#,##0.00\);_(&quot;$&quot;* &quot;-&quot;??_);_(@_)"/>
    </dxf>
    <dxf>
      <numFmt numFmtId="176" formatCode="[&gt;=1000000]0.0,,&quot;M&quot;;[&gt;=1000]0.0,&quot;K&quot;;0"/>
    </dxf>
    <dxf>
      <numFmt numFmtId="176" formatCode="[&gt;=1000000]0.0,,&quot;M&quot;;[&gt;=1000]0.0,&quot;K&quot;;0"/>
    </dxf>
    <dxf>
      <numFmt numFmtId="2" formatCode="0.00"/>
    </dxf>
    <dxf>
      <numFmt numFmtId="2" formatCode="0.00"/>
    </dxf>
    <dxf>
      <numFmt numFmtId="2" formatCode="0.00"/>
    </dxf>
    <dxf>
      <numFmt numFmtId="2" formatCode="0.00"/>
    </dxf>
    <dxf>
      <numFmt numFmtId="34" formatCode="_(&quot;$&quot;* #,##0.00_);_(&quot;$&quot;* \(#,##0.00\);_(&quot;$&quot;* &quot;-&quot;??_);_(@_)"/>
    </dxf>
    <dxf>
      <numFmt numFmtId="176" formatCode="[&gt;=1000000]0.0,,&quot;M&quot;;[&gt;=1000]0.0,&quot;K&quot;;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6" formatCode="[&gt;=1000000]0.0,,&quot;M&quot;;[&gt;=1000]0.0,&quot;K&quot;;0"/>
    </dxf>
    <dxf>
      <numFmt numFmtId="176" formatCode="[&gt;=1000000]0.0,,&quot;M&quot;;[&gt;=1000]0.0,&quot;K&quot;;0"/>
    </dxf>
    <dxf>
      <numFmt numFmtId="176" formatCode="[&gt;=1000000]0.0,,&quot;M&quot;;[&gt;=1000]0.0,&quot;K&quot;;0"/>
    </dxf>
    <dxf>
      <numFmt numFmtId="177" formatCode="[Green]\▲0.0%;[Red]\ \▼0.0%"/>
    </dxf>
    <dxf>
      <numFmt numFmtId="34" formatCode="_(&quot;$&quot;* #,##0.00_);_(&quot;$&quot;* \(#,##0.00\);_(&quot;$&quot;* &quot;-&quot;??_);_(@_)"/>
    </dxf>
    <dxf>
      <numFmt numFmtId="176" formatCode="[&gt;=1000000]0.0,,&quot;M&quot;;[&gt;=1000]0.0,&quot;K&quot;;0"/>
    </dxf>
    <dxf>
      <numFmt numFmtId="176" formatCode="[&gt;=1000000]0.0,,&quot;M&quot;;[&gt;=1000]0.0,&quot;K&quot;;0"/>
    </dxf>
    <dxf>
      <numFmt numFmtId="34" formatCode="_(&quot;$&quot;* #,##0.00_);_(&quot;$&quot;* \(#,##0.00\);_(&quot;$&quot;* &quot;-&quot;??_);_(@_)"/>
    </dxf>
    <dxf>
      <numFmt numFmtId="176" formatCode="[&gt;=1000000]0.0,,&quot;M&quot;;[&gt;=1000]0.0,&quot;K&quot;;0"/>
    </dxf>
    <dxf>
      <numFmt numFmtId="176" formatCode="[&gt;=1000000]0.0,,&quot;M&quot;;[&gt;=1000]0.0,&quot;K&quot;;0"/>
    </dxf>
    <dxf>
      <numFmt numFmtId="34" formatCode="_(&quot;$&quot;* #,##0.00_);_(&quot;$&quot;* \(#,##0.00\);_(&quot;$&quot;* &quot;-&quot;??_);_(@_)"/>
    </dxf>
    <dxf>
      <numFmt numFmtId="176" formatCode="[&gt;=1000000]0.0,,&quot;M&quot;;[&gt;=1000]0.0,&quot;K&quot;;0"/>
    </dxf>
    <dxf>
      <numFmt numFmtId="176" formatCode="[&gt;=1000000]0.0,,&quot;M&quot;;[&gt;=1000]0.0,&quot;K&quot;;0"/>
    </dxf>
    <dxf>
      <numFmt numFmtId="34" formatCode="_(&quot;$&quot;* #,##0.00_);_(&quot;$&quot;* \(#,##0.00\);_(&quot;$&quot;* &quot;-&quot;??_);_(@_)"/>
    </dxf>
    <dxf>
      <numFmt numFmtId="176" formatCode="[&gt;=1000000]0.0,,&quot;M&quot;;[&gt;=1000]0.0,&quot;K&quot;;0"/>
    </dxf>
    <dxf>
      <numFmt numFmtId="176" formatCode="[&gt;=1000000]0.0,,&quot;M&quot;;[&gt;=1000]0.0,&quot;K&quot;;0"/>
    </dxf>
    <dxf>
      <numFmt numFmtId="176" formatCode="[&gt;=1000000]0.0,,&quot;M&quot;;[&gt;=1000]0.0,&quot;K&quot;;0"/>
    </dxf>
    <dxf>
      <font>
        <b/>
        <color theme="1"/>
      </font>
      <border>
        <bottom style="thin">
          <color theme="0" tint="-0.34998626667073579"/>
        </bottom>
        <vertical/>
        <horizontal/>
      </border>
    </dxf>
    <dxf>
      <font>
        <sz val="8"/>
        <color theme="1"/>
        <name val="Arial"/>
        <family val="2"/>
        <scheme val="none"/>
      </font>
      <fill>
        <patternFill>
          <fgColor rgb="FF2962FF"/>
          <bgColor rgb="FF2962FF"/>
        </patternFill>
      </fill>
      <border diagonalUp="0" diagonalDown="0">
        <left/>
        <right/>
        <top/>
        <bottom/>
        <vertical/>
        <horizontal/>
      </border>
    </dxf>
    <dxf>
      <font>
        <b/>
        <color theme="1"/>
      </font>
      <fill>
        <patternFill patternType="none">
          <bgColor auto="1"/>
        </patternFill>
      </fill>
      <border>
        <bottom style="thin">
          <color theme="0" tint="-0.34998626667073579"/>
        </bottom>
        <vertical/>
        <horizontal/>
      </border>
    </dxf>
    <dxf>
      <font>
        <color theme="1"/>
      </font>
      <border diagonalUp="0" diagonalDown="0">
        <left style="thin">
          <color auto="1"/>
        </left>
        <right style="thin">
          <color auto="1"/>
        </right>
        <top style="thin">
          <color auto="1"/>
        </top>
        <bottom style="thin">
          <color auto="1"/>
        </bottom>
        <vertical/>
        <horizontal/>
      </border>
    </dxf>
    <dxf>
      <numFmt numFmtId="19" formatCode="m/d/yyyy"/>
    </dxf>
    <dxf>
      <numFmt numFmtId="19" formatCode="m/d/yyyy"/>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StyleOther1 2" pivot="0" table="0" count="10" xr9:uid="{8C82BDA5-EEAC-41BE-81AB-2808CE998941}">
      <tableStyleElement type="wholeTable" dxfId="47"/>
      <tableStyleElement type="headerRow" dxfId="46"/>
    </tableStyle>
    <tableStyle name="SlicerStyleOther1 3" pivot="0" table="0" count="10" xr9:uid="{CE1AC50A-D194-4F6B-B234-A5F2C58287FC}">
      <tableStyleElement type="wholeTable" dxfId="45"/>
      <tableStyleElement type="headerRow" dxfId="44"/>
    </tableStyle>
  </tableStyles>
  <colors>
    <mruColors>
      <color rgb="FF2962FF"/>
      <color rgb="FF00E5FF"/>
      <color rgb="FF82B1FF"/>
      <color rgb="FF00E676"/>
      <color rgb="FFE6FF80"/>
      <color rgb="FFA2CC00"/>
      <color rgb="FF80D8FF"/>
      <color rgb="FF0E1117"/>
      <color rgb="FF000000"/>
      <color rgb="FF0D0F14"/>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border>
            <left style="thin">
              <color rgb="FFCCCCCC"/>
            </left>
            <right style="thin">
              <color rgb="FFCCCCCC"/>
            </right>
            <top style="thin">
              <color rgb="FFCCCCCC"/>
            </top>
            <bottom style="thin">
              <color rgb="FFCCCCCC"/>
            </bottom>
            <vertical/>
            <horizontal/>
          </border>
        </dxf>
        <dxf>
          <font>
            <sz val="8"/>
            <color theme="0"/>
            <name val="Arial"/>
            <family val="2"/>
            <scheme val="none"/>
          </font>
          <fill>
            <patternFill patternType="solid">
              <fgColor rgb="FF2962FF"/>
              <bgColor rgb="FF2962FF"/>
            </patternFill>
          </fill>
          <border diagonalUp="0" diagonalDown="0">
            <left style="thin">
              <color theme="0"/>
            </left>
            <right style="thin">
              <color theme="0"/>
            </right>
            <top style="thin">
              <color theme="0"/>
            </top>
            <bottom style="thin">
              <color theme="0"/>
            </bottom>
            <vertical/>
            <horizontal/>
          </border>
        </dxf>
        <dxf>
          <font>
            <sz val="8"/>
            <color theme="1"/>
            <name val="Arial"/>
            <family val="2"/>
            <scheme val="none"/>
          </font>
          <fill>
            <patternFill patternType="solid">
              <fgColor rgb="FF2962FF"/>
              <bgColor rgb="FF2962FF"/>
            </patternFill>
          </fill>
          <border>
            <left style="thin">
              <color rgb="FFE0E0E0"/>
            </left>
            <right style="thin">
              <color rgb="FFE0E0E0"/>
            </right>
            <top style="thin">
              <color rgb="FFE0E0E0"/>
            </top>
            <bottom style="thin">
              <color rgb="FFE0E0E0"/>
            </bottom>
            <vertical/>
            <horizontal/>
          </border>
        </dxf>
        <dxf>
          <font>
            <sz val="8"/>
            <color rgb="FF000000"/>
            <name val="Arial"/>
            <family val="2"/>
            <scheme val="none"/>
          </font>
          <fill>
            <patternFill patternType="solid">
              <fgColor rgb="FF2962FF"/>
              <bgColor rgb="FF2962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theme="0"/>
            </patternFill>
          </fill>
          <border diagonalUp="0" diagonalDown="0">
            <left/>
            <right/>
            <top/>
            <bottom/>
            <vertical/>
            <horizontal/>
          </border>
        </dxf>
        <dxf>
          <font>
            <sz val="8"/>
            <color theme="1"/>
            <name val="Arial"/>
            <family val="2"/>
            <scheme val="none"/>
          </font>
          <fill>
            <patternFill patternType="solid">
              <fgColor indexed="64"/>
              <bgColor theme="0"/>
            </patternFill>
          </fill>
          <border diagonalUp="0" diagonalDown="0">
            <left/>
            <right/>
            <top/>
            <bottom/>
            <vertical/>
            <horizontal/>
          </border>
        </dxf>
        <dxf>
          <font>
            <color rgb="FF000000"/>
          </font>
          <fill>
            <patternFill patternType="none">
              <fgColor indexed="64"/>
              <bgColor auto="1"/>
            </patternFill>
          </fill>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theme" Target="theme/theme1.xml"/><Relationship Id="rId21" Type="http://schemas.openxmlformats.org/officeDocument/2006/relationships/pivotCacheDefinition" Target="pivotCache/pivotCacheDefinition16.xml"/><Relationship Id="rId34" Type="http://schemas.microsoft.com/office/2017/06/relationships/rdRichValueTypes" Target="richData/rdRichValueType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11/relationships/timelineCache" Target="timelineCaches/timelineCache1.xml"/><Relationship Id="rId33"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7.xml"/><Relationship Id="rId32" Type="http://schemas.microsoft.com/office/2017/06/relationships/rdRichValue" Target="richData/rdrichvalue.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2.xml"/><Relationship Id="rId28" Type="http://schemas.openxmlformats.org/officeDocument/2006/relationships/styles" Target="styles.xml"/><Relationship Id="rId36" Type="http://schemas.openxmlformats.org/officeDocument/2006/relationships/calcChain" Target="calcChain.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powerPivotData" Target="model/item.data"/><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
          <c:y val="5.0925925925925923E-2"/>
          <c:w val="0.86388888888888893"/>
          <c:h val="0.89814814814814814"/>
        </c:manualLayout>
      </c:layout>
      <c:bubbleChart>
        <c:varyColors val="0"/>
        <c:ser>
          <c:idx val="0"/>
          <c:order val="0"/>
          <c:tx>
            <c:v>Data</c:v>
          </c:tx>
          <c:spPr>
            <a:gradFill flip="none" rotWithShape="1">
              <a:gsLst>
                <a:gs pos="5000">
                  <a:srgbClr val="80D8FF"/>
                </a:gs>
                <a:gs pos="100000">
                  <a:srgbClr val="2962FF"/>
                </a:gs>
              </a:gsLst>
              <a:path path="circle">
                <a:fillToRect l="100000" t="100000"/>
              </a:path>
              <a:tileRect r="-100000" b="-100000"/>
            </a:gradFill>
            <a:ln w="25400">
              <a:noFill/>
            </a:ln>
            <a:effectLst>
              <a:outerShdw blurRad="88900" sx="103000" sy="103000" algn="ctr" rotWithShape="0">
                <a:srgbClr val="E6FF80">
                  <a:alpha val="49000"/>
                </a:srgbClr>
              </a:outerShdw>
            </a:effectLst>
          </c:spPr>
          <c:invertIfNegative val="0"/>
          <c:dLbls>
            <c:dLbl>
              <c:idx val="0"/>
              <c:tx>
                <c:rich>
                  <a:bodyPr/>
                  <a:lstStyle/>
                  <a:p>
                    <a:fld id="{2B9A44F0-457F-4126-BDD9-8F50F7B6780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CF0-4591-A323-C0D1CD5E0823}"/>
                </c:ext>
              </c:extLst>
            </c:dLbl>
            <c:dLbl>
              <c:idx val="1"/>
              <c:tx>
                <c:rich>
                  <a:bodyPr/>
                  <a:lstStyle/>
                  <a:p>
                    <a:fld id="{39526E94-9317-426B-99B6-9F6BF845F5C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CF0-4591-A323-C0D1CD5E0823}"/>
                </c:ext>
              </c:extLst>
            </c:dLbl>
            <c:dLbl>
              <c:idx val="2"/>
              <c:tx>
                <c:rich>
                  <a:bodyPr/>
                  <a:lstStyle/>
                  <a:p>
                    <a:fld id="{1C0BE322-FC61-4976-9FB2-D9FF024E9ED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CF0-4591-A323-C0D1CD5E0823}"/>
                </c:ext>
              </c:extLst>
            </c:dLbl>
            <c:dLbl>
              <c:idx val="3"/>
              <c:tx>
                <c:rich>
                  <a:bodyPr/>
                  <a:lstStyle/>
                  <a:p>
                    <a:fld id="{31B8FEB0-1930-45A8-B484-BEDCCEEC35A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CF0-4591-A323-C0D1CD5E0823}"/>
                </c:ext>
              </c:extLst>
            </c:dLbl>
            <c:dLbl>
              <c:idx val="4"/>
              <c:tx>
                <c:rich>
                  <a:bodyPr/>
                  <a:lstStyle/>
                  <a:p>
                    <a:fld id="{304BBC95-21CA-4653-93DC-54B1A66697B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CF0-4591-A323-C0D1CD5E0823}"/>
                </c:ext>
              </c:extLst>
            </c:dLbl>
            <c:dLbl>
              <c:idx val="5"/>
              <c:tx>
                <c:rich>
                  <a:bodyPr/>
                  <a:lstStyle/>
                  <a:p>
                    <a:fld id="{6D13EB05-0385-48B7-B5C2-2F7C3094616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CF0-4591-A323-C0D1CD5E0823}"/>
                </c:ext>
              </c:extLst>
            </c:dLbl>
            <c:dLbl>
              <c:idx val="6"/>
              <c:tx>
                <c:rich>
                  <a:bodyPr/>
                  <a:lstStyle/>
                  <a:p>
                    <a:fld id="{26AD32F0-1DC8-4B82-A822-103A47CF7FE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CF0-4591-A323-C0D1CD5E0823}"/>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 Table'!$AD$5:$AD$11</c:f>
              <c:numCache>
                <c:formatCode>General</c:formatCode>
                <c:ptCount val="7"/>
                <c:pt idx="0">
                  <c:v>2</c:v>
                </c:pt>
                <c:pt idx="1">
                  <c:v>4</c:v>
                </c:pt>
                <c:pt idx="2">
                  <c:v>5</c:v>
                </c:pt>
                <c:pt idx="3">
                  <c:v>1</c:v>
                </c:pt>
                <c:pt idx="4">
                  <c:v>7</c:v>
                </c:pt>
                <c:pt idx="5">
                  <c:v>8</c:v>
                </c:pt>
                <c:pt idx="6">
                  <c:v>6</c:v>
                </c:pt>
              </c:numCache>
            </c:numRef>
          </c:xVal>
          <c:yVal>
            <c:numRef>
              <c:f>'Pivot Table'!$AE$5:$AE$11</c:f>
              <c:numCache>
                <c:formatCode>General</c:formatCode>
                <c:ptCount val="7"/>
                <c:pt idx="0">
                  <c:v>3</c:v>
                </c:pt>
                <c:pt idx="1">
                  <c:v>9</c:v>
                </c:pt>
                <c:pt idx="2">
                  <c:v>1</c:v>
                </c:pt>
                <c:pt idx="3">
                  <c:v>6</c:v>
                </c:pt>
                <c:pt idx="4">
                  <c:v>2</c:v>
                </c:pt>
                <c:pt idx="5">
                  <c:v>7</c:v>
                </c:pt>
                <c:pt idx="6">
                  <c:v>8</c:v>
                </c:pt>
              </c:numCache>
            </c:numRef>
          </c:yVal>
          <c:bubbleSize>
            <c:numRef>
              <c:f>'Pivot Table'!$AF$5:$AF$11</c:f>
              <c:numCache>
                <c:formatCode>[&gt;=1000000]0.0,,"M";[&gt;=1000]0.0,"K";0</c:formatCode>
                <c:ptCount val="7"/>
                <c:pt idx="0">
                  <c:v>243724.61</c:v>
                </c:pt>
                <c:pt idx="1">
                  <c:v>217960.18</c:v>
                </c:pt>
                <c:pt idx="2">
                  <c:v>177995.96000000005</c:v>
                </c:pt>
                <c:pt idx="3">
                  <c:v>236635.08</c:v>
                </c:pt>
                <c:pt idx="4">
                  <c:v>205375.87000000014</c:v>
                </c:pt>
                <c:pt idx="5">
                  <c:v>248951.75999999995</c:v>
                </c:pt>
                <c:pt idx="6">
                  <c:v>289851.7900000001</c:v>
                </c:pt>
              </c:numCache>
            </c:numRef>
          </c:bubbleSize>
          <c:bubble3D val="0"/>
          <c:extLst>
            <c:ext xmlns:c15="http://schemas.microsoft.com/office/drawing/2012/chart" uri="{02D57815-91ED-43cb-92C2-25804820EDAC}">
              <c15:datalabelsRange>
                <c15:f>'Pivot Table'!$AH$5:$AH$11</c15:f>
                <c15:dlblRangeCache>
                  <c:ptCount val="7"/>
                  <c:pt idx="0">
                    <c:v>243.7K</c:v>
                  </c:pt>
                  <c:pt idx="1">
                    <c:v>218.0K</c:v>
                  </c:pt>
                  <c:pt idx="2">
                    <c:v>178.0K</c:v>
                  </c:pt>
                  <c:pt idx="3">
                    <c:v>236.6K</c:v>
                  </c:pt>
                  <c:pt idx="4">
                    <c:v>205.4K</c:v>
                  </c:pt>
                  <c:pt idx="5">
                    <c:v>249.0K</c:v>
                  </c:pt>
                </c15:dlblRangeCache>
              </c15:datalabelsRange>
            </c:ext>
            <c:ext xmlns:c16="http://schemas.microsoft.com/office/drawing/2014/chart" uri="{C3380CC4-5D6E-409C-BE32-E72D297353CC}">
              <c16:uniqueId val="{00000000-0CF0-4591-A323-C0D1CD5E0823}"/>
            </c:ext>
          </c:extLst>
        </c:ser>
        <c:ser>
          <c:idx val="1"/>
          <c:order val="1"/>
          <c:tx>
            <c:v>Max</c:v>
          </c:tx>
          <c:spPr>
            <a:gradFill>
              <a:gsLst>
                <a:gs pos="0">
                  <a:srgbClr val="E6FF80"/>
                </a:gs>
                <a:gs pos="100000">
                  <a:srgbClr val="A2CC00"/>
                </a:gs>
              </a:gsLst>
              <a:path path="circle">
                <a:fillToRect l="100000" t="100000"/>
              </a:path>
            </a:gradFill>
            <a:ln w="25400">
              <a:noFill/>
            </a:ln>
            <a:effectLst>
              <a:outerShdw blurRad="63500" sx="102000" sy="102000" algn="ctr" rotWithShape="0">
                <a:schemeClr val="bg1">
                  <a:alpha val="40000"/>
                </a:schemeClr>
              </a:outerShdw>
            </a:effectLst>
          </c:spPr>
          <c:invertIfNegative val="0"/>
          <c:dLbls>
            <c:dLbl>
              <c:idx val="0"/>
              <c:tx>
                <c:rich>
                  <a:bodyPr/>
                  <a:lstStyle/>
                  <a:p>
                    <a:fld id="{D66D6800-187A-45D8-B771-ECE854A6D27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CF0-4591-A323-C0D1CD5E0823}"/>
                </c:ext>
              </c:extLst>
            </c:dLbl>
            <c:dLbl>
              <c:idx val="1"/>
              <c:tx>
                <c:rich>
                  <a:bodyPr/>
                  <a:lstStyle/>
                  <a:p>
                    <a:fld id="{4C8DAD1F-6C97-4F4C-B37D-64B82CCD1E7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CF0-4591-A323-C0D1CD5E0823}"/>
                </c:ext>
              </c:extLst>
            </c:dLbl>
            <c:dLbl>
              <c:idx val="2"/>
              <c:tx>
                <c:rich>
                  <a:bodyPr/>
                  <a:lstStyle/>
                  <a:p>
                    <a:fld id="{888A0F87-D874-45DF-A39C-4AB235830EB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CF0-4591-A323-C0D1CD5E0823}"/>
                </c:ext>
              </c:extLst>
            </c:dLbl>
            <c:dLbl>
              <c:idx val="3"/>
              <c:tx>
                <c:rich>
                  <a:bodyPr/>
                  <a:lstStyle/>
                  <a:p>
                    <a:fld id="{9384DDEF-B96A-4FAD-BBC7-8A8C4D19878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CF0-4591-A323-C0D1CD5E0823}"/>
                </c:ext>
              </c:extLst>
            </c:dLbl>
            <c:dLbl>
              <c:idx val="4"/>
              <c:tx>
                <c:rich>
                  <a:bodyPr/>
                  <a:lstStyle/>
                  <a:p>
                    <a:fld id="{11E86549-750D-4740-A8F9-594871FC9F6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CF0-4591-A323-C0D1CD5E0823}"/>
                </c:ext>
              </c:extLst>
            </c:dLbl>
            <c:dLbl>
              <c:idx val="5"/>
              <c:tx>
                <c:rich>
                  <a:bodyPr/>
                  <a:lstStyle/>
                  <a:p>
                    <a:fld id="{F2A1F4D8-3815-42EA-8B63-88599FFC62B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CF0-4591-A323-C0D1CD5E0823}"/>
                </c:ext>
              </c:extLst>
            </c:dLbl>
            <c:dLbl>
              <c:idx val="6"/>
              <c:tx>
                <c:rich>
                  <a:bodyPr/>
                  <a:lstStyle/>
                  <a:p>
                    <a:fld id="{6219C3F1-44E5-4951-A040-34B5F1CCE73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CF0-4591-A323-C0D1CD5E08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'Pivot Table'!$AD$5:$AD$11</c:f>
              <c:numCache>
                <c:formatCode>General</c:formatCode>
                <c:ptCount val="7"/>
                <c:pt idx="0">
                  <c:v>2</c:v>
                </c:pt>
                <c:pt idx="1">
                  <c:v>4</c:v>
                </c:pt>
                <c:pt idx="2">
                  <c:v>5</c:v>
                </c:pt>
                <c:pt idx="3">
                  <c:v>1</c:v>
                </c:pt>
                <c:pt idx="4">
                  <c:v>7</c:v>
                </c:pt>
                <c:pt idx="5">
                  <c:v>8</c:v>
                </c:pt>
                <c:pt idx="6">
                  <c:v>6</c:v>
                </c:pt>
              </c:numCache>
            </c:numRef>
          </c:xVal>
          <c:yVal>
            <c:numRef>
              <c:f>'Pivot Table'!$AE$5:$AE$11</c:f>
              <c:numCache>
                <c:formatCode>General</c:formatCode>
                <c:ptCount val="7"/>
                <c:pt idx="0">
                  <c:v>3</c:v>
                </c:pt>
                <c:pt idx="1">
                  <c:v>9</c:v>
                </c:pt>
                <c:pt idx="2">
                  <c:v>1</c:v>
                </c:pt>
                <c:pt idx="3">
                  <c:v>6</c:v>
                </c:pt>
                <c:pt idx="4">
                  <c:v>2</c:v>
                </c:pt>
                <c:pt idx="5">
                  <c:v>7</c:v>
                </c:pt>
                <c:pt idx="6">
                  <c:v>8</c:v>
                </c:pt>
              </c:numCache>
            </c:numRef>
          </c:yVal>
          <c:bubbleSize>
            <c:numRef>
              <c:f>'Pivot Table'!$AG$5:$AG$11</c:f>
              <c:numCache>
                <c:formatCode>General</c:formatCode>
                <c:ptCount val="7"/>
                <c:pt idx="0">
                  <c:v>0</c:v>
                </c:pt>
                <c:pt idx="1">
                  <c:v>0</c:v>
                </c:pt>
                <c:pt idx="2">
                  <c:v>0</c:v>
                </c:pt>
                <c:pt idx="3">
                  <c:v>0</c:v>
                </c:pt>
                <c:pt idx="4">
                  <c:v>0</c:v>
                </c:pt>
                <c:pt idx="5">
                  <c:v>0</c:v>
                </c:pt>
                <c:pt idx="6" formatCode="[&gt;=1000000]0.0,,&quot;M&quot;;[&gt;=1000]0.0,&quot;K&quot;;0">
                  <c:v>289851.7900000001</c:v>
                </c:pt>
              </c:numCache>
            </c:numRef>
          </c:bubbleSize>
          <c:bubble3D val="0"/>
          <c:extLst>
            <c:ext xmlns:c15="http://schemas.microsoft.com/office/drawing/2012/chart" uri="{02D57815-91ED-43cb-92C2-25804820EDAC}">
              <c15:datalabelsRange>
                <c15:f>'Pivot Table'!$AG$5:$AG$11</c15:f>
                <c15:dlblRangeCache>
                  <c:ptCount val="7"/>
                  <c:pt idx="6">
                    <c:v>289.9K</c:v>
                  </c:pt>
                </c15:dlblRangeCache>
              </c15:datalabelsRange>
            </c:ext>
            <c:ext xmlns:c16="http://schemas.microsoft.com/office/drawing/2014/chart" uri="{C3380CC4-5D6E-409C-BE32-E72D297353CC}">
              <c16:uniqueId val="{00000001-0CF0-4591-A323-C0D1CD5E0823}"/>
            </c:ext>
          </c:extLst>
        </c:ser>
        <c:dLbls>
          <c:showLegendKey val="0"/>
          <c:showVal val="0"/>
          <c:showCatName val="0"/>
          <c:showSerName val="0"/>
          <c:showPercent val="0"/>
          <c:showBubbleSize val="0"/>
        </c:dLbls>
        <c:bubbleScale val="60"/>
        <c:showNegBubbles val="0"/>
        <c:axId val="853985600"/>
        <c:axId val="853988000"/>
      </c:bubbleChart>
      <c:valAx>
        <c:axId val="853985600"/>
        <c:scaling>
          <c:orientation val="minMax"/>
        </c:scaling>
        <c:delete val="1"/>
        <c:axPos val="b"/>
        <c:numFmt formatCode="General" sourceLinked="1"/>
        <c:majorTickMark val="none"/>
        <c:minorTickMark val="none"/>
        <c:tickLblPos val="nextTo"/>
        <c:crossAx val="853988000"/>
        <c:crosses val="autoZero"/>
        <c:crossBetween val="midCat"/>
      </c:valAx>
      <c:valAx>
        <c:axId val="853988000"/>
        <c:scaling>
          <c:orientation val="minMax"/>
        </c:scaling>
        <c:delete val="1"/>
        <c:axPos val="l"/>
        <c:numFmt formatCode="General" sourceLinked="1"/>
        <c:majorTickMark val="none"/>
        <c:minorTickMark val="none"/>
        <c:tickLblPos val="nextTo"/>
        <c:crossAx val="8539856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1st</c:v>
          </c:tx>
          <c:spPr>
            <a:gradFill>
              <a:gsLst>
                <a:gs pos="14000">
                  <a:srgbClr val="2962FF"/>
                </a:gs>
                <a:gs pos="56000">
                  <a:srgbClr val="80D8FF"/>
                </a:gs>
              </a:gsLst>
              <a:path path="circle">
                <a:fillToRect l="100000" t="100000"/>
              </a:path>
            </a:gradFill>
            <a:ln w="38100">
              <a:solidFill>
                <a:schemeClr val="tx1"/>
              </a:solidFill>
            </a:ln>
          </c:spPr>
          <c:dPt>
            <c:idx val="0"/>
            <c:bubble3D val="0"/>
            <c:spPr>
              <a:gradFill>
                <a:gsLst>
                  <a:gs pos="14000">
                    <a:srgbClr val="2962FF"/>
                  </a:gs>
                  <a:gs pos="56000">
                    <a:srgbClr val="80D8FF"/>
                  </a:gs>
                </a:gsLst>
                <a:path path="circle">
                  <a:fillToRect l="100000" t="100000"/>
                </a:path>
              </a:gradFill>
              <a:ln w="38100">
                <a:solidFill>
                  <a:schemeClr val="tx1"/>
                </a:solidFill>
              </a:ln>
              <a:effectLst/>
            </c:spPr>
          </c:dPt>
          <c:dPt>
            <c:idx val="1"/>
            <c:bubble3D val="0"/>
            <c:spPr>
              <a:gradFill>
                <a:gsLst>
                  <a:gs pos="14000">
                    <a:srgbClr val="2962FF"/>
                  </a:gs>
                  <a:gs pos="56000">
                    <a:srgbClr val="80D8FF"/>
                  </a:gs>
                </a:gsLst>
                <a:path path="circle">
                  <a:fillToRect l="100000" t="100000"/>
                </a:path>
              </a:gradFill>
              <a:ln w="38100">
                <a:solidFill>
                  <a:schemeClr val="tx1"/>
                </a:solidFill>
              </a:ln>
              <a:effectLst/>
            </c:spPr>
          </c:dPt>
          <c:dPt>
            <c:idx val="2"/>
            <c:bubble3D val="0"/>
            <c:spPr>
              <a:gradFill>
                <a:gsLst>
                  <a:gs pos="14000">
                    <a:srgbClr val="2962FF"/>
                  </a:gs>
                  <a:gs pos="56000">
                    <a:srgbClr val="80D8FF"/>
                  </a:gs>
                </a:gsLst>
                <a:path path="circle">
                  <a:fillToRect l="100000" t="100000"/>
                </a:path>
              </a:gradFill>
              <a:ln w="38100">
                <a:solidFill>
                  <a:schemeClr val="tx1"/>
                </a:solidFill>
              </a:ln>
              <a:effectLst/>
            </c:spPr>
          </c:dPt>
          <c:dPt>
            <c:idx val="3"/>
            <c:bubble3D val="0"/>
            <c:spPr>
              <a:gradFill>
                <a:gsLst>
                  <a:gs pos="14000">
                    <a:srgbClr val="2962FF"/>
                  </a:gs>
                  <a:gs pos="56000">
                    <a:srgbClr val="80D8FF"/>
                  </a:gs>
                </a:gsLst>
                <a:path path="circle">
                  <a:fillToRect l="100000" t="100000"/>
                </a:path>
              </a:gradFill>
              <a:ln w="38100">
                <a:solidFill>
                  <a:schemeClr val="tx1"/>
                </a:solidFill>
              </a:ln>
              <a:effectLst/>
            </c:spPr>
          </c:dPt>
          <c:dPt>
            <c:idx val="4"/>
            <c:bubble3D val="0"/>
            <c:spPr>
              <a:gradFill>
                <a:gsLst>
                  <a:gs pos="14000">
                    <a:srgbClr val="2962FF"/>
                  </a:gs>
                  <a:gs pos="56000">
                    <a:srgbClr val="80D8FF"/>
                  </a:gs>
                </a:gsLst>
                <a:path path="circle">
                  <a:fillToRect l="100000" t="100000"/>
                </a:path>
              </a:gradFill>
              <a:ln w="38100">
                <a:solidFill>
                  <a:schemeClr val="tx1"/>
                </a:solidFill>
              </a:ln>
              <a:effectLst/>
            </c:spPr>
          </c:dPt>
          <c:dPt>
            <c:idx val="5"/>
            <c:bubble3D val="0"/>
            <c:spPr>
              <a:gradFill>
                <a:gsLst>
                  <a:gs pos="14000">
                    <a:srgbClr val="2962FF"/>
                  </a:gs>
                  <a:gs pos="56000">
                    <a:srgbClr val="80D8FF"/>
                  </a:gs>
                </a:gsLst>
                <a:path path="circle">
                  <a:fillToRect l="100000" t="100000"/>
                </a:path>
              </a:gradFill>
              <a:ln w="38100">
                <a:solidFill>
                  <a:schemeClr val="tx1"/>
                </a:solidFill>
              </a:ln>
              <a:effectLst/>
            </c:spPr>
          </c:dPt>
          <c:dPt>
            <c:idx val="6"/>
            <c:bubble3D val="0"/>
            <c:spPr>
              <a:gradFill>
                <a:gsLst>
                  <a:gs pos="14000">
                    <a:srgbClr val="2962FF"/>
                  </a:gs>
                  <a:gs pos="56000">
                    <a:srgbClr val="80D8FF"/>
                  </a:gs>
                </a:gsLst>
                <a:path path="circle">
                  <a:fillToRect l="100000" t="100000"/>
                </a:path>
              </a:gradFill>
              <a:ln w="38100">
                <a:solidFill>
                  <a:schemeClr val="tx1"/>
                </a:solidFill>
              </a:ln>
              <a:effectLst/>
            </c:spPr>
          </c:dPt>
          <c:dPt>
            <c:idx val="7"/>
            <c:bubble3D val="0"/>
            <c:spPr>
              <a:gradFill>
                <a:gsLst>
                  <a:gs pos="14000">
                    <a:srgbClr val="2962FF"/>
                  </a:gs>
                  <a:gs pos="56000">
                    <a:srgbClr val="80D8FF"/>
                  </a:gs>
                </a:gsLst>
                <a:path path="circle">
                  <a:fillToRect l="100000" t="100000"/>
                </a:path>
              </a:gradFill>
              <a:ln w="38100">
                <a:solidFill>
                  <a:schemeClr val="tx1"/>
                </a:solidFill>
              </a:ln>
              <a:effectLst/>
            </c:spPr>
          </c:dPt>
          <c:dPt>
            <c:idx val="8"/>
            <c:bubble3D val="0"/>
            <c:spPr>
              <a:gradFill>
                <a:gsLst>
                  <a:gs pos="14000">
                    <a:srgbClr val="2962FF"/>
                  </a:gs>
                  <a:gs pos="56000">
                    <a:srgbClr val="80D8FF"/>
                  </a:gs>
                </a:gsLst>
                <a:path path="circle">
                  <a:fillToRect l="100000" t="100000"/>
                </a:path>
              </a:gradFill>
              <a:ln w="38100">
                <a:solidFill>
                  <a:schemeClr val="tx1"/>
                </a:solidFill>
              </a:ln>
              <a:effectLst/>
            </c:spPr>
          </c:dPt>
          <c:dPt>
            <c:idx val="9"/>
            <c:bubble3D val="0"/>
            <c:spPr>
              <a:gradFill>
                <a:gsLst>
                  <a:gs pos="14000">
                    <a:srgbClr val="2962FF"/>
                  </a:gs>
                  <a:gs pos="56000">
                    <a:srgbClr val="80D8FF"/>
                  </a:gs>
                </a:gsLst>
                <a:path path="circle">
                  <a:fillToRect l="100000" t="100000"/>
                </a:path>
              </a:gradFill>
              <a:ln w="38100">
                <a:solidFill>
                  <a:schemeClr val="tx1"/>
                </a:solidFill>
              </a:ln>
              <a:effectLst/>
            </c:spPr>
          </c:dPt>
          <c:dPt>
            <c:idx val="10"/>
            <c:bubble3D val="0"/>
            <c:spPr>
              <a:gradFill>
                <a:gsLst>
                  <a:gs pos="14000">
                    <a:srgbClr val="2962FF"/>
                  </a:gs>
                  <a:gs pos="56000">
                    <a:srgbClr val="80D8FF"/>
                  </a:gs>
                </a:gsLst>
                <a:path path="circle">
                  <a:fillToRect l="100000" t="100000"/>
                </a:path>
              </a:gradFill>
              <a:ln w="38100">
                <a:solidFill>
                  <a:schemeClr val="tx1"/>
                </a:solidFill>
              </a:ln>
              <a:effectLst/>
            </c:spPr>
          </c:dPt>
          <c:dPt>
            <c:idx val="11"/>
            <c:bubble3D val="0"/>
            <c:spPr>
              <a:gradFill>
                <a:gsLst>
                  <a:gs pos="14000">
                    <a:srgbClr val="2962FF"/>
                  </a:gs>
                  <a:gs pos="56000">
                    <a:srgbClr val="80D8FF"/>
                  </a:gs>
                </a:gsLst>
                <a:path path="circle">
                  <a:fillToRect l="100000" t="100000"/>
                </a:path>
              </a:gradFill>
              <a:ln w="38100">
                <a:solidFill>
                  <a:schemeClr val="tx1"/>
                </a:solidFill>
              </a:ln>
              <a:effectLst/>
            </c:spPr>
          </c:dPt>
          <c:dPt>
            <c:idx val="12"/>
            <c:bubble3D val="0"/>
            <c:spPr>
              <a:gradFill>
                <a:gsLst>
                  <a:gs pos="14000">
                    <a:srgbClr val="2962FF"/>
                  </a:gs>
                  <a:gs pos="56000">
                    <a:srgbClr val="80D8FF"/>
                  </a:gs>
                </a:gsLst>
                <a:path path="circle">
                  <a:fillToRect l="100000" t="100000"/>
                </a:path>
              </a:gradFill>
              <a:ln w="38100">
                <a:solidFill>
                  <a:schemeClr val="tx1"/>
                </a:solidFill>
              </a:ln>
              <a:effectLst/>
            </c:spPr>
          </c:dPt>
          <c:dPt>
            <c:idx val="13"/>
            <c:bubble3D val="0"/>
            <c:spPr>
              <a:gradFill>
                <a:gsLst>
                  <a:gs pos="14000">
                    <a:srgbClr val="2962FF"/>
                  </a:gs>
                  <a:gs pos="56000">
                    <a:srgbClr val="80D8FF"/>
                  </a:gs>
                </a:gsLst>
                <a:path path="circle">
                  <a:fillToRect l="100000" t="100000"/>
                </a:path>
              </a:gradFill>
              <a:ln w="38100">
                <a:solidFill>
                  <a:schemeClr val="tx1"/>
                </a:solidFill>
              </a:ln>
              <a:effectLst/>
            </c:spPr>
          </c:dPt>
          <c:dPt>
            <c:idx val="14"/>
            <c:bubble3D val="0"/>
            <c:spPr>
              <a:gradFill>
                <a:gsLst>
                  <a:gs pos="14000">
                    <a:srgbClr val="2962FF"/>
                  </a:gs>
                  <a:gs pos="56000">
                    <a:srgbClr val="80D8FF"/>
                  </a:gs>
                </a:gsLst>
                <a:path path="circle">
                  <a:fillToRect l="100000" t="100000"/>
                </a:path>
              </a:gradFill>
              <a:ln w="38100">
                <a:solidFill>
                  <a:schemeClr val="tx1"/>
                </a:solidFill>
              </a:ln>
              <a:effectLst/>
            </c:spPr>
          </c:dPt>
          <c:dPt>
            <c:idx val="15"/>
            <c:bubble3D val="0"/>
            <c:spPr>
              <a:gradFill>
                <a:gsLst>
                  <a:gs pos="14000">
                    <a:srgbClr val="2962FF"/>
                  </a:gs>
                  <a:gs pos="56000">
                    <a:srgbClr val="80D8FF"/>
                  </a:gs>
                </a:gsLst>
                <a:path path="circle">
                  <a:fillToRect l="100000" t="100000"/>
                </a:path>
              </a:gradFill>
              <a:ln w="38100">
                <a:solidFill>
                  <a:schemeClr val="tx1"/>
                </a:solidFill>
              </a:ln>
              <a:effectLst/>
            </c:spPr>
          </c:dPt>
          <c:dPt>
            <c:idx val="16"/>
            <c:bubble3D val="0"/>
            <c:spPr>
              <a:gradFill>
                <a:gsLst>
                  <a:gs pos="14000">
                    <a:srgbClr val="2962FF"/>
                  </a:gs>
                  <a:gs pos="56000">
                    <a:srgbClr val="80D8FF"/>
                  </a:gs>
                </a:gsLst>
                <a:path path="circle">
                  <a:fillToRect l="100000" t="100000"/>
                </a:path>
              </a:gradFill>
              <a:ln w="38100">
                <a:solidFill>
                  <a:schemeClr val="tx1"/>
                </a:solidFill>
              </a:ln>
              <a:effectLst/>
            </c:spPr>
          </c:dPt>
          <c:dPt>
            <c:idx val="17"/>
            <c:bubble3D val="0"/>
            <c:spPr>
              <a:gradFill>
                <a:gsLst>
                  <a:gs pos="14000">
                    <a:srgbClr val="2962FF"/>
                  </a:gs>
                  <a:gs pos="56000">
                    <a:srgbClr val="80D8FF"/>
                  </a:gs>
                </a:gsLst>
                <a:path path="circle">
                  <a:fillToRect l="100000" t="100000"/>
                </a:path>
              </a:gradFill>
              <a:ln w="38100">
                <a:solidFill>
                  <a:schemeClr val="tx1"/>
                </a:solidFill>
              </a:ln>
              <a:effectLst/>
            </c:spPr>
          </c:dPt>
          <c:dPt>
            <c:idx val="18"/>
            <c:bubble3D val="0"/>
            <c:spPr>
              <a:gradFill>
                <a:gsLst>
                  <a:gs pos="14000">
                    <a:srgbClr val="2962FF"/>
                  </a:gs>
                  <a:gs pos="56000">
                    <a:srgbClr val="80D8FF"/>
                  </a:gs>
                </a:gsLst>
                <a:path path="circle">
                  <a:fillToRect l="100000" t="100000"/>
                </a:path>
              </a:gradFill>
              <a:ln w="38100">
                <a:solidFill>
                  <a:schemeClr val="tx1"/>
                </a:solidFill>
              </a:ln>
              <a:effectLst/>
            </c:spPr>
          </c:dPt>
          <c:dPt>
            <c:idx val="19"/>
            <c:bubble3D val="0"/>
            <c:spPr>
              <a:gradFill>
                <a:gsLst>
                  <a:gs pos="14000">
                    <a:srgbClr val="2962FF"/>
                  </a:gs>
                  <a:gs pos="56000">
                    <a:srgbClr val="80D8FF"/>
                  </a:gs>
                </a:gsLst>
                <a:path path="circle">
                  <a:fillToRect l="100000" t="100000"/>
                </a:path>
              </a:gradFill>
              <a:ln w="38100">
                <a:solidFill>
                  <a:schemeClr val="tx1"/>
                </a:solidFill>
              </a:ln>
              <a:effectLst/>
            </c:spPr>
          </c:dPt>
          <c:dPt>
            <c:idx val="20"/>
            <c:bubble3D val="0"/>
            <c:spPr>
              <a:gradFill>
                <a:gsLst>
                  <a:gs pos="14000">
                    <a:srgbClr val="2962FF"/>
                  </a:gs>
                  <a:gs pos="56000">
                    <a:srgbClr val="80D8FF"/>
                  </a:gs>
                </a:gsLst>
                <a:path path="circle">
                  <a:fillToRect l="100000" t="100000"/>
                </a:path>
              </a:gradFill>
              <a:ln w="38100">
                <a:solidFill>
                  <a:schemeClr val="tx1"/>
                </a:solidFill>
              </a:ln>
              <a:effectLst/>
            </c:spPr>
          </c:dPt>
          <c:dPt>
            <c:idx val="21"/>
            <c:bubble3D val="0"/>
            <c:spPr>
              <a:gradFill>
                <a:gsLst>
                  <a:gs pos="14000">
                    <a:srgbClr val="2962FF"/>
                  </a:gs>
                  <a:gs pos="56000">
                    <a:srgbClr val="80D8FF"/>
                  </a:gs>
                </a:gsLst>
                <a:path path="circle">
                  <a:fillToRect l="100000" t="100000"/>
                </a:path>
              </a:gradFill>
              <a:ln w="38100">
                <a:solidFill>
                  <a:schemeClr val="tx1"/>
                </a:solidFill>
              </a:ln>
              <a:effectLst/>
            </c:spPr>
          </c:dPt>
          <c:dPt>
            <c:idx val="22"/>
            <c:bubble3D val="0"/>
            <c:spPr>
              <a:gradFill>
                <a:gsLst>
                  <a:gs pos="14000">
                    <a:srgbClr val="2962FF"/>
                  </a:gs>
                  <a:gs pos="56000">
                    <a:srgbClr val="80D8FF"/>
                  </a:gs>
                </a:gsLst>
                <a:path path="circle">
                  <a:fillToRect l="100000" t="100000"/>
                </a:path>
              </a:gradFill>
              <a:ln w="38100">
                <a:solidFill>
                  <a:schemeClr val="tx1"/>
                </a:solidFill>
              </a:ln>
              <a:effectLst/>
            </c:spPr>
          </c:dPt>
          <c:dPt>
            <c:idx val="23"/>
            <c:bubble3D val="0"/>
            <c:spPr>
              <a:gradFill>
                <a:gsLst>
                  <a:gs pos="14000">
                    <a:srgbClr val="2962FF"/>
                  </a:gs>
                  <a:gs pos="56000">
                    <a:srgbClr val="80D8FF"/>
                  </a:gs>
                </a:gsLst>
                <a:path path="circle">
                  <a:fillToRect l="100000" t="100000"/>
                </a:path>
              </a:gradFill>
              <a:ln w="38100">
                <a:solidFill>
                  <a:schemeClr val="tx1"/>
                </a:solidFill>
              </a:ln>
              <a:effectLst/>
            </c:spPr>
          </c:dPt>
          <c:dPt>
            <c:idx val="24"/>
            <c:bubble3D val="0"/>
            <c:spPr>
              <a:gradFill>
                <a:gsLst>
                  <a:gs pos="14000">
                    <a:srgbClr val="2962FF"/>
                  </a:gs>
                  <a:gs pos="56000">
                    <a:srgbClr val="80D8FF"/>
                  </a:gs>
                </a:gsLst>
                <a:path path="circle">
                  <a:fillToRect l="100000" t="100000"/>
                </a:path>
              </a:gradFill>
              <a:ln w="38100">
                <a:solidFill>
                  <a:schemeClr val="tx1"/>
                </a:solidFill>
              </a:ln>
              <a:effectLst/>
            </c:spPr>
          </c:dPt>
          <c:dPt>
            <c:idx val="25"/>
            <c:bubble3D val="0"/>
            <c:spPr>
              <a:gradFill>
                <a:gsLst>
                  <a:gs pos="14000">
                    <a:srgbClr val="2962FF"/>
                  </a:gs>
                  <a:gs pos="56000">
                    <a:srgbClr val="80D8FF"/>
                  </a:gs>
                </a:gsLst>
                <a:path path="circle">
                  <a:fillToRect l="100000" t="100000"/>
                </a:path>
              </a:gradFill>
              <a:ln w="38100">
                <a:solidFill>
                  <a:schemeClr val="tx1"/>
                </a:solidFill>
              </a:ln>
              <a:effectLst/>
            </c:spPr>
          </c:dPt>
          <c:dPt>
            <c:idx val="26"/>
            <c:bubble3D val="0"/>
            <c:spPr>
              <a:gradFill>
                <a:gsLst>
                  <a:gs pos="14000">
                    <a:srgbClr val="2962FF"/>
                  </a:gs>
                  <a:gs pos="56000">
                    <a:srgbClr val="80D8FF"/>
                  </a:gs>
                </a:gsLst>
                <a:path path="circle">
                  <a:fillToRect l="100000" t="100000"/>
                </a:path>
              </a:gradFill>
              <a:ln w="38100">
                <a:solidFill>
                  <a:schemeClr val="tx1"/>
                </a:solidFill>
              </a:ln>
              <a:effectLst/>
            </c:spPr>
          </c:dPt>
          <c:dPt>
            <c:idx val="27"/>
            <c:bubble3D val="0"/>
            <c:spPr>
              <a:gradFill>
                <a:gsLst>
                  <a:gs pos="14000">
                    <a:srgbClr val="2962FF"/>
                  </a:gs>
                  <a:gs pos="56000">
                    <a:srgbClr val="80D8FF"/>
                  </a:gs>
                </a:gsLst>
                <a:path path="circle">
                  <a:fillToRect l="100000" t="100000"/>
                </a:path>
              </a:gradFill>
              <a:ln w="38100">
                <a:solidFill>
                  <a:schemeClr val="tx1"/>
                </a:solidFill>
              </a:ln>
              <a:effectLst/>
            </c:spPr>
          </c:dPt>
          <c:dPt>
            <c:idx val="28"/>
            <c:bubble3D val="0"/>
            <c:spPr>
              <a:gradFill>
                <a:gsLst>
                  <a:gs pos="14000">
                    <a:srgbClr val="2962FF"/>
                  </a:gs>
                  <a:gs pos="56000">
                    <a:srgbClr val="80D8FF"/>
                  </a:gs>
                </a:gsLst>
                <a:path path="circle">
                  <a:fillToRect l="100000" t="100000"/>
                </a:path>
              </a:gradFill>
              <a:ln w="38100">
                <a:solidFill>
                  <a:schemeClr val="tx1"/>
                </a:solidFill>
              </a:ln>
              <a:effectLst/>
            </c:spPr>
          </c:dPt>
          <c:dPt>
            <c:idx val="29"/>
            <c:bubble3D val="0"/>
            <c:spPr>
              <a:gradFill>
                <a:gsLst>
                  <a:gs pos="14000">
                    <a:srgbClr val="2962FF"/>
                  </a:gs>
                  <a:gs pos="56000">
                    <a:srgbClr val="80D8FF"/>
                  </a:gs>
                </a:gsLst>
                <a:path path="circle">
                  <a:fillToRect l="100000" t="100000"/>
                </a:path>
              </a:gradFill>
              <a:ln w="38100">
                <a:solidFill>
                  <a:schemeClr val="tx1"/>
                </a:solidFill>
              </a:ln>
              <a:effectLst/>
            </c:spPr>
          </c:dPt>
          <c:dPt>
            <c:idx val="30"/>
            <c:bubble3D val="0"/>
            <c:spPr>
              <a:gradFill>
                <a:gsLst>
                  <a:gs pos="14000">
                    <a:srgbClr val="2962FF"/>
                  </a:gs>
                  <a:gs pos="56000">
                    <a:srgbClr val="80D8FF"/>
                  </a:gs>
                </a:gsLst>
                <a:path path="circle">
                  <a:fillToRect l="100000" t="100000"/>
                </a:path>
              </a:gradFill>
              <a:ln w="38100">
                <a:solidFill>
                  <a:schemeClr val="tx1"/>
                </a:solidFill>
              </a:ln>
              <a:effectLst/>
            </c:spPr>
          </c:dPt>
          <c:dPt>
            <c:idx val="31"/>
            <c:bubble3D val="0"/>
            <c:spPr>
              <a:gradFill>
                <a:gsLst>
                  <a:gs pos="14000">
                    <a:srgbClr val="2962FF"/>
                  </a:gs>
                  <a:gs pos="56000">
                    <a:srgbClr val="80D8FF"/>
                  </a:gs>
                </a:gsLst>
                <a:path path="circle">
                  <a:fillToRect l="100000" t="100000"/>
                </a:path>
              </a:gradFill>
              <a:ln w="38100">
                <a:solidFill>
                  <a:schemeClr val="tx1"/>
                </a:solidFill>
              </a:ln>
              <a:effectLst/>
            </c:spPr>
          </c:dPt>
          <c:dPt>
            <c:idx val="32"/>
            <c:bubble3D val="0"/>
            <c:spPr>
              <a:gradFill>
                <a:gsLst>
                  <a:gs pos="14000">
                    <a:srgbClr val="2962FF"/>
                  </a:gs>
                  <a:gs pos="56000">
                    <a:srgbClr val="80D8FF"/>
                  </a:gs>
                </a:gsLst>
                <a:path path="circle">
                  <a:fillToRect l="100000" t="100000"/>
                </a:path>
              </a:gradFill>
              <a:ln w="38100">
                <a:solidFill>
                  <a:schemeClr val="tx1"/>
                </a:solidFill>
              </a:ln>
              <a:effectLst/>
            </c:spPr>
          </c:dPt>
          <c:dPt>
            <c:idx val="33"/>
            <c:bubble3D val="0"/>
            <c:spPr>
              <a:gradFill>
                <a:gsLst>
                  <a:gs pos="14000">
                    <a:srgbClr val="2962FF"/>
                  </a:gs>
                  <a:gs pos="56000">
                    <a:srgbClr val="80D8FF"/>
                  </a:gs>
                </a:gsLst>
                <a:path path="circle">
                  <a:fillToRect l="100000" t="100000"/>
                </a:path>
              </a:gradFill>
              <a:ln w="38100">
                <a:solidFill>
                  <a:schemeClr val="tx1"/>
                </a:solidFill>
              </a:ln>
              <a:effectLst/>
            </c:spPr>
          </c:dPt>
          <c:dPt>
            <c:idx val="34"/>
            <c:bubble3D val="0"/>
            <c:spPr>
              <a:gradFill>
                <a:gsLst>
                  <a:gs pos="14000">
                    <a:srgbClr val="2962FF"/>
                  </a:gs>
                  <a:gs pos="56000">
                    <a:srgbClr val="80D8FF"/>
                  </a:gs>
                </a:gsLst>
                <a:path path="circle">
                  <a:fillToRect l="100000" t="100000"/>
                </a:path>
              </a:gradFill>
              <a:ln w="38100">
                <a:solidFill>
                  <a:schemeClr val="tx1"/>
                </a:solidFill>
              </a:ln>
              <a:effectLst/>
            </c:spPr>
          </c:dPt>
          <c:dPt>
            <c:idx val="35"/>
            <c:bubble3D val="0"/>
            <c:spPr>
              <a:gradFill>
                <a:gsLst>
                  <a:gs pos="14000">
                    <a:srgbClr val="2962FF"/>
                  </a:gs>
                  <a:gs pos="56000">
                    <a:srgbClr val="80D8FF"/>
                  </a:gs>
                </a:gsLst>
                <a:path path="circle">
                  <a:fillToRect l="100000" t="100000"/>
                </a:path>
              </a:gradFill>
              <a:ln w="38100">
                <a:solidFill>
                  <a:schemeClr val="tx1"/>
                </a:solidFill>
              </a:ln>
              <a:effectLst/>
            </c:spPr>
          </c:dPt>
          <c:dPt>
            <c:idx val="36"/>
            <c:bubble3D val="0"/>
            <c:spPr>
              <a:gradFill>
                <a:gsLst>
                  <a:gs pos="14000">
                    <a:srgbClr val="2962FF"/>
                  </a:gs>
                  <a:gs pos="56000">
                    <a:srgbClr val="80D8FF"/>
                  </a:gs>
                </a:gsLst>
                <a:path path="circle">
                  <a:fillToRect l="100000" t="100000"/>
                </a:path>
              </a:gradFill>
              <a:ln w="38100">
                <a:solidFill>
                  <a:schemeClr val="tx1"/>
                </a:solidFill>
              </a:ln>
              <a:effectLst/>
            </c:spPr>
          </c:dPt>
          <c:dPt>
            <c:idx val="37"/>
            <c:bubble3D val="0"/>
            <c:spPr>
              <a:gradFill>
                <a:gsLst>
                  <a:gs pos="14000">
                    <a:srgbClr val="2962FF"/>
                  </a:gs>
                  <a:gs pos="56000">
                    <a:srgbClr val="80D8FF"/>
                  </a:gs>
                </a:gsLst>
                <a:path path="circle">
                  <a:fillToRect l="100000" t="100000"/>
                </a:path>
              </a:gradFill>
              <a:ln w="38100">
                <a:solidFill>
                  <a:schemeClr val="tx1"/>
                </a:solidFill>
              </a:ln>
              <a:effectLst/>
            </c:spPr>
          </c:dPt>
          <c:dPt>
            <c:idx val="38"/>
            <c:bubble3D val="0"/>
            <c:spPr>
              <a:gradFill>
                <a:gsLst>
                  <a:gs pos="14000">
                    <a:srgbClr val="2962FF"/>
                  </a:gs>
                  <a:gs pos="56000">
                    <a:srgbClr val="80D8FF"/>
                  </a:gs>
                </a:gsLst>
                <a:path path="circle">
                  <a:fillToRect l="100000" t="100000"/>
                </a:path>
              </a:gradFill>
              <a:ln w="38100">
                <a:solidFill>
                  <a:schemeClr val="tx1"/>
                </a:solidFill>
              </a:ln>
              <a:effectLst/>
            </c:spPr>
          </c:dPt>
          <c:dPt>
            <c:idx val="39"/>
            <c:bubble3D val="0"/>
            <c:spPr>
              <a:gradFill>
                <a:gsLst>
                  <a:gs pos="14000">
                    <a:srgbClr val="2962FF"/>
                  </a:gs>
                  <a:gs pos="56000">
                    <a:srgbClr val="80D8FF"/>
                  </a:gs>
                </a:gsLst>
                <a:path path="circle">
                  <a:fillToRect l="100000" t="100000"/>
                </a:path>
              </a:gradFill>
              <a:ln w="38100">
                <a:solidFill>
                  <a:schemeClr val="tx1"/>
                </a:solidFill>
              </a:ln>
              <a:effectLst/>
            </c:spPr>
          </c:dPt>
          <c:dPt>
            <c:idx val="40"/>
            <c:bubble3D val="0"/>
            <c:spPr>
              <a:gradFill>
                <a:gsLst>
                  <a:gs pos="14000">
                    <a:srgbClr val="2962FF"/>
                  </a:gs>
                  <a:gs pos="56000">
                    <a:srgbClr val="80D8FF"/>
                  </a:gs>
                </a:gsLst>
                <a:path path="circle">
                  <a:fillToRect l="100000" t="100000"/>
                </a:path>
              </a:gradFill>
              <a:ln w="38100">
                <a:solidFill>
                  <a:schemeClr val="tx1"/>
                </a:solidFill>
              </a:ln>
              <a:effectLst/>
            </c:spPr>
          </c:dPt>
          <c:dPt>
            <c:idx val="41"/>
            <c:bubble3D val="0"/>
            <c:spPr>
              <a:gradFill>
                <a:gsLst>
                  <a:gs pos="14000">
                    <a:srgbClr val="2962FF"/>
                  </a:gs>
                  <a:gs pos="56000">
                    <a:srgbClr val="80D8FF"/>
                  </a:gs>
                </a:gsLst>
                <a:path path="circle">
                  <a:fillToRect l="100000" t="100000"/>
                </a:path>
              </a:gradFill>
              <a:ln w="38100">
                <a:solidFill>
                  <a:schemeClr val="tx1"/>
                </a:solidFill>
              </a:ln>
              <a:effectLst/>
            </c:spPr>
          </c:dPt>
          <c:dPt>
            <c:idx val="42"/>
            <c:bubble3D val="0"/>
            <c:spPr>
              <a:gradFill>
                <a:gsLst>
                  <a:gs pos="14000">
                    <a:srgbClr val="2962FF"/>
                  </a:gs>
                  <a:gs pos="56000">
                    <a:srgbClr val="80D8FF"/>
                  </a:gs>
                </a:gsLst>
                <a:path path="circle">
                  <a:fillToRect l="100000" t="100000"/>
                </a:path>
              </a:gradFill>
              <a:ln w="38100">
                <a:solidFill>
                  <a:schemeClr val="tx1"/>
                </a:solidFill>
              </a:ln>
              <a:effectLst/>
            </c:spPr>
          </c:dPt>
          <c:dPt>
            <c:idx val="43"/>
            <c:bubble3D val="0"/>
            <c:spPr>
              <a:gradFill>
                <a:gsLst>
                  <a:gs pos="14000">
                    <a:srgbClr val="2962FF"/>
                  </a:gs>
                  <a:gs pos="56000">
                    <a:srgbClr val="80D8FF"/>
                  </a:gs>
                </a:gsLst>
                <a:path path="circle">
                  <a:fillToRect l="100000" t="100000"/>
                </a:path>
              </a:gradFill>
              <a:ln w="38100">
                <a:solidFill>
                  <a:schemeClr val="tx1"/>
                </a:solidFill>
              </a:ln>
              <a:effectLst/>
            </c:spPr>
          </c:dPt>
          <c:dPt>
            <c:idx val="44"/>
            <c:bubble3D val="0"/>
            <c:spPr>
              <a:gradFill>
                <a:gsLst>
                  <a:gs pos="14000">
                    <a:srgbClr val="2962FF"/>
                  </a:gs>
                  <a:gs pos="56000">
                    <a:srgbClr val="80D8FF"/>
                  </a:gs>
                </a:gsLst>
                <a:path path="circle">
                  <a:fillToRect l="100000" t="100000"/>
                </a:path>
              </a:gradFill>
              <a:ln w="38100">
                <a:solidFill>
                  <a:schemeClr val="tx1"/>
                </a:solidFill>
              </a:ln>
              <a:effectLst/>
            </c:spPr>
          </c:dPt>
          <c:dPt>
            <c:idx val="45"/>
            <c:bubble3D val="0"/>
            <c:spPr>
              <a:gradFill>
                <a:gsLst>
                  <a:gs pos="14000">
                    <a:srgbClr val="2962FF"/>
                  </a:gs>
                  <a:gs pos="56000">
                    <a:srgbClr val="80D8FF"/>
                  </a:gs>
                </a:gsLst>
                <a:path path="circle">
                  <a:fillToRect l="100000" t="100000"/>
                </a:path>
              </a:gradFill>
              <a:ln w="38100">
                <a:solidFill>
                  <a:schemeClr val="tx1"/>
                </a:solidFill>
              </a:ln>
              <a:effectLst/>
            </c:spPr>
          </c:dPt>
          <c:dPt>
            <c:idx val="46"/>
            <c:bubble3D val="0"/>
            <c:spPr>
              <a:gradFill>
                <a:gsLst>
                  <a:gs pos="14000">
                    <a:srgbClr val="2962FF"/>
                  </a:gs>
                  <a:gs pos="56000">
                    <a:srgbClr val="80D8FF"/>
                  </a:gs>
                </a:gsLst>
                <a:path path="circle">
                  <a:fillToRect l="100000" t="100000"/>
                </a:path>
              </a:gradFill>
              <a:ln w="38100">
                <a:solidFill>
                  <a:schemeClr val="tx1"/>
                </a:solidFill>
              </a:ln>
              <a:effectLst/>
            </c:spPr>
          </c:dPt>
          <c:dPt>
            <c:idx val="47"/>
            <c:bubble3D val="0"/>
            <c:spPr>
              <a:gradFill>
                <a:gsLst>
                  <a:gs pos="14000">
                    <a:srgbClr val="2962FF"/>
                  </a:gs>
                  <a:gs pos="56000">
                    <a:srgbClr val="80D8FF"/>
                  </a:gs>
                </a:gsLst>
                <a:path path="circle">
                  <a:fillToRect l="100000" t="100000"/>
                </a:path>
              </a:gradFill>
              <a:ln w="38100">
                <a:solidFill>
                  <a:schemeClr val="tx1"/>
                </a:solidFill>
              </a:ln>
              <a:effectLst/>
            </c:spPr>
          </c:dPt>
          <c:dPt>
            <c:idx val="48"/>
            <c:bubble3D val="0"/>
            <c:spPr>
              <a:gradFill>
                <a:gsLst>
                  <a:gs pos="14000">
                    <a:srgbClr val="2962FF"/>
                  </a:gs>
                  <a:gs pos="56000">
                    <a:srgbClr val="80D8FF"/>
                  </a:gs>
                </a:gsLst>
                <a:path path="circle">
                  <a:fillToRect l="100000" t="100000"/>
                </a:path>
              </a:gradFill>
              <a:ln w="38100">
                <a:solidFill>
                  <a:schemeClr val="tx1"/>
                </a:solidFill>
              </a:ln>
              <a:effectLst/>
            </c:spPr>
          </c:dPt>
          <c:dPt>
            <c:idx val="49"/>
            <c:bubble3D val="0"/>
            <c:spPr>
              <a:gradFill>
                <a:gsLst>
                  <a:gs pos="14000">
                    <a:srgbClr val="2962FF"/>
                  </a:gs>
                  <a:gs pos="56000">
                    <a:srgbClr val="80D8FF"/>
                  </a:gs>
                </a:gsLst>
                <a:path path="circle">
                  <a:fillToRect l="100000" t="100000"/>
                </a:path>
              </a:gradFill>
              <a:ln w="38100">
                <a:solidFill>
                  <a:schemeClr val="tx1"/>
                </a:solidFill>
              </a:ln>
              <a:effectLst/>
            </c:spPr>
          </c:dPt>
          <c:dPt>
            <c:idx val="50"/>
            <c:bubble3D val="0"/>
            <c:spPr>
              <a:gradFill>
                <a:gsLst>
                  <a:gs pos="14000">
                    <a:srgbClr val="2962FF"/>
                  </a:gs>
                  <a:gs pos="56000">
                    <a:srgbClr val="80D8FF"/>
                  </a:gs>
                </a:gsLst>
                <a:path path="circle">
                  <a:fillToRect l="100000" t="100000"/>
                </a:path>
              </a:gradFill>
              <a:ln w="38100">
                <a:solidFill>
                  <a:schemeClr val="tx1"/>
                </a:solidFill>
              </a:ln>
              <a:effectLst/>
            </c:spPr>
          </c:dPt>
          <c:dPt>
            <c:idx val="51"/>
            <c:bubble3D val="0"/>
            <c:spPr>
              <a:gradFill>
                <a:gsLst>
                  <a:gs pos="14000">
                    <a:srgbClr val="2962FF"/>
                  </a:gs>
                  <a:gs pos="56000">
                    <a:srgbClr val="80D8FF"/>
                  </a:gs>
                </a:gsLst>
                <a:path path="circle">
                  <a:fillToRect l="100000" t="100000"/>
                </a:path>
              </a:gradFill>
              <a:ln w="38100">
                <a:solidFill>
                  <a:schemeClr val="tx1"/>
                </a:solidFill>
              </a:ln>
              <a:effectLst/>
            </c:spPr>
          </c:dPt>
          <c:dPt>
            <c:idx val="52"/>
            <c:bubble3D val="0"/>
            <c:spPr>
              <a:gradFill>
                <a:gsLst>
                  <a:gs pos="14000">
                    <a:srgbClr val="2962FF"/>
                  </a:gs>
                  <a:gs pos="56000">
                    <a:srgbClr val="80D8FF"/>
                  </a:gs>
                </a:gsLst>
                <a:path path="circle">
                  <a:fillToRect l="100000" t="100000"/>
                </a:path>
              </a:gradFill>
              <a:ln w="38100">
                <a:solidFill>
                  <a:schemeClr val="tx1"/>
                </a:solidFill>
              </a:ln>
              <a:effectLst/>
            </c:spPr>
          </c:dPt>
          <c:dPt>
            <c:idx val="53"/>
            <c:bubble3D val="0"/>
            <c:spPr>
              <a:gradFill>
                <a:gsLst>
                  <a:gs pos="14000">
                    <a:srgbClr val="2962FF"/>
                  </a:gs>
                  <a:gs pos="56000">
                    <a:srgbClr val="80D8FF"/>
                  </a:gs>
                </a:gsLst>
                <a:path path="circle">
                  <a:fillToRect l="100000" t="100000"/>
                </a:path>
              </a:gradFill>
              <a:ln w="38100">
                <a:solidFill>
                  <a:schemeClr val="tx1"/>
                </a:solidFill>
              </a:ln>
              <a:effectLst/>
            </c:spPr>
          </c:dPt>
          <c:dPt>
            <c:idx val="54"/>
            <c:bubble3D val="0"/>
            <c:spPr>
              <a:gradFill>
                <a:gsLst>
                  <a:gs pos="14000">
                    <a:srgbClr val="2962FF"/>
                  </a:gs>
                  <a:gs pos="56000">
                    <a:srgbClr val="80D8FF"/>
                  </a:gs>
                </a:gsLst>
                <a:path path="circle">
                  <a:fillToRect l="100000" t="100000"/>
                </a:path>
              </a:gradFill>
              <a:ln w="38100">
                <a:solidFill>
                  <a:schemeClr val="tx1"/>
                </a:solidFill>
              </a:ln>
              <a:effectLst/>
            </c:spPr>
          </c:dPt>
          <c:dPt>
            <c:idx val="55"/>
            <c:bubble3D val="0"/>
            <c:spPr>
              <a:gradFill>
                <a:gsLst>
                  <a:gs pos="14000">
                    <a:srgbClr val="2962FF"/>
                  </a:gs>
                  <a:gs pos="56000">
                    <a:srgbClr val="80D8FF"/>
                  </a:gs>
                </a:gsLst>
                <a:path path="circle">
                  <a:fillToRect l="100000" t="100000"/>
                </a:path>
              </a:gradFill>
              <a:ln w="38100">
                <a:solidFill>
                  <a:schemeClr val="tx1"/>
                </a:solidFill>
              </a:ln>
              <a:effectLst/>
            </c:spPr>
          </c:dPt>
          <c:dPt>
            <c:idx val="56"/>
            <c:bubble3D val="0"/>
            <c:spPr>
              <a:gradFill>
                <a:gsLst>
                  <a:gs pos="14000">
                    <a:srgbClr val="2962FF"/>
                  </a:gs>
                  <a:gs pos="56000">
                    <a:srgbClr val="80D8FF"/>
                  </a:gs>
                </a:gsLst>
                <a:path path="circle">
                  <a:fillToRect l="100000" t="100000"/>
                </a:path>
              </a:gradFill>
              <a:ln w="38100">
                <a:solidFill>
                  <a:schemeClr val="tx1"/>
                </a:solidFill>
              </a:ln>
              <a:effectLst/>
            </c:spPr>
          </c:dPt>
          <c:dPt>
            <c:idx val="57"/>
            <c:bubble3D val="0"/>
            <c:spPr>
              <a:gradFill>
                <a:gsLst>
                  <a:gs pos="14000">
                    <a:srgbClr val="2962FF"/>
                  </a:gs>
                  <a:gs pos="56000">
                    <a:srgbClr val="80D8FF"/>
                  </a:gs>
                </a:gsLst>
                <a:path path="circle">
                  <a:fillToRect l="100000" t="100000"/>
                </a:path>
              </a:gradFill>
              <a:ln w="38100">
                <a:solidFill>
                  <a:schemeClr val="tx1"/>
                </a:solidFill>
              </a:ln>
              <a:effectLst/>
            </c:spPr>
          </c:dPt>
          <c:dPt>
            <c:idx val="58"/>
            <c:bubble3D val="0"/>
            <c:spPr>
              <a:gradFill>
                <a:gsLst>
                  <a:gs pos="14000">
                    <a:srgbClr val="2962FF"/>
                  </a:gs>
                  <a:gs pos="56000">
                    <a:srgbClr val="80D8FF"/>
                  </a:gs>
                </a:gsLst>
                <a:path path="circle">
                  <a:fillToRect l="100000" t="100000"/>
                </a:path>
              </a:gradFill>
              <a:ln w="38100">
                <a:solidFill>
                  <a:schemeClr val="tx1"/>
                </a:solidFill>
              </a:ln>
              <a:effectLst/>
            </c:spPr>
          </c:dPt>
          <c:dPt>
            <c:idx val="59"/>
            <c:bubble3D val="0"/>
            <c:spPr>
              <a:gradFill>
                <a:gsLst>
                  <a:gs pos="14000">
                    <a:srgbClr val="2962FF"/>
                  </a:gs>
                  <a:gs pos="56000">
                    <a:srgbClr val="80D8FF"/>
                  </a:gs>
                </a:gsLst>
                <a:path path="circle">
                  <a:fillToRect l="100000" t="100000"/>
                </a:path>
              </a:gradFill>
              <a:ln w="38100">
                <a:solidFill>
                  <a:schemeClr val="tx1"/>
                </a:solidFill>
              </a:ln>
              <a:effectLst/>
            </c:spPr>
          </c:dPt>
          <c:dPt>
            <c:idx val="60"/>
            <c:bubble3D val="0"/>
            <c:spPr>
              <a:gradFill>
                <a:gsLst>
                  <a:gs pos="14000">
                    <a:srgbClr val="2962FF"/>
                  </a:gs>
                  <a:gs pos="56000">
                    <a:srgbClr val="80D8FF"/>
                  </a:gs>
                </a:gsLst>
                <a:path path="circle">
                  <a:fillToRect l="100000" t="100000"/>
                </a:path>
              </a:gradFill>
              <a:ln w="38100">
                <a:solidFill>
                  <a:schemeClr val="tx1"/>
                </a:solidFill>
              </a:ln>
              <a:effectLst/>
            </c:spPr>
          </c:dPt>
          <c:dPt>
            <c:idx val="61"/>
            <c:bubble3D val="0"/>
            <c:spPr>
              <a:gradFill>
                <a:gsLst>
                  <a:gs pos="14000">
                    <a:srgbClr val="2962FF"/>
                  </a:gs>
                  <a:gs pos="56000">
                    <a:srgbClr val="80D8FF"/>
                  </a:gs>
                </a:gsLst>
                <a:path path="circle">
                  <a:fillToRect l="100000" t="100000"/>
                </a:path>
              </a:gradFill>
              <a:ln w="38100">
                <a:solidFill>
                  <a:schemeClr val="tx1"/>
                </a:solidFill>
              </a:ln>
              <a:effectLst/>
            </c:spPr>
          </c:dPt>
          <c:dPt>
            <c:idx val="62"/>
            <c:bubble3D val="0"/>
            <c:spPr>
              <a:gradFill>
                <a:gsLst>
                  <a:gs pos="14000">
                    <a:srgbClr val="2962FF"/>
                  </a:gs>
                  <a:gs pos="56000">
                    <a:srgbClr val="80D8FF"/>
                  </a:gs>
                </a:gsLst>
                <a:path path="circle">
                  <a:fillToRect l="100000" t="100000"/>
                </a:path>
              </a:gradFill>
              <a:ln w="38100">
                <a:solidFill>
                  <a:schemeClr val="tx1"/>
                </a:solidFill>
              </a:ln>
              <a:effectLst/>
            </c:spPr>
          </c:dPt>
          <c:val>
            <c:numLit>
              <c:formatCode>General</c:formatCode>
              <c:ptCount val="6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numLit>
          </c:val>
          <c:extLst>
            <c:ext xmlns:c16="http://schemas.microsoft.com/office/drawing/2014/chart" uri="{C3380CC4-5D6E-409C-BE32-E72D297353CC}">
              <c16:uniqueId val="{00000001-E352-4840-BF6B-2DD59FFB25B2}"/>
            </c:ext>
          </c:extLst>
        </c:ser>
        <c:dLbls>
          <c:showLegendKey val="0"/>
          <c:showVal val="0"/>
          <c:showCatName val="0"/>
          <c:showSerName val="0"/>
          <c:showPercent val="0"/>
          <c:showBubbleSize val="0"/>
          <c:showLeaderLines val="1"/>
        </c:dLbls>
        <c:firstSliceAng val="0"/>
        <c:holeSize val="75"/>
      </c:doughnutChart>
      <c:pieChart>
        <c:varyColors val="1"/>
        <c:ser>
          <c:idx val="1"/>
          <c:order val="1"/>
          <c:tx>
            <c:v>Customer Type</c:v>
          </c:tx>
          <c:spPr>
            <a:ln>
              <a:noFill/>
            </a:ln>
          </c:spPr>
          <c:dPt>
            <c:idx val="0"/>
            <c:bubble3D val="0"/>
            <c:spPr>
              <a:noFill/>
              <a:ln w="19050">
                <a:noFill/>
              </a:ln>
              <a:effectLst/>
            </c:spPr>
            <c:extLst>
              <c:ext xmlns:c16="http://schemas.microsoft.com/office/drawing/2014/chart" uri="{C3380CC4-5D6E-409C-BE32-E72D297353CC}">
                <c16:uniqueId val="{00000003-E352-4840-BF6B-2DD59FFB25B2}"/>
              </c:ext>
            </c:extLst>
          </c:dPt>
          <c:dPt>
            <c:idx val="1"/>
            <c:bubble3D val="0"/>
            <c:spPr>
              <a:solidFill>
                <a:schemeClr val="tx1">
                  <a:alpha val="80000"/>
                </a:schemeClr>
              </a:solidFill>
              <a:ln w="19050">
                <a:noFill/>
              </a:ln>
              <a:effectLst/>
            </c:spPr>
            <c:extLst>
              <c:ext xmlns:c16="http://schemas.microsoft.com/office/drawing/2014/chart" uri="{C3380CC4-5D6E-409C-BE32-E72D297353CC}">
                <c16:uniqueId val="{00000004-E352-4840-BF6B-2DD59FFB25B2}"/>
              </c:ext>
            </c:extLst>
          </c:dPt>
          <c:val>
            <c:numRef>
              <c:f>'Pivot Table'!$I$21:$I$22</c:f>
              <c:numCache>
                <c:formatCode>0.00%</c:formatCode>
                <c:ptCount val="2"/>
                <c:pt idx="0">
                  <c:v>0.52267751479061764</c:v>
                </c:pt>
                <c:pt idx="1">
                  <c:v>0.47732248520938286</c:v>
                </c:pt>
              </c:numCache>
            </c:numRef>
          </c:val>
          <c:extLst>
            <c:ext xmlns:c16="http://schemas.microsoft.com/office/drawing/2014/chart" uri="{C3380CC4-5D6E-409C-BE32-E72D297353CC}">
              <c16:uniqueId val="{00000002-E352-4840-BF6B-2DD59FFB25B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022071307300511E-2"/>
          <c:y val="5.4688268368259838E-2"/>
          <c:w val="0.93463029557638067"/>
          <c:h val="0.92072157741004723"/>
        </c:manualLayout>
      </c:layout>
      <c:bubbleChart>
        <c:varyColors val="0"/>
        <c:ser>
          <c:idx val="0"/>
          <c:order val="0"/>
          <c:tx>
            <c:v>Data</c:v>
          </c:tx>
          <c:spPr>
            <a:gradFill flip="none" rotWithShape="1">
              <a:gsLst>
                <a:gs pos="55000">
                  <a:srgbClr val="80D8FF"/>
                </a:gs>
                <a:gs pos="100000">
                  <a:srgbClr val="2962FF"/>
                </a:gs>
              </a:gsLst>
              <a:path path="circle">
                <a:fillToRect l="100000" t="100000"/>
              </a:path>
              <a:tileRect r="-100000" b="-100000"/>
            </a:gradFill>
            <a:ln w="25400">
              <a:noFill/>
            </a:ln>
            <a:effectLst>
              <a:outerShdw blurRad="50800" sx="104000" sy="104000" algn="ctr" rotWithShape="0">
                <a:srgbClr val="E6FF80">
                  <a:alpha val="65000"/>
                </a:srgbClr>
              </a:outerShdw>
            </a:effectLst>
          </c:spPr>
          <c:invertIfNegative val="0"/>
          <c:dLbls>
            <c:dLbl>
              <c:idx val="0"/>
              <c:tx>
                <c:rich>
                  <a:bodyPr/>
                  <a:lstStyle/>
                  <a:p>
                    <a:fld id="{DF03E325-0779-49ED-80AE-D32573B46B0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B94-4961-9D93-C44B1CA8F4A6}"/>
                </c:ext>
              </c:extLst>
            </c:dLbl>
            <c:dLbl>
              <c:idx val="1"/>
              <c:tx>
                <c:rich>
                  <a:bodyPr/>
                  <a:lstStyle/>
                  <a:p>
                    <a:fld id="{590CFEDF-8F8F-476A-853C-0AC8CE6280E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B94-4961-9D93-C44B1CA8F4A6}"/>
                </c:ext>
              </c:extLst>
            </c:dLbl>
            <c:dLbl>
              <c:idx val="2"/>
              <c:tx>
                <c:rich>
                  <a:bodyPr/>
                  <a:lstStyle/>
                  <a:p>
                    <a:fld id="{AAE7EA3E-64B3-4FB9-9507-E9698C8B621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B94-4961-9D93-C44B1CA8F4A6}"/>
                </c:ext>
              </c:extLst>
            </c:dLbl>
            <c:dLbl>
              <c:idx val="3"/>
              <c:tx>
                <c:rich>
                  <a:bodyPr/>
                  <a:lstStyle/>
                  <a:p>
                    <a:fld id="{8BA49CC2-4E82-4638-8FFD-EBE9EC39FB1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B94-4961-9D93-C44B1CA8F4A6}"/>
                </c:ext>
              </c:extLst>
            </c:dLbl>
            <c:dLbl>
              <c:idx val="4"/>
              <c:tx>
                <c:rich>
                  <a:bodyPr/>
                  <a:lstStyle/>
                  <a:p>
                    <a:fld id="{E15488D5-C7C0-4824-8DB7-FC585E39EC1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B94-4961-9D93-C44B1CA8F4A6}"/>
                </c:ext>
              </c:extLst>
            </c:dLbl>
            <c:dLbl>
              <c:idx val="5"/>
              <c:tx>
                <c:rich>
                  <a:bodyPr/>
                  <a:lstStyle/>
                  <a:p>
                    <a:fld id="{12DD8F12-3393-44C8-9116-06FA1684C19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B94-4961-9D93-C44B1CA8F4A6}"/>
                </c:ext>
              </c:extLst>
            </c:dLbl>
            <c:dLbl>
              <c:idx val="6"/>
              <c:tx>
                <c:rich>
                  <a:bodyPr/>
                  <a:lstStyle/>
                  <a:p>
                    <a:fld id="{F96BE633-ACFD-428D-B5E4-1C933EF28CF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B94-4961-9D93-C44B1CA8F4A6}"/>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 Table'!$AD$5:$AD$11</c:f>
              <c:numCache>
                <c:formatCode>General</c:formatCode>
                <c:ptCount val="7"/>
                <c:pt idx="0">
                  <c:v>2</c:v>
                </c:pt>
                <c:pt idx="1">
                  <c:v>4</c:v>
                </c:pt>
                <c:pt idx="2">
                  <c:v>5</c:v>
                </c:pt>
                <c:pt idx="3">
                  <c:v>1</c:v>
                </c:pt>
                <c:pt idx="4">
                  <c:v>7</c:v>
                </c:pt>
                <c:pt idx="5">
                  <c:v>8</c:v>
                </c:pt>
                <c:pt idx="6">
                  <c:v>6</c:v>
                </c:pt>
              </c:numCache>
            </c:numRef>
          </c:xVal>
          <c:yVal>
            <c:numRef>
              <c:f>'Pivot Table'!$AE$5:$AE$11</c:f>
              <c:numCache>
                <c:formatCode>General</c:formatCode>
                <c:ptCount val="7"/>
                <c:pt idx="0">
                  <c:v>3</c:v>
                </c:pt>
                <c:pt idx="1">
                  <c:v>9</c:v>
                </c:pt>
                <c:pt idx="2">
                  <c:v>1</c:v>
                </c:pt>
                <c:pt idx="3">
                  <c:v>6</c:v>
                </c:pt>
                <c:pt idx="4">
                  <c:v>2</c:v>
                </c:pt>
                <c:pt idx="5">
                  <c:v>7</c:v>
                </c:pt>
                <c:pt idx="6">
                  <c:v>8</c:v>
                </c:pt>
              </c:numCache>
            </c:numRef>
          </c:yVal>
          <c:bubbleSize>
            <c:numRef>
              <c:f>'Pivot Table'!$AF$5:$AF$11</c:f>
              <c:numCache>
                <c:formatCode>[&gt;=1000000]0.0,,"M";[&gt;=1000]0.0,"K";0</c:formatCode>
                <c:ptCount val="7"/>
                <c:pt idx="0">
                  <c:v>243724.61</c:v>
                </c:pt>
                <c:pt idx="1">
                  <c:v>217960.18</c:v>
                </c:pt>
                <c:pt idx="2">
                  <c:v>177995.96000000005</c:v>
                </c:pt>
                <c:pt idx="3">
                  <c:v>236635.08</c:v>
                </c:pt>
                <c:pt idx="4">
                  <c:v>205375.87000000014</c:v>
                </c:pt>
                <c:pt idx="5">
                  <c:v>248951.75999999995</c:v>
                </c:pt>
                <c:pt idx="6">
                  <c:v>289851.7900000001</c:v>
                </c:pt>
              </c:numCache>
            </c:numRef>
          </c:bubbleSize>
          <c:bubble3D val="0"/>
          <c:extLst>
            <c:ext xmlns:c15="http://schemas.microsoft.com/office/drawing/2012/chart" uri="{02D57815-91ED-43cb-92C2-25804820EDAC}">
              <c15:datalabelsRange>
                <c15:f>'Pivot Table'!$AH$5:$AH$11</c15:f>
                <c15:dlblRangeCache>
                  <c:ptCount val="7"/>
                  <c:pt idx="0">
                    <c:v>243.7K</c:v>
                  </c:pt>
                  <c:pt idx="1">
                    <c:v>218.0K</c:v>
                  </c:pt>
                  <c:pt idx="2">
                    <c:v>178.0K</c:v>
                  </c:pt>
                  <c:pt idx="3">
                    <c:v>236.6K</c:v>
                  </c:pt>
                  <c:pt idx="4">
                    <c:v>205.4K</c:v>
                  </c:pt>
                  <c:pt idx="5">
                    <c:v>249.0K</c:v>
                  </c:pt>
                </c15:dlblRangeCache>
              </c15:datalabelsRange>
            </c:ext>
            <c:ext xmlns:c16="http://schemas.microsoft.com/office/drawing/2014/chart" uri="{C3380CC4-5D6E-409C-BE32-E72D297353CC}">
              <c16:uniqueId val="{00000007-BB94-4961-9D93-C44B1CA8F4A6}"/>
            </c:ext>
          </c:extLst>
        </c:ser>
        <c:ser>
          <c:idx val="1"/>
          <c:order val="1"/>
          <c:tx>
            <c:v>Max</c:v>
          </c:tx>
          <c:spPr>
            <a:gradFill>
              <a:gsLst>
                <a:gs pos="18000">
                  <a:srgbClr val="E6FF80"/>
                </a:gs>
                <a:gs pos="50000">
                  <a:srgbClr val="A2CC00"/>
                </a:gs>
              </a:gsLst>
              <a:path path="circle">
                <a:fillToRect l="100000" t="100000"/>
              </a:path>
            </a:gradFill>
            <a:ln w="25400">
              <a:noFill/>
            </a:ln>
            <a:effectLst>
              <a:outerShdw blurRad="63500" sx="102000" sy="102000" algn="ctr" rotWithShape="0">
                <a:srgbClr val="A2CC00">
                  <a:alpha val="58000"/>
                </a:srgbClr>
              </a:outerShdw>
            </a:effectLst>
          </c:spPr>
          <c:invertIfNegative val="0"/>
          <c:dLbls>
            <c:dLbl>
              <c:idx val="0"/>
              <c:tx>
                <c:rich>
                  <a:bodyPr/>
                  <a:lstStyle/>
                  <a:p>
                    <a:fld id="{B86D8626-AD6F-4268-AC01-ED0886BFE5A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BB94-4961-9D93-C44B1CA8F4A6}"/>
                </c:ext>
              </c:extLst>
            </c:dLbl>
            <c:dLbl>
              <c:idx val="1"/>
              <c:tx>
                <c:rich>
                  <a:bodyPr/>
                  <a:lstStyle/>
                  <a:p>
                    <a:fld id="{F7D4EFFA-5505-47D1-8FB4-166768717A7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B94-4961-9D93-C44B1CA8F4A6}"/>
                </c:ext>
              </c:extLst>
            </c:dLbl>
            <c:dLbl>
              <c:idx val="2"/>
              <c:tx>
                <c:rich>
                  <a:bodyPr/>
                  <a:lstStyle/>
                  <a:p>
                    <a:fld id="{2477542F-74DF-4354-8E8F-045A924CDB4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B94-4961-9D93-C44B1CA8F4A6}"/>
                </c:ext>
              </c:extLst>
            </c:dLbl>
            <c:dLbl>
              <c:idx val="3"/>
              <c:tx>
                <c:rich>
                  <a:bodyPr/>
                  <a:lstStyle/>
                  <a:p>
                    <a:fld id="{11C0714C-00ED-4253-8576-08EA56D3D1C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B94-4961-9D93-C44B1CA8F4A6}"/>
                </c:ext>
              </c:extLst>
            </c:dLbl>
            <c:dLbl>
              <c:idx val="4"/>
              <c:tx>
                <c:rich>
                  <a:bodyPr/>
                  <a:lstStyle/>
                  <a:p>
                    <a:fld id="{9D1C5242-D79D-44F1-BA87-05F29515148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B94-4961-9D93-C44B1CA8F4A6}"/>
                </c:ext>
              </c:extLst>
            </c:dLbl>
            <c:dLbl>
              <c:idx val="5"/>
              <c:tx>
                <c:rich>
                  <a:bodyPr/>
                  <a:lstStyle/>
                  <a:p>
                    <a:fld id="{2B1069C4-AFCD-40FF-8F11-FE4A0E04654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B94-4961-9D93-C44B1CA8F4A6}"/>
                </c:ext>
              </c:extLst>
            </c:dLbl>
            <c:dLbl>
              <c:idx val="6"/>
              <c:tx>
                <c:rich>
                  <a:bodyPr/>
                  <a:lstStyle/>
                  <a:p>
                    <a:fld id="{E997DB7A-90C2-477F-80A2-5D01294D425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B94-4961-9D93-C44B1CA8F4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'Pivot Table'!$AD$5:$AD$11</c:f>
              <c:numCache>
                <c:formatCode>General</c:formatCode>
                <c:ptCount val="7"/>
                <c:pt idx="0">
                  <c:v>2</c:v>
                </c:pt>
                <c:pt idx="1">
                  <c:v>4</c:v>
                </c:pt>
                <c:pt idx="2">
                  <c:v>5</c:v>
                </c:pt>
                <c:pt idx="3">
                  <c:v>1</c:v>
                </c:pt>
                <c:pt idx="4">
                  <c:v>7</c:v>
                </c:pt>
                <c:pt idx="5">
                  <c:v>8</c:v>
                </c:pt>
                <c:pt idx="6">
                  <c:v>6</c:v>
                </c:pt>
              </c:numCache>
            </c:numRef>
          </c:xVal>
          <c:yVal>
            <c:numRef>
              <c:f>'Pivot Table'!$AE$5:$AE$11</c:f>
              <c:numCache>
                <c:formatCode>General</c:formatCode>
                <c:ptCount val="7"/>
                <c:pt idx="0">
                  <c:v>3</c:v>
                </c:pt>
                <c:pt idx="1">
                  <c:v>9</c:v>
                </c:pt>
                <c:pt idx="2">
                  <c:v>1</c:v>
                </c:pt>
                <c:pt idx="3">
                  <c:v>6</c:v>
                </c:pt>
                <c:pt idx="4">
                  <c:v>2</c:v>
                </c:pt>
                <c:pt idx="5">
                  <c:v>7</c:v>
                </c:pt>
                <c:pt idx="6">
                  <c:v>8</c:v>
                </c:pt>
              </c:numCache>
            </c:numRef>
          </c:yVal>
          <c:bubbleSize>
            <c:numRef>
              <c:f>'Pivot Table'!$AG$5:$AG$11</c:f>
              <c:numCache>
                <c:formatCode>General</c:formatCode>
                <c:ptCount val="7"/>
                <c:pt idx="0">
                  <c:v>0</c:v>
                </c:pt>
                <c:pt idx="1">
                  <c:v>0</c:v>
                </c:pt>
                <c:pt idx="2">
                  <c:v>0</c:v>
                </c:pt>
                <c:pt idx="3">
                  <c:v>0</c:v>
                </c:pt>
                <c:pt idx="4">
                  <c:v>0</c:v>
                </c:pt>
                <c:pt idx="5">
                  <c:v>0</c:v>
                </c:pt>
                <c:pt idx="6" formatCode="[&gt;=1000000]0.0,,&quot;M&quot;;[&gt;=1000]0.0,&quot;K&quot;;0">
                  <c:v>289851.7900000001</c:v>
                </c:pt>
              </c:numCache>
            </c:numRef>
          </c:bubbleSize>
          <c:bubble3D val="0"/>
          <c:extLst>
            <c:ext xmlns:c15="http://schemas.microsoft.com/office/drawing/2012/chart" uri="{02D57815-91ED-43cb-92C2-25804820EDAC}">
              <c15:datalabelsRange>
                <c15:f>'Pivot Table'!$AG$5:$AG$11</c15:f>
                <c15:dlblRangeCache>
                  <c:ptCount val="7"/>
                  <c:pt idx="6">
                    <c:v>289.9K</c:v>
                  </c:pt>
                </c15:dlblRangeCache>
              </c15:datalabelsRange>
            </c:ext>
            <c:ext xmlns:c16="http://schemas.microsoft.com/office/drawing/2014/chart" uri="{C3380CC4-5D6E-409C-BE32-E72D297353CC}">
              <c16:uniqueId val="{0000000F-BB94-4961-9D93-C44B1CA8F4A6}"/>
            </c:ext>
          </c:extLst>
        </c:ser>
        <c:dLbls>
          <c:showLegendKey val="0"/>
          <c:showVal val="0"/>
          <c:showCatName val="0"/>
          <c:showSerName val="0"/>
          <c:showPercent val="0"/>
          <c:showBubbleSize val="0"/>
        </c:dLbls>
        <c:bubbleScale val="60"/>
        <c:showNegBubbles val="0"/>
        <c:axId val="853985600"/>
        <c:axId val="853988000"/>
      </c:bubbleChart>
      <c:valAx>
        <c:axId val="853985600"/>
        <c:scaling>
          <c:orientation val="minMax"/>
        </c:scaling>
        <c:delete val="1"/>
        <c:axPos val="b"/>
        <c:numFmt formatCode="General" sourceLinked="1"/>
        <c:majorTickMark val="none"/>
        <c:minorTickMark val="none"/>
        <c:tickLblPos val="nextTo"/>
        <c:crossAx val="853988000"/>
        <c:crosses val="autoZero"/>
        <c:crossBetween val="midCat"/>
      </c:valAx>
      <c:valAx>
        <c:axId val="853988000"/>
        <c:scaling>
          <c:orientation val="minMax"/>
        </c:scaling>
        <c:delete val="1"/>
        <c:axPos val="l"/>
        <c:numFmt formatCode="General" sourceLinked="1"/>
        <c:majorTickMark val="none"/>
        <c:minorTickMark val="none"/>
        <c:tickLblPos val="nextTo"/>
        <c:crossAx val="8539856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Table!PivotTable3</c:name>
    <c:fmtId val="3"/>
  </c:pivotSource>
  <c:chart>
    <c:autoTitleDeleted val="1"/>
    <c:pivotFmts>
      <c:pivotFmt>
        <c:idx val="0"/>
        <c:spPr>
          <a:solidFill>
            <a:schemeClr val="accent1"/>
          </a:solidFill>
          <a:ln w="3175" cap="rnd">
            <a:solidFill>
              <a:srgbClr val="2962FF"/>
            </a:solidFill>
            <a:prstDash val="solid"/>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 cap="rnd">
            <a:solidFill>
              <a:srgbClr val="2962FF"/>
            </a:solidFill>
            <a:prstDash val="solid"/>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350" cap="rnd">
            <a:solidFill>
              <a:srgbClr val="2962FF"/>
            </a:solidFill>
            <a:prstDash val="solid"/>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c:f>
              <c:strCache>
                <c:ptCount val="1"/>
                <c:pt idx="0">
                  <c:v>Total</c:v>
                </c:pt>
              </c:strCache>
            </c:strRef>
          </c:tx>
          <c:spPr>
            <a:ln w="6350" cap="rnd">
              <a:solidFill>
                <a:srgbClr val="2962FF"/>
              </a:solidFill>
              <a:prstDash val="solid"/>
              <a:bevel/>
            </a:ln>
            <a:effectLst/>
          </c:spPr>
          <c:marker>
            <c:symbol val="none"/>
          </c:marker>
          <c:cat>
            <c:strRef>
              <c:f>'Pivot Table'!$H$4:$H$16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Table'!$I$4:$I$16</c:f>
              <c:numCache>
                <c:formatCode>[&gt;=1000000]0.0,,"M";[&gt;=1000]0.0,"K";0</c:formatCode>
                <c:ptCount val="12"/>
                <c:pt idx="0">
                  <c:v>115827.00000000003</c:v>
                </c:pt>
                <c:pt idx="1">
                  <c:v>97212.85</c:v>
                </c:pt>
                <c:pt idx="2">
                  <c:v>137815.99</c:v>
                </c:pt>
                <c:pt idx="3">
                  <c:v>123439.34000000001</c:v>
                </c:pt>
                <c:pt idx="4">
                  <c:v>187491.91999999995</c:v>
                </c:pt>
                <c:pt idx="5">
                  <c:v>154229.30999999997</c:v>
                </c:pt>
                <c:pt idx="6">
                  <c:v>115548.76999999999</c:v>
                </c:pt>
                <c:pt idx="7">
                  <c:v>150923.99</c:v>
                </c:pt>
                <c:pt idx="8">
                  <c:v>122744.42000000003</c:v>
                </c:pt>
                <c:pt idx="9">
                  <c:v>137758.70999999996</c:v>
                </c:pt>
                <c:pt idx="10">
                  <c:v>171602.27</c:v>
                </c:pt>
                <c:pt idx="11">
                  <c:v>105900.68</c:v>
                </c:pt>
              </c:numCache>
            </c:numRef>
          </c:val>
          <c:smooth val="1"/>
          <c:extLst>
            <c:ext xmlns:c16="http://schemas.microsoft.com/office/drawing/2014/chart" uri="{C3380CC4-5D6E-409C-BE32-E72D297353CC}">
              <c16:uniqueId val="{00000000-4DAC-4B23-BEA7-8E99D65845DB}"/>
            </c:ext>
          </c:extLst>
        </c:ser>
        <c:dLbls>
          <c:showLegendKey val="0"/>
          <c:showVal val="0"/>
          <c:showCatName val="0"/>
          <c:showSerName val="0"/>
          <c:showPercent val="0"/>
          <c:showBubbleSize val="0"/>
        </c:dLbls>
        <c:smooth val="0"/>
        <c:axId val="446593440"/>
        <c:axId val="446589600"/>
      </c:lineChart>
      <c:catAx>
        <c:axId val="446593440"/>
        <c:scaling>
          <c:orientation val="minMax"/>
        </c:scaling>
        <c:delete val="1"/>
        <c:axPos val="b"/>
        <c:numFmt formatCode="General" sourceLinked="1"/>
        <c:majorTickMark val="none"/>
        <c:minorTickMark val="none"/>
        <c:tickLblPos val="nextTo"/>
        <c:crossAx val="446589600"/>
        <c:crosses val="autoZero"/>
        <c:auto val="1"/>
        <c:lblAlgn val="ctr"/>
        <c:lblOffset val="100"/>
        <c:noMultiLvlLbl val="0"/>
      </c:catAx>
      <c:valAx>
        <c:axId val="446589600"/>
        <c:scaling>
          <c:orientation val="minMax"/>
        </c:scaling>
        <c:delete val="1"/>
        <c:axPos val="l"/>
        <c:numFmt formatCode="[&gt;=1000000]0.0,,&quot;M&quot;;[&gt;=1000]0.0,&quot;K&quot;;0" sourceLinked="1"/>
        <c:majorTickMark val="none"/>
        <c:minorTickMark val="none"/>
        <c:tickLblPos val="nextTo"/>
        <c:crossAx val="44659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Table!PivotTable4</c:name>
    <c:fmtId val="3"/>
  </c:pivotSource>
  <c:chart>
    <c:autoTitleDeleted val="1"/>
    <c:pivotFmts>
      <c:pivotFmt>
        <c:idx val="0"/>
        <c:spPr>
          <a:solidFill>
            <a:schemeClr val="accent1"/>
          </a:solidFill>
          <a:ln w="6350" cap="rnd">
            <a:solidFill>
              <a:srgbClr val="2962FF"/>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6350" cap="rnd">
            <a:solidFill>
              <a:srgbClr val="2962FF"/>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350" cap="rnd">
            <a:solidFill>
              <a:srgbClr val="2962FF"/>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Table'!$M$3</c:f>
              <c:strCache>
                <c:ptCount val="1"/>
                <c:pt idx="0">
                  <c:v>Total</c:v>
                </c:pt>
              </c:strCache>
            </c:strRef>
          </c:tx>
          <c:spPr>
            <a:ln w="6350" cap="rnd">
              <a:solidFill>
                <a:srgbClr val="2962FF"/>
              </a:solidFill>
              <a:bevel/>
            </a:ln>
            <a:effectLst/>
          </c:spPr>
          <c:marker>
            <c:symbol val="none"/>
          </c:marker>
          <c:cat>
            <c:strRef>
              <c:f>'Pivot Table'!$L$4:$L$16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Table'!$M$4:$M$16</c:f>
              <c:numCache>
                <c:formatCode>_("$"* #,##0.00_);_("$"* \(#,##0.00\);_("$"* "-"??_);_(@_)</c:formatCode>
                <c:ptCount val="12"/>
                <c:pt idx="0">
                  <c:v>261.46049661399553</c:v>
                </c:pt>
                <c:pt idx="1">
                  <c:v>259.23426666666666</c:v>
                </c:pt>
                <c:pt idx="2">
                  <c:v>268.12449416342412</c:v>
                </c:pt>
                <c:pt idx="3">
                  <c:v>256.6306444906445</c:v>
                </c:pt>
                <c:pt idx="4">
                  <c:v>304.86491056910563</c:v>
                </c:pt>
                <c:pt idx="5">
                  <c:v>264.99881443298966</c:v>
                </c:pt>
                <c:pt idx="6">
                  <c:v>296.27889743589742</c:v>
                </c:pt>
                <c:pt idx="7">
                  <c:v>237.30187106918237</c:v>
                </c:pt>
                <c:pt idx="8">
                  <c:v>263.40004291845497</c:v>
                </c:pt>
                <c:pt idx="9">
                  <c:v>289.40905462184867</c:v>
                </c:pt>
                <c:pt idx="10">
                  <c:v>261.19066971080667</c:v>
                </c:pt>
                <c:pt idx="11">
                  <c:v>300.00192634560904</c:v>
                </c:pt>
              </c:numCache>
            </c:numRef>
          </c:val>
          <c:smooth val="1"/>
          <c:extLst>
            <c:ext xmlns:c16="http://schemas.microsoft.com/office/drawing/2014/chart" uri="{C3380CC4-5D6E-409C-BE32-E72D297353CC}">
              <c16:uniqueId val="{00000000-3603-43F9-9045-CE0DF2260105}"/>
            </c:ext>
          </c:extLst>
        </c:ser>
        <c:dLbls>
          <c:showLegendKey val="0"/>
          <c:showVal val="0"/>
          <c:showCatName val="0"/>
          <c:showSerName val="0"/>
          <c:showPercent val="0"/>
          <c:showBubbleSize val="0"/>
        </c:dLbls>
        <c:smooth val="0"/>
        <c:axId val="73125759"/>
        <c:axId val="73131039"/>
      </c:lineChart>
      <c:catAx>
        <c:axId val="73125759"/>
        <c:scaling>
          <c:orientation val="minMax"/>
        </c:scaling>
        <c:delete val="1"/>
        <c:axPos val="b"/>
        <c:numFmt formatCode="General" sourceLinked="1"/>
        <c:majorTickMark val="none"/>
        <c:minorTickMark val="none"/>
        <c:tickLblPos val="nextTo"/>
        <c:crossAx val="73131039"/>
        <c:crosses val="autoZero"/>
        <c:auto val="1"/>
        <c:lblAlgn val="ctr"/>
        <c:lblOffset val="100"/>
        <c:noMultiLvlLbl val="0"/>
      </c:catAx>
      <c:valAx>
        <c:axId val="73131039"/>
        <c:scaling>
          <c:orientation val="minMax"/>
        </c:scaling>
        <c:delete val="1"/>
        <c:axPos val="l"/>
        <c:numFmt formatCode="_(&quot;$&quot;* #,##0.00_);_(&quot;$&quot;* \(#,##0.00\);_(&quot;$&quot;* &quot;-&quot;??_);_(@_)" sourceLinked="1"/>
        <c:majorTickMark val="none"/>
        <c:minorTickMark val="none"/>
        <c:tickLblPos val="nextTo"/>
        <c:crossAx val="7312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Table!PivotTable5</c:name>
    <c:fmtId val="22"/>
  </c:pivotSource>
  <c:chart>
    <c:autoTitleDeleted val="1"/>
    <c:pivotFmts>
      <c:pivotFmt>
        <c:idx val="0"/>
        <c:spPr>
          <a:solidFill>
            <a:schemeClr val="accent1"/>
          </a:solidFill>
          <a:ln w="6350" cap="rnd">
            <a:solidFill>
              <a:srgbClr val="2962FF"/>
            </a:solidFill>
            <a:bevel/>
          </a:ln>
          <a:effectLst>
            <a:outerShdw blurRad="63500" sx="102000" sy="102000" algn="ctr" rotWithShape="0">
              <a:prstClr val="black">
                <a:alpha val="41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6350" cap="rnd">
            <a:solidFill>
              <a:srgbClr val="2962FF"/>
            </a:solidFill>
            <a:bevel/>
          </a:ln>
          <a:effectLst>
            <a:outerShdw blurRad="63500" sx="102000" sy="102000" algn="ctr" rotWithShape="0">
              <a:prstClr val="black">
                <a:alpha val="41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350" cap="rnd">
            <a:solidFill>
              <a:srgbClr val="2962FF"/>
            </a:solidFill>
            <a:bevel/>
          </a:ln>
          <a:effectLst>
            <a:outerShdw blurRad="63500" sx="102000" sy="102000" algn="ctr" rotWithShape="0">
              <a:prstClr val="black">
                <a:alpha val="41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Table'!$P$3</c:f>
              <c:strCache>
                <c:ptCount val="1"/>
                <c:pt idx="0">
                  <c:v>Total</c:v>
                </c:pt>
              </c:strCache>
            </c:strRef>
          </c:tx>
          <c:spPr>
            <a:ln w="6350" cap="rnd">
              <a:solidFill>
                <a:srgbClr val="2962FF"/>
              </a:solidFill>
              <a:bevel/>
            </a:ln>
            <a:effectLst>
              <a:outerShdw blurRad="63500" sx="102000" sy="102000" algn="ctr" rotWithShape="0">
                <a:prstClr val="black">
                  <a:alpha val="41000"/>
                </a:prstClr>
              </a:outerShdw>
            </a:effectLst>
          </c:spPr>
          <c:marker>
            <c:symbol val="none"/>
          </c:marker>
          <c:cat>
            <c:strRef>
              <c:f>'Pivot Table'!$O$4:$O$16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Table'!$P$4:$P$16</c:f>
              <c:numCache>
                <c:formatCode>[&gt;=1000000]0.0,,"M";[&gt;=1000]0.0,"K";0</c:formatCode>
                <c:ptCount val="12"/>
                <c:pt idx="0">
                  <c:v>9109.8310000000001</c:v>
                </c:pt>
                <c:pt idx="1">
                  <c:v>7513.8184999999994</c:v>
                </c:pt>
                <c:pt idx="2">
                  <c:v>11853.527</c:v>
                </c:pt>
                <c:pt idx="3">
                  <c:v>10138.518</c:v>
                </c:pt>
                <c:pt idx="4">
                  <c:v>12672.7845</c:v>
                </c:pt>
                <c:pt idx="5">
                  <c:v>14934.978999999998</c:v>
                </c:pt>
                <c:pt idx="6">
                  <c:v>10639.267499999998</c:v>
                </c:pt>
                <c:pt idx="7">
                  <c:v>16291.816499999995</c:v>
                </c:pt>
                <c:pt idx="8">
                  <c:v>7645.6760000000013</c:v>
                </c:pt>
                <c:pt idx="9">
                  <c:v>8017.9929999999995</c:v>
                </c:pt>
                <c:pt idx="10">
                  <c:v>11955.857000000002</c:v>
                </c:pt>
                <c:pt idx="11">
                  <c:v>9406.2215000000015</c:v>
                </c:pt>
              </c:numCache>
            </c:numRef>
          </c:val>
          <c:smooth val="1"/>
          <c:extLst>
            <c:ext xmlns:c16="http://schemas.microsoft.com/office/drawing/2014/chart" uri="{C3380CC4-5D6E-409C-BE32-E72D297353CC}">
              <c16:uniqueId val="{00000000-3BA6-405F-B0E1-2BCBEAEB9BA6}"/>
            </c:ext>
          </c:extLst>
        </c:ser>
        <c:dLbls>
          <c:showLegendKey val="0"/>
          <c:showVal val="0"/>
          <c:showCatName val="0"/>
          <c:showSerName val="0"/>
          <c:showPercent val="0"/>
          <c:showBubbleSize val="0"/>
        </c:dLbls>
        <c:smooth val="0"/>
        <c:axId val="77224575"/>
        <c:axId val="77225055"/>
      </c:lineChart>
      <c:catAx>
        <c:axId val="77224575"/>
        <c:scaling>
          <c:orientation val="minMax"/>
        </c:scaling>
        <c:delete val="1"/>
        <c:axPos val="b"/>
        <c:numFmt formatCode="General" sourceLinked="1"/>
        <c:majorTickMark val="none"/>
        <c:minorTickMark val="none"/>
        <c:tickLblPos val="nextTo"/>
        <c:crossAx val="77225055"/>
        <c:crosses val="autoZero"/>
        <c:auto val="1"/>
        <c:lblAlgn val="ctr"/>
        <c:lblOffset val="100"/>
        <c:noMultiLvlLbl val="0"/>
      </c:catAx>
      <c:valAx>
        <c:axId val="77225055"/>
        <c:scaling>
          <c:orientation val="minMax"/>
        </c:scaling>
        <c:delete val="1"/>
        <c:axPos val="l"/>
        <c:numFmt formatCode="[&gt;=1000000]0.0,,&quot;M&quot;;[&gt;=1000]0.0,&quot;K&quot;;0" sourceLinked="1"/>
        <c:majorTickMark val="none"/>
        <c:minorTickMark val="none"/>
        <c:tickLblPos val="nextTo"/>
        <c:crossAx val="77224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Table!PivotTable6</c:name>
    <c:fmtId val="3"/>
  </c:pivotSource>
  <c:chart>
    <c:autoTitleDeleted val="1"/>
    <c:pivotFmts>
      <c:pivotFmt>
        <c:idx val="0"/>
        <c:spPr>
          <a:solidFill>
            <a:schemeClr val="accent1"/>
          </a:solidFill>
          <a:ln w="6350" cap="rnd">
            <a:solidFill>
              <a:srgbClr val="2962FF"/>
            </a:solidFill>
            <a:bevel/>
          </a:ln>
          <a:effectLst>
            <a:outerShdw blurRad="76200" sx="102000" sy="102000" algn="ctr" rotWithShape="0">
              <a:srgbClr val="82B1FF">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6350" cap="rnd">
            <a:solidFill>
              <a:srgbClr val="2962FF"/>
            </a:solidFill>
            <a:bevel/>
          </a:ln>
          <a:effectLst>
            <a:outerShdw blurRad="76200" sx="102000" sy="102000" algn="ctr" rotWithShape="0">
              <a:srgbClr val="82B1FF">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350" cap="rnd">
            <a:solidFill>
              <a:srgbClr val="2962FF"/>
            </a:solidFill>
            <a:bevel/>
          </a:ln>
          <a:effectLst>
            <a:outerShdw blurRad="76200" sx="102000" sy="102000" algn="ctr" rotWithShape="0">
              <a:srgbClr val="82B1FF">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Table'!$S$3</c:f>
              <c:strCache>
                <c:ptCount val="1"/>
                <c:pt idx="0">
                  <c:v>Total</c:v>
                </c:pt>
              </c:strCache>
            </c:strRef>
          </c:tx>
          <c:spPr>
            <a:ln w="6350" cap="rnd">
              <a:solidFill>
                <a:srgbClr val="2962FF"/>
              </a:solidFill>
              <a:bevel/>
            </a:ln>
            <a:effectLst>
              <a:outerShdw blurRad="76200" sx="102000" sy="102000" algn="ctr" rotWithShape="0">
                <a:srgbClr val="82B1FF">
                  <a:alpha val="40000"/>
                </a:srgbClr>
              </a:outerShdw>
            </a:effectLst>
          </c:spPr>
          <c:marker>
            <c:symbol val="none"/>
          </c:marker>
          <c:cat>
            <c:strRef>
              <c:f>'Pivot Table'!$R$4:$R$16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Table'!$S$4:$S$16</c:f>
              <c:numCache>
                <c:formatCode>0.00</c:formatCode>
                <c:ptCount val="12"/>
                <c:pt idx="0">
                  <c:v>7</c:v>
                </c:pt>
                <c:pt idx="1">
                  <c:v>12</c:v>
                </c:pt>
                <c:pt idx="2">
                  <c:v>14</c:v>
                </c:pt>
                <c:pt idx="3">
                  <c:v>7</c:v>
                </c:pt>
                <c:pt idx="4">
                  <c:v>8</c:v>
                </c:pt>
                <c:pt idx="5">
                  <c:v>15</c:v>
                </c:pt>
                <c:pt idx="6">
                  <c:v>9</c:v>
                </c:pt>
                <c:pt idx="7">
                  <c:v>18</c:v>
                </c:pt>
                <c:pt idx="8">
                  <c:v>8</c:v>
                </c:pt>
                <c:pt idx="9">
                  <c:v>10</c:v>
                </c:pt>
                <c:pt idx="10">
                  <c:v>16</c:v>
                </c:pt>
                <c:pt idx="11">
                  <c:v>14</c:v>
                </c:pt>
              </c:numCache>
            </c:numRef>
          </c:val>
          <c:smooth val="1"/>
          <c:extLst>
            <c:ext xmlns:c16="http://schemas.microsoft.com/office/drawing/2014/chart" uri="{C3380CC4-5D6E-409C-BE32-E72D297353CC}">
              <c16:uniqueId val="{00000000-E4DF-4331-B1F6-ECF25C20D4B0}"/>
            </c:ext>
          </c:extLst>
        </c:ser>
        <c:dLbls>
          <c:showLegendKey val="0"/>
          <c:showVal val="0"/>
          <c:showCatName val="0"/>
          <c:showSerName val="0"/>
          <c:showPercent val="0"/>
          <c:showBubbleSize val="0"/>
        </c:dLbls>
        <c:smooth val="0"/>
        <c:axId val="77220735"/>
        <c:axId val="77221215"/>
      </c:lineChart>
      <c:catAx>
        <c:axId val="77220735"/>
        <c:scaling>
          <c:orientation val="minMax"/>
        </c:scaling>
        <c:delete val="1"/>
        <c:axPos val="b"/>
        <c:numFmt formatCode="General" sourceLinked="1"/>
        <c:majorTickMark val="none"/>
        <c:minorTickMark val="none"/>
        <c:tickLblPos val="nextTo"/>
        <c:crossAx val="77221215"/>
        <c:crosses val="autoZero"/>
        <c:auto val="1"/>
        <c:lblAlgn val="ctr"/>
        <c:lblOffset val="100"/>
        <c:noMultiLvlLbl val="0"/>
      </c:catAx>
      <c:valAx>
        <c:axId val="77221215"/>
        <c:scaling>
          <c:orientation val="minMax"/>
        </c:scaling>
        <c:delete val="1"/>
        <c:axPos val="l"/>
        <c:numFmt formatCode="0.00" sourceLinked="1"/>
        <c:majorTickMark val="none"/>
        <c:minorTickMark val="none"/>
        <c:tickLblPos val="nextTo"/>
        <c:crossAx val="77220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Table!PivotTable7</c:name>
    <c:fmtId val="3"/>
  </c:pivotSource>
  <c:chart>
    <c:autoTitleDeleted val="1"/>
    <c:pivotFmts>
      <c:pivotFmt>
        <c:idx val="0"/>
        <c:spPr>
          <a:solidFill>
            <a:schemeClr val="accent1"/>
          </a:solidFill>
          <a:ln w="6350" cap="rnd">
            <a:solidFill>
              <a:schemeClr val="accent1"/>
            </a:solidFill>
            <a:bevel/>
          </a:ln>
          <a:effectLst>
            <a:outerShdw blurRad="508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6350" cap="rnd">
            <a:solidFill>
              <a:schemeClr val="accent1"/>
            </a:solidFill>
            <a:bevel/>
          </a:ln>
          <a:effectLst>
            <a:outerShdw blurRad="508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6350" cap="rnd">
            <a:solidFill>
              <a:srgbClr val="2962FF"/>
            </a:solidFill>
            <a:bevel/>
          </a:ln>
          <a:effectLst>
            <a:outerShdw blurRad="508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Table'!$V$3</c:f>
              <c:strCache>
                <c:ptCount val="1"/>
                <c:pt idx="0">
                  <c:v>Total</c:v>
                </c:pt>
              </c:strCache>
            </c:strRef>
          </c:tx>
          <c:spPr>
            <a:ln w="6350" cap="rnd">
              <a:solidFill>
                <a:srgbClr val="2962FF"/>
              </a:solidFill>
              <a:bevel/>
            </a:ln>
            <a:effectLst>
              <a:outerShdw blurRad="50800" sx="102000" sy="102000" algn="ctr" rotWithShape="0">
                <a:prstClr val="black">
                  <a:alpha val="40000"/>
                </a:prstClr>
              </a:outerShdw>
            </a:effectLst>
          </c:spPr>
          <c:marker>
            <c:symbol val="none"/>
          </c:marker>
          <c:cat>
            <c:strRef>
              <c:f>'Pivot Table'!$U$4:$U$16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Table'!$V$4:$V$16</c:f>
              <c:numCache>
                <c:formatCode>0.00</c:formatCode>
                <c:ptCount val="12"/>
                <c:pt idx="0">
                  <c:v>443</c:v>
                </c:pt>
                <c:pt idx="1">
                  <c:v>375</c:v>
                </c:pt>
                <c:pt idx="2">
                  <c:v>514</c:v>
                </c:pt>
                <c:pt idx="3">
                  <c:v>481</c:v>
                </c:pt>
                <c:pt idx="4">
                  <c:v>615</c:v>
                </c:pt>
                <c:pt idx="5">
                  <c:v>582</c:v>
                </c:pt>
                <c:pt idx="6">
                  <c:v>390</c:v>
                </c:pt>
                <c:pt idx="7">
                  <c:v>636</c:v>
                </c:pt>
                <c:pt idx="8">
                  <c:v>466</c:v>
                </c:pt>
                <c:pt idx="9">
                  <c:v>476</c:v>
                </c:pt>
                <c:pt idx="10">
                  <c:v>657</c:v>
                </c:pt>
                <c:pt idx="11">
                  <c:v>353</c:v>
                </c:pt>
              </c:numCache>
            </c:numRef>
          </c:val>
          <c:smooth val="1"/>
          <c:extLst>
            <c:ext xmlns:c16="http://schemas.microsoft.com/office/drawing/2014/chart" uri="{C3380CC4-5D6E-409C-BE32-E72D297353CC}">
              <c16:uniqueId val="{00000000-D5F4-4CF6-85C7-94788F567B17}"/>
            </c:ext>
          </c:extLst>
        </c:ser>
        <c:dLbls>
          <c:showLegendKey val="0"/>
          <c:showVal val="0"/>
          <c:showCatName val="0"/>
          <c:showSerName val="0"/>
          <c:showPercent val="0"/>
          <c:showBubbleSize val="0"/>
        </c:dLbls>
        <c:smooth val="0"/>
        <c:axId val="73131999"/>
        <c:axId val="73134399"/>
      </c:lineChart>
      <c:catAx>
        <c:axId val="73131999"/>
        <c:scaling>
          <c:orientation val="minMax"/>
        </c:scaling>
        <c:delete val="1"/>
        <c:axPos val="b"/>
        <c:numFmt formatCode="General" sourceLinked="1"/>
        <c:majorTickMark val="none"/>
        <c:minorTickMark val="none"/>
        <c:tickLblPos val="nextTo"/>
        <c:crossAx val="73134399"/>
        <c:crosses val="autoZero"/>
        <c:auto val="1"/>
        <c:lblAlgn val="ctr"/>
        <c:lblOffset val="100"/>
        <c:noMultiLvlLbl val="0"/>
      </c:catAx>
      <c:valAx>
        <c:axId val="73134399"/>
        <c:scaling>
          <c:orientation val="minMax"/>
        </c:scaling>
        <c:delete val="1"/>
        <c:axPos val="l"/>
        <c:numFmt formatCode="0.00" sourceLinked="1"/>
        <c:majorTickMark val="none"/>
        <c:minorTickMark val="none"/>
        <c:tickLblPos val="nextTo"/>
        <c:crossAx val="73131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1st</c:v>
          </c:tx>
          <c:spPr>
            <a:gradFill>
              <a:gsLst>
                <a:gs pos="14000">
                  <a:srgbClr val="2962FF"/>
                </a:gs>
                <a:gs pos="56000">
                  <a:srgbClr val="80D8FF"/>
                </a:gs>
              </a:gsLst>
              <a:path path="circle">
                <a:fillToRect l="100000" t="100000"/>
              </a:path>
            </a:gradFill>
            <a:ln w="28575">
              <a:solidFill>
                <a:schemeClr val="tx1"/>
              </a:solidFill>
            </a:ln>
          </c:spPr>
          <c:dPt>
            <c:idx val="0"/>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01-E681-402C-B9EE-4445B93B7990}"/>
              </c:ext>
            </c:extLst>
          </c:dPt>
          <c:dPt>
            <c:idx val="1"/>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03-E681-402C-B9EE-4445B93B7990}"/>
              </c:ext>
            </c:extLst>
          </c:dPt>
          <c:dPt>
            <c:idx val="2"/>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05-E681-402C-B9EE-4445B93B7990}"/>
              </c:ext>
            </c:extLst>
          </c:dPt>
          <c:dPt>
            <c:idx val="3"/>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07-E681-402C-B9EE-4445B93B7990}"/>
              </c:ext>
            </c:extLst>
          </c:dPt>
          <c:dPt>
            <c:idx val="4"/>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09-E681-402C-B9EE-4445B93B7990}"/>
              </c:ext>
            </c:extLst>
          </c:dPt>
          <c:dPt>
            <c:idx val="5"/>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0B-E681-402C-B9EE-4445B93B7990}"/>
              </c:ext>
            </c:extLst>
          </c:dPt>
          <c:dPt>
            <c:idx val="6"/>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0D-E681-402C-B9EE-4445B93B7990}"/>
              </c:ext>
            </c:extLst>
          </c:dPt>
          <c:dPt>
            <c:idx val="7"/>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0F-E681-402C-B9EE-4445B93B7990}"/>
              </c:ext>
            </c:extLst>
          </c:dPt>
          <c:dPt>
            <c:idx val="8"/>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11-E681-402C-B9EE-4445B93B7990}"/>
              </c:ext>
            </c:extLst>
          </c:dPt>
          <c:dPt>
            <c:idx val="9"/>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13-E681-402C-B9EE-4445B93B7990}"/>
              </c:ext>
            </c:extLst>
          </c:dPt>
          <c:dPt>
            <c:idx val="10"/>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15-E681-402C-B9EE-4445B93B7990}"/>
              </c:ext>
            </c:extLst>
          </c:dPt>
          <c:dPt>
            <c:idx val="11"/>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17-E681-402C-B9EE-4445B93B7990}"/>
              </c:ext>
            </c:extLst>
          </c:dPt>
          <c:dPt>
            <c:idx val="12"/>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19-E681-402C-B9EE-4445B93B7990}"/>
              </c:ext>
            </c:extLst>
          </c:dPt>
          <c:dPt>
            <c:idx val="13"/>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1B-E681-402C-B9EE-4445B93B7990}"/>
              </c:ext>
            </c:extLst>
          </c:dPt>
          <c:dPt>
            <c:idx val="14"/>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1D-E681-402C-B9EE-4445B93B7990}"/>
              </c:ext>
            </c:extLst>
          </c:dPt>
          <c:dPt>
            <c:idx val="15"/>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1F-E681-402C-B9EE-4445B93B7990}"/>
              </c:ext>
            </c:extLst>
          </c:dPt>
          <c:dPt>
            <c:idx val="16"/>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21-E681-402C-B9EE-4445B93B7990}"/>
              </c:ext>
            </c:extLst>
          </c:dPt>
          <c:dPt>
            <c:idx val="17"/>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23-E681-402C-B9EE-4445B93B7990}"/>
              </c:ext>
            </c:extLst>
          </c:dPt>
          <c:dPt>
            <c:idx val="18"/>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25-E681-402C-B9EE-4445B93B7990}"/>
              </c:ext>
            </c:extLst>
          </c:dPt>
          <c:dPt>
            <c:idx val="19"/>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27-E681-402C-B9EE-4445B93B7990}"/>
              </c:ext>
            </c:extLst>
          </c:dPt>
          <c:dPt>
            <c:idx val="20"/>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29-E681-402C-B9EE-4445B93B7990}"/>
              </c:ext>
            </c:extLst>
          </c:dPt>
          <c:dPt>
            <c:idx val="21"/>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2B-E681-402C-B9EE-4445B93B7990}"/>
              </c:ext>
            </c:extLst>
          </c:dPt>
          <c:dPt>
            <c:idx val="22"/>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2D-E681-402C-B9EE-4445B93B7990}"/>
              </c:ext>
            </c:extLst>
          </c:dPt>
          <c:dPt>
            <c:idx val="23"/>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2F-E681-402C-B9EE-4445B93B7990}"/>
              </c:ext>
            </c:extLst>
          </c:dPt>
          <c:dPt>
            <c:idx val="24"/>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31-E681-402C-B9EE-4445B93B7990}"/>
              </c:ext>
            </c:extLst>
          </c:dPt>
          <c:dPt>
            <c:idx val="25"/>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33-E681-402C-B9EE-4445B93B7990}"/>
              </c:ext>
            </c:extLst>
          </c:dPt>
          <c:dPt>
            <c:idx val="26"/>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35-E681-402C-B9EE-4445B93B7990}"/>
              </c:ext>
            </c:extLst>
          </c:dPt>
          <c:dPt>
            <c:idx val="27"/>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37-E681-402C-B9EE-4445B93B7990}"/>
              </c:ext>
            </c:extLst>
          </c:dPt>
          <c:dPt>
            <c:idx val="28"/>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39-E681-402C-B9EE-4445B93B7990}"/>
              </c:ext>
            </c:extLst>
          </c:dPt>
          <c:dPt>
            <c:idx val="29"/>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3B-E681-402C-B9EE-4445B93B7990}"/>
              </c:ext>
            </c:extLst>
          </c:dPt>
          <c:dPt>
            <c:idx val="30"/>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3D-E681-402C-B9EE-4445B93B7990}"/>
              </c:ext>
            </c:extLst>
          </c:dPt>
          <c:dPt>
            <c:idx val="31"/>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3F-E681-402C-B9EE-4445B93B7990}"/>
              </c:ext>
            </c:extLst>
          </c:dPt>
          <c:dPt>
            <c:idx val="32"/>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41-E681-402C-B9EE-4445B93B7990}"/>
              </c:ext>
            </c:extLst>
          </c:dPt>
          <c:dPt>
            <c:idx val="33"/>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43-E681-402C-B9EE-4445B93B7990}"/>
              </c:ext>
            </c:extLst>
          </c:dPt>
          <c:dPt>
            <c:idx val="34"/>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45-E681-402C-B9EE-4445B93B7990}"/>
              </c:ext>
            </c:extLst>
          </c:dPt>
          <c:dPt>
            <c:idx val="35"/>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47-E681-402C-B9EE-4445B93B7990}"/>
              </c:ext>
            </c:extLst>
          </c:dPt>
          <c:dPt>
            <c:idx val="36"/>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49-E681-402C-B9EE-4445B93B7990}"/>
              </c:ext>
            </c:extLst>
          </c:dPt>
          <c:dPt>
            <c:idx val="37"/>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4B-E681-402C-B9EE-4445B93B7990}"/>
              </c:ext>
            </c:extLst>
          </c:dPt>
          <c:dPt>
            <c:idx val="38"/>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4D-E681-402C-B9EE-4445B93B7990}"/>
              </c:ext>
            </c:extLst>
          </c:dPt>
          <c:dPt>
            <c:idx val="39"/>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4F-E681-402C-B9EE-4445B93B7990}"/>
              </c:ext>
            </c:extLst>
          </c:dPt>
          <c:dPt>
            <c:idx val="40"/>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51-E681-402C-B9EE-4445B93B7990}"/>
              </c:ext>
            </c:extLst>
          </c:dPt>
          <c:dPt>
            <c:idx val="41"/>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53-E681-402C-B9EE-4445B93B7990}"/>
              </c:ext>
            </c:extLst>
          </c:dPt>
          <c:dPt>
            <c:idx val="42"/>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55-E681-402C-B9EE-4445B93B7990}"/>
              </c:ext>
            </c:extLst>
          </c:dPt>
          <c:dPt>
            <c:idx val="43"/>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57-E681-402C-B9EE-4445B93B7990}"/>
              </c:ext>
            </c:extLst>
          </c:dPt>
          <c:dPt>
            <c:idx val="44"/>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59-E681-402C-B9EE-4445B93B7990}"/>
              </c:ext>
            </c:extLst>
          </c:dPt>
          <c:dPt>
            <c:idx val="45"/>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5B-E681-402C-B9EE-4445B93B7990}"/>
              </c:ext>
            </c:extLst>
          </c:dPt>
          <c:dPt>
            <c:idx val="46"/>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5D-E681-402C-B9EE-4445B93B7990}"/>
              </c:ext>
            </c:extLst>
          </c:dPt>
          <c:dPt>
            <c:idx val="47"/>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5F-E681-402C-B9EE-4445B93B7990}"/>
              </c:ext>
            </c:extLst>
          </c:dPt>
          <c:dPt>
            <c:idx val="48"/>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61-E681-402C-B9EE-4445B93B7990}"/>
              </c:ext>
            </c:extLst>
          </c:dPt>
          <c:dPt>
            <c:idx val="49"/>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63-E681-402C-B9EE-4445B93B7990}"/>
              </c:ext>
            </c:extLst>
          </c:dPt>
          <c:dPt>
            <c:idx val="50"/>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65-E681-402C-B9EE-4445B93B7990}"/>
              </c:ext>
            </c:extLst>
          </c:dPt>
          <c:dPt>
            <c:idx val="51"/>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67-E681-402C-B9EE-4445B93B7990}"/>
              </c:ext>
            </c:extLst>
          </c:dPt>
          <c:dPt>
            <c:idx val="52"/>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69-E681-402C-B9EE-4445B93B7990}"/>
              </c:ext>
            </c:extLst>
          </c:dPt>
          <c:dPt>
            <c:idx val="53"/>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6B-E681-402C-B9EE-4445B93B7990}"/>
              </c:ext>
            </c:extLst>
          </c:dPt>
          <c:dPt>
            <c:idx val="54"/>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6D-E681-402C-B9EE-4445B93B7990}"/>
              </c:ext>
            </c:extLst>
          </c:dPt>
          <c:dPt>
            <c:idx val="55"/>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6F-E681-402C-B9EE-4445B93B7990}"/>
              </c:ext>
            </c:extLst>
          </c:dPt>
          <c:dPt>
            <c:idx val="56"/>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71-E681-402C-B9EE-4445B93B7990}"/>
              </c:ext>
            </c:extLst>
          </c:dPt>
          <c:dPt>
            <c:idx val="57"/>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73-E681-402C-B9EE-4445B93B7990}"/>
              </c:ext>
            </c:extLst>
          </c:dPt>
          <c:dPt>
            <c:idx val="58"/>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75-E681-402C-B9EE-4445B93B7990}"/>
              </c:ext>
            </c:extLst>
          </c:dPt>
          <c:dPt>
            <c:idx val="59"/>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77-E681-402C-B9EE-4445B93B7990}"/>
              </c:ext>
            </c:extLst>
          </c:dPt>
          <c:dPt>
            <c:idx val="60"/>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79-E681-402C-B9EE-4445B93B7990}"/>
              </c:ext>
            </c:extLst>
          </c:dPt>
          <c:dPt>
            <c:idx val="61"/>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7B-E681-402C-B9EE-4445B93B7990}"/>
              </c:ext>
            </c:extLst>
          </c:dPt>
          <c:dPt>
            <c:idx val="62"/>
            <c:bubble3D val="0"/>
            <c:spPr>
              <a:gradFill>
                <a:gsLst>
                  <a:gs pos="14000">
                    <a:srgbClr val="2962FF"/>
                  </a:gs>
                  <a:gs pos="56000">
                    <a:srgbClr val="80D8FF"/>
                  </a:gs>
                </a:gsLst>
                <a:path path="circle">
                  <a:fillToRect l="100000" t="100000"/>
                </a:path>
              </a:gradFill>
              <a:ln w="28575">
                <a:solidFill>
                  <a:schemeClr val="tx1"/>
                </a:solidFill>
              </a:ln>
              <a:effectLst/>
            </c:spPr>
            <c:extLst>
              <c:ext xmlns:c16="http://schemas.microsoft.com/office/drawing/2014/chart" uri="{C3380CC4-5D6E-409C-BE32-E72D297353CC}">
                <c16:uniqueId val="{0000007D-E681-402C-B9EE-4445B93B7990}"/>
              </c:ext>
            </c:extLst>
          </c:dPt>
          <c:val>
            <c:numLit>
              <c:formatCode>General</c:formatCode>
              <c:ptCount val="6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numLit>
          </c:val>
          <c:extLst>
            <c:ext xmlns:c16="http://schemas.microsoft.com/office/drawing/2014/chart" uri="{C3380CC4-5D6E-409C-BE32-E72D297353CC}">
              <c16:uniqueId val="{0000007E-E681-402C-B9EE-4445B93B7990}"/>
            </c:ext>
          </c:extLst>
        </c:ser>
        <c:dLbls>
          <c:showLegendKey val="0"/>
          <c:showVal val="0"/>
          <c:showCatName val="0"/>
          <c:showSerName val="0"/>
          <c:showPercent val="0"/>
          <c:showBubbleSize val="0"/>
          <c:showLeaderLines val="1"/>
        </c:dLbls>
        <c:firstSliceAng val="0"/>
        <c:holeSize val="75"/>
      </c:doughnutChart>
      <c:pieChart>
        <c:varyColors val="1"/>
        <c:ser>
          <c:idx val="1"/>
          <c:order val="1"/>
          <c:tx>
            <c:v>Customer Type</c:v>
          </c:tx>
          <c:spPr>
            <a:ln>
              <a:noFill/>
            </a:ln>
          </c:spPr>
          <c:dPt>
            <c:idx val="0"/>
            <c:bubble3D val="0"/>
            <c:spPr>
              <a:noFill/>
              <a:ln w="19050">
                <a:noFill/>
              </a:ln>
              <a:effectLst/>
            </c:spPr>
            <c:extLst>
              <c:ext xmlns:c16="http://schemas.microsoft.com/office/drawing/2014/chart" uri="{C3380CC4-5D6E-409C-BE32-E72D297353CC}">
                <c16:uniqueId val="{00000080-E681-402C-B9EE-4445B93B7990}"/>
              </c:ext>
            </c:extLst>
          </c:dPt>
          <c:dPt>
            <c:idx val="1"/>
            <c:bubble3D val="0"/>
            <c:spPr>
              <a:solidFill>
                <a:schemeClr val="tx1">
                  <a:alpha val="80000"/>
                </a:schemeClr>
              </a:solidFill>
              <a:ln w="19050">
                <a:noFill/>
              </a:ln>
              <a:effectLst/>
            </c:spPr>
            <c:extLst>
              <c:ext xmlns:c16="http://schemas.microsoft.com/office/drawing/2014/chart" uri="{C3380CC4-5D6E-409C-BE32-E72D297353CC}">
                <c16:uniqueId val="{00000082-E681-402C-B9EE-4445B93B7990}"/>
              </c:ext>
            </c:extLst>
          </c:dPt>
          <c:val>
            <c:numRef>
              <c:f>'Pivot Table'!$I$21:$I$22</c:f>
              <c:numCache>
                <c:formatCode>0.00%</c:formatCode>
                <c:ptCount val="2"/>
                <c:pt idx="0">
                  <c:v>0.52267751479061764</c:v>
                </c:pt>
                <c:pt idx="1">
                  <c:v>0.47732248520938286</c:v>
                </c:pt>
              </c:numCache>
            </c:numRef>
          </c:val>
          <c:extLst>
            <c:ext xmlns:c16="http://schemas.microsoft.com/office/drawing/2014/chart" uri="{C3380CC4-5D6E-409C-BE32-E72D297353CC}">
              <c16:uniqueId val="{00000083-E681-402C-B9EE-4445B93B799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Table!PivotTable13</c:name>
    <c:fmtId val="6"/>
  </c:pivotSource>
  <c:chart>
    <c:autoTitleDeleted val="1"/>
    <c:pivotFmts>
      <c:pivotFmt>
        <c:idx val="0"/>
        <c:spPr>
          <a:solidFill>
            <a:schemeClr val="accent1"/>
          </a:solidFill>
          <a:ln w="28575" cap="rnd">
            <a:noFill/>
            <a:round/>
          </a:ln>
          <a:effectLst/>
        </c:spPr>
        <c:marker>
          <c:symbol val="diamond"/>
          <c:size val="8"/>
          <c:spPr>
            <a:solidFill>
              <a:srgbClr val="00E5FF"/>
            </a:solidFill>
            <a:ln w="222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diamond"/>
          <c:size val="8"/>
          <c:spPr>
            <a:solidFill>
              <a:srgbClr val="00E5FF"/>
            </a:solidFill>
            <a:ln w="222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diamond"/>
          <c:size val="8"/>
          <c:spPr>
            <a:solidFill>
              <a:srgbClr val="00E5FF"/>
            </a:solidFill>
            <a:ln w="222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Table'!$P$20</c:f>
              <c:strCache>
                <c:ptCount val="1"/>
                <c:pt idx="0">
                  <c:v>Total</c:v>
                </c:pt>
              </c:strCache>
            </c:strRef>
          </c:tx>
          <c:spPr>
            <a:ln w="28575" cap="rnd">
              <a:noFill/>
              <a:round/>
            </a:ln>
            <a:effectLst/>
          </c:spPr>
          <c:marker>
            <c:symbol val="diamond"/>
            <c:size val="8"/>
            <c:spPr>
              <a:solidFill>
                <a:srgbClr val="00E5FF"/>
              </a:solidFill>
              <a:ln w="222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Table'!$O$21:$O$27</c:f>
              <c:strCache>
                <c:ptCount val="6"/>
                <c:pt idx="0">
                  <c:v>Alice</c:v>
                </c:pt>
                <c:pt idx="1">
                  <c:v>Bob</c:v>
                </c:pt>
                <c:pt idx="2">
                  <c:v>Carlos</c:v>
                </c:pt>
                <c:pt idx="3">
                  <c:v>Diana</c:v>
                </c:pt>
                <c:pt idx="4">
                  <c:v>Eva</c:v>
                </c:pt>
                <c:pt idx="5">
                  <c:v>Frank</c:v>
                </c:pt>
              </c:strCache>
            </c:strRef>
          </c:cat>
          <c:val>
            <c:numRef>
              <c:f>'Pivot Table'!$P$21:$P$27</c:f>
              <c:numCache>
                <c:formatCode>[&gt;=1000000]0.0,,"M";[&gt;=1000]0.0,"K";0</c:formatCode>
                <c:ptCount val="6"/>
                <c:pt idx="0">
                  <c:v>316004.03999999998</c:v>
                </c:pt>
                <c:pt idx="1">
                  <c:v>265496.41000000009</c:v>
                </c:pt>
                <c:pt idx="2">
                  <c:v>216470.54000000004</c:v>
                </c:pt>
                <c:pt idx="3">
                  <c:v>255374.44000000006</c:v>
                </c:pt>
                <c:pt idx="4">
                  <c:v>317211.53999999992</c:v>
                </c:pt>
                <c:pt idx="5">
                  <c:v>249938.28</c:v>
                </c:pt>
              </c:numCache>
            </c:numRef>
          </c:val>
          <c:smooth val="0"/>
          <c:extLst>
            <c:ext xmlns:c16="http://schemas.microsoft.com/office/drawing/2014/chart" uri="{C3380CC4-5D6E-409C-BE32-E72D297353CC}">
              <c16:uniqueId val="{00000000-16DC-4ECB-A2C3-63CAE036C61D}"/>
            </c:ext>
          </c:extLst>
        </c:ser>
        <c:dLbls>
          <c:dLblPos val="t"/>
          <c:showLegendKey val="0"/>
          <c:showVal val="1"/>
          <c:showCatName val="0"/>
          <c:showSerName val="0"/>
          <c:showPercent val="0"/>
          <c:showBubbleSize val="0"/>
        </c:dLbls>
        <c:dropLines>
          <c:spPr>
            <a:ln w="15875" cap="flat" cmpd="sng" algn="ctr">
              <a:gradFill flip="none" rotWithShape="1">
                <a:gsLst>
                  <a:gs pos="0">
                    <a:schemeClr val="accent1">
                      <a:lumMod val="5000"/>
                      <a:lumOff val="95000"/>
                    </a:schemeClr>
                  </a:gs>
                  <a:gs pos="60000">
                    <a:schemeClr val="accent1">
                      <a:lumMod val="45000"/>
                      <a:lumOff val="55000"/>
                    </a:schemeClr>
                  </a:gs>
                  <a:gs pos="100000">
                    <a:srgbClr val="2962FF"/>
                  </a:gs>
                </a:gsLst>
                <a:path path="circle">
                  <a:fillToRect l="100000" t="100000"/>
                </a:path>
                <a:tileRect r="-100000" b="-100000"/>
              </a:gradFill>
              <a:prstDash val="sysDot"/>
              <a:bevel/>
            </a:ln>
            <a:effectLst/>
          </c:spPr>
        </c:dropLines>
        <c:marker val="1"/>
        <c:smooth val="0"/>
        <c:axId val="73113615"/>
        <c:axId val="73092495"/>
      </c:lineChart>
      <c:catAx>
        <c:axId val="731136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3092495"/>
        <c:crosses val="autoZero"/>
        <c:auto val="1"/>
        <c:lblAlgn val="ctr"/>
        <c:lblOffset val="100"/>
        <c:noMultiLvlLbl val="0"/>
      </c:catAx>
      <c:valAx>
        <c:axId val="73092495"/>
        <c:scaling>
          <c:orientation val="minMax"/>
        </c:scaling>
        <c:delete val="1"/>
        <c:axPos val="l"/>
        <c:numFmt formatCode="[&gt;=1000000]0.0,,&quot;M&quot;;[&gt;=1000]0.0,&quot;K&quot;;0" sourceLinked="1"/>
        <c:majorTickMark val="none"/>
        <c:minorTickMark val="none"/>
        <c:tickLblPos val="nextTo"/>
        <c:crossAx val="7311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Table!PivotTable3</c:name>
    <c:fmtId val="7"/>
  </c:pivotSource>
  <c:chart>
    <c:autoTitleDeleted val="1"/>
    <c:pivotFmts>
      <c:pivotFmt>
        <c:idx val="0"/>
        <c:spPr>
          <a:solidFill>
            <a:schemeClr val="accent1"/>
          </a:solidFill>
          <a:ln w="22225" cap="rnd">
            <a:solidFill>
              <a:srgbClr val="2962FF"/>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2962FF"/>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2962FF"/>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364180401858849E-2"/>
          <c:y val="0.21923090201750575"/>
          <c:w val="0.9252716391962823"/>
          <c:h val="0.59301913568693865"/>
        </c:manualLayout>
      </c:layout>
      <c:lineChart>
        <c:grouping val="standard"/>
        <c:varyColors val="0"/>
        <c:ser>
          <c:idx val="0"/>
          <c:order val="0"/>
          <c:tx>
            <c:strRef>
              <c:f>'Pivot Table'!$I$3</c:f>
              <c:strCache>
                <c:ptCount val="1"/>
                <c:pt idx="0">
                  <c:v>Total</c:v>
                </c:pt>
              </c:strCache>
            </c:strRef>
          </c:tx>
          <c:spPr>
            <a:ln w="22225" cap="rnd">
              <a:solidFill>
                <a:srgbClr val="2962FF"/>
              </a:solidFill>
              <a:prstDash val="sysDot"/>
              <a:round/>
            </a:ln>
            <a:effectLst/>
          </c:spPr>
          <c:marker>
            <c:symbol val="none"/>
          </c:marker>
          <c:cat>
            <c:strRef>
              <c:f>'Pivot Table'!$H$4:$H$16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Table'!$I$4:$I$16</c:f>
              <c:numCache>
                <c:formatCode>[&gt;=1000000]0.0,,"M";[&gt;=1000]0.0,"K";0</c:formatCode>
                <c:ptCount val="12"/>
                <c:pt idx="0">
                  <c:v>115827.00000000003</c:v>
                </c:pt>
                <c:pt idx="1">
                  <c:v>97212.85</c:v>
                </c:pt>
                <c:pt idx="2">
                  <c:v>137815.99</c:v>
                </c:pt>
                <c:pt idx="3">
                  <c:v>123439.34000000001</c:v>
                </c:pt>
                <c:pt idx="4">
                  <c:v>187491.91999999995</c:v>
                </c:pt>
                <c:pt idx="5">
                  <c:v>154229.30999999997</c:v>
                </c:pt>
                <c:pt idx="6">
                  <c:v>115548.76999999999</c:v>
                </c:pt>
                <c:pt idx="7">
                  <c:v>150923.99</c:v>
                </c:pt>
                <c:pt idx="8">
                  <c:v>122744.42000000003</c:v>
                </c:pt>
                <c:pt idx="9">
                  <c:v>137758.70999999996</c:v>
                </c:pt>
                <c:pt idx="10">
                  <c:v>171602.27</c:v>
                </c:pt>
                <c:pt idx="11">
                  <c:v>105900.68</c:v>
                </c:pt>
              </c:numCache>
            </c:numRef>
          </c:val>
          <c:smooth val="1"/>
          <c:extLst>
            <c:ext xmlns:c16="http://schemas.microsoft.com/office/drawing/2014/chart" uri="{C3380CC4-5D6E-409C-BE32-E72D297353CC}">
              <c16:uniqueId val="{00000000-99D9-4FB0-A1EA-75E5AF50AC2D}"/>
            </c:ext>
          </c:extLst>
        </c:ser>
        <c:dLbls>
          <c:showLegendKey val="0"/>
          <c:showVal val="0"/>
          <c:showCatName val="0"/>
          <c:showSerName val="0"/>
          <c:showPercent val="0"/>
          <c:showBubbleSize val="0"/>
        </c:dLbls>
        <c:smooth val="0"/>
        <c:axId val="512879648"/>
        <c:axId val="512871488"/>
      </c:lineChart>
      <c:catAx>
        <c:axId val="5128796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512871488"/>
        <c:crosses val="autoZero"/>
        <c:auto val="1"/>
        <c:lblAlgn val="ctr"/>
        <c:lblOffset val="100"/>
        <c:noMultiLvlLbl val="0"/>
      </c:catAx>
      <c:valAx>
        <c:axId val="512871488"/>
        <c:scaling>
          <c:orientation val="minMax"/>
        </c:scaling>
        <c:delete val="1"/>
        <c:axPos val="l"/>
        <c:numFmt formatCode="[&gt;=1000000]0.0,,&quot;M&quot;;[&gt;=1000]0.0,&quot;K&quot;;0" sourceLinked="1"/>
        <c:majorTickMark val="none"/>
        <c:minorTickMark val="none"/>
        <c:tickLblPos val="nextTo"/>
        <c:crossAx val="512879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Table!PivotTable14</c:name>
    <c:fmtId val="2"/>
  </c:pivotSource>
  <c:chart>
    <c:autoTitleDeleted val="1"/>
    <c:pivotFmts>
      <c:pivotFmt>
        <c:idx val="0"/>
        <c:spPr>
          <a:gradFill>
            <a:gsLst>
              <a:gs pos="0">
                <a:schemeClr val="accent1">
                  <a:lumMod val="5000"/>
                  <a:lumOff val="95000"/>
                </a:schemeClr>
              </a:gs>
              <a:gs pos="0">
                <a:srgbClr val="00E5FF"/>
              </a:gs>
              <a:gs pos="74000">
                <a:srgbClr val="2962FF"/>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0">
                <a:srgbClr val="00E5FF"/>
              </a:gs>
              <a:gs pos="74000">
                <a:srgbClr val="2962FF"/>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0">
                <a:srgbClr val="00E5FF"/>
              </a:gs>
              <a:gs pos="74000">
                <a:srgbClr val="2962FF"/>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Table'!$M$29</c:f>
              <c:strCache>
                <c:ptCount val="1"/>
                <c:pt idx="0">
                  <c:v>Total</c:v>
                </c:pt>
              </c:strCache>
            </c:strRef>
          </c:tx>
          <c:spPr>
            <a:gradFill>
              <a:gsLst>
                <a:gs pos="0">
                  <a:schemeClr val="accent1">
                    <a:lumMod val="5000"/>
                    <a:lumOff val="95000"/>
                  </a:schemeClr>
                </a:gs>
                <a:gs pos="0">
                  <a:srgbClr val="00E5FF"/>
                </a:gs>
                <a:gs pos="74000">
                  <a:srgbClr val="2962FF"/>
                </a:gs>
              </a:gsLst>
              <a:path path="circle">
                <a:fillToRect l="100000" t="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Table'!$L$30:$L$35</c:f>
              <c:strCache>
                <c:ptCount val="5"/>
                <c:pt idx="0">
                  <c:v>Ryan</c:v>
                </c:pt>
                <c:pt idx="1">
                  <c:v>Eric</c:v>
                </c:pt>
                <c:pt idx="2">
                  <c:v>Cameron</c:v>
                </c:pt>
                <c:pt idx="3">
                  <c:v>Wendy</c:v>
                </c:pt>
                <c:pt idx="4">
                  <c:v>Sophie</c:v>
                </c:pt>
              </c:strCache>
            </c:strRef>
          </c:cat>
          <c:val>
            <c:numRef>
              <c:f>'Pivot Table'!$M$30:$M$35</c:f>
              <c:numCache>
                <c:formatCode>[&gt;=1000000]0.0,,"M";[&gt;=1000]0.0,"K";0</c:formatCode>
                <c:ptCount val="5"/>
                <c:pt idx="0">
                  <c:v>368533.50999999995</c:v>
                </c:pt>
                <c:pt idx="1">
                  <c:v>349884.78000000009</c:v>
                </c:pt>
                <c:pt idx="2">
                  <c:v>340256.08</c:v>
                </c:pt>
                <c:pt idx="3">
                  <c:v>287375.76</c:v>
                </c:pt>
                <c:pt idx="4">
                  <c:v>274445.12000000011</c:v>
                </c:pt>
              </c:numCache>
            </c:numRef>
          </c:val>
          <c:extLst>
            <c:ext xmlns:c16="http://schemas.microsoft.com/office/drawing/2014/chart" uri="{C3380CC4-5D6E-409C-BE32-E72D297353CC}">
              <c16:uniqueId val="{00000000-6A59-4B43-A79A-3D3E6EC1DECF}"/>
            </c:ext>
          </c:extLst>
        </c:ser>
        <c:dLbls>
          <c:dLblPos val="outEnd"/>
          <c:showLegendKey val="0"/>
          <c:showVal val="1"/>
          <c:showCatName val="0"/>
          <c:showSerName val="0"/>
          <c:showPercent val="0"/>
          <c:showBubbleSize val="0"/>
        </c:dLbls>
        <c:gapWidth val="182"/>
        <c:axId val="451487120"/>
        <c:axId val="451501040"/>
      </c:barChart>
      <c:catAx>
        <c:axId val="45148712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451501040"/>
        <c:crosses val="autoZero"/>
        <c:auto val="1"/>
        <c:lblAlgn val="ctr"/>
        <c:lblOffset val="100"/>
        <c:noMultiLvlLbl val="0"/>
      </c:catAx>
      <c:valAx>
        <c:axId val="451501040"/>
        <c:scaling>
          <c:orientation val="minMax"/>
        </c:scaling>
        <c:delete val="1"/>
        <c:axPos val="t"/>
        <c:numFmt formatCode="[&gt;=1000000]0.0,,&quot;M&quot;;[&gt;=1000]0.0,&quot;K&quot;;0" sourceLinked="1"/>
        <c:majorTickMark val="none"/>
        <c:minorTickMark val="none"/>
        <c:tickLblPos val="nextTo"/>
        <c:crossAx val="451487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Table!PivotTable14</c:name>
    <c:fmtId val="8"/>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962FF"/>
          </a:solidFill>
          <a:ln w="19050">
            <a:noFill/>
          </a:ln>
          <a:effectLst/>
        </c:spPr>
        <c:dLbl>
          <c:idx val="0"/>
          <c:layout>
            <c:manualLayout>
              <c:x val="0.111111111111111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E5FF"/>
          </a:solidFill>
          <a:ln w="19050">
            <a:noFill/>
          </a:ln>
          <a:effectLst/>
        </c:spPr>
        <c:dLbl>
          <c:idx val="0"/>
          <c:layout>
            <c:manualLayout>
              <c:x val="0.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2B1FF"/>
          </a:solidFill>
          <a:ln w="19050">
            <a:noFill/>
          </a:ln>
          <a:effectLst/>
        </c:spPr>
        <c:dLbl>
          <c:idx val="0"/>
          <c:layout>
            <c:manualLayout>
              <c:x val="-0.1194444444444444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w="19050">
            <a:noFill/>
          </a:ln>
          <a:effectLst/>
        </c:spPr>
        <c:dLbl>
          <c:idx val="0"/>
          <c:layout>
            <c:manualLayout>
              <c:x val="-9.444444444444444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noFill/>
          </a:ln>
          <a:effectLst/>
        </c:spPr>
        <c:dLbl>
          <c:idx val="0"/>
          <c:layout>
            <c:manualLayout>
              <c:x val="-5.2777777777777778E-2"/>
              <c:y val="-8.333333333333335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962FF"/>
          </a:solidFill>
          <a:ln w="19050">
            <a:noFill/>
          </a:ln>
          <a:effectLst/>
        </c:spPr>
        <c:dLbl>
          <c:idx val="0"/>
          <c:layout>
            <c:manualLayout>
              <c:x val="0.111111111111111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E5FF"/>
          </a:solidFill>
          <a:ln w="19050">
            <a:noFill/>
          </a:ln>
          <a:effectLst/>
        </c:spPr>
        <c:dLbl>
          <c:idx val="0"/>
          <c:layout>
            <c:manualLayout>
              <c:x val="0.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2B1FF"/>
          </a:solidFill>
          <a:ln w="19050">
            <a:noFill/>
          </a:ln>
          <a:effectLst/>
        </c:spPr>
        <c:dLbl>
          <c:idx val="0"/>
          <c:layout>
            <c:manualLayout>
              <c:x val="-0.1194444444444444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90000"/>
              <a:lumOff val="10000"/>
            </a:schemeClr>
          </a:solidFill>
          <a:ln w="19050">
            <a:noFill/>
          </a:ln>
          <a:effectLst/>
        </c:spPr>
        <c:dLbl>
          <c:idx val="0"/>
          <c:layout>
            <c:manualLayout>
              <c:x val="-9.444444444444444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w="19050">
            <a:noFill/>
          </a:ln>
          <a:effectLst/>
        </c:spPr>
        <c:dLbl>
          <c:idx val="0"/>
          <c:layout>
            <c:manualLayout>
              <c:x val="-5.2777777777777778E-2"/>
              <c:y val="-8.333333333333335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962FF"/>
          </a:solidFill>
          <a:ln w="19050">
            <a:noFill/>
          </a:ln>
          <a:effectLst/>
        </c:spPr>
        <c:dLbl>
          <c:idx val="0"/>
          <c:layout>
            <c:manualLayout>
              <c:x val="0.111111111111111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E5FF"/>
          </a:solidFill>
          <a:ln w="19050">
            <a:noFill/>
          </a:ln>
          <a:effectLst/>
        </c:spPr>
        <c:dLbl>
          <c:idx val="0"/>
          <c:layout>
            <c:manualLayout>
              <c:x val="0.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82B1FF"/>
          </a:solidFill>
          <a:ln w="19050">
            <a:noFill/>
          </a:ln>
          <a:effectLst/>
        </c:spPr>
        <c:dLbl>
          <c:idx val="0"/>
          <c:layout>
            <c:manualLayout>
              <c:x val="-0.11944444444444445"/>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w="19050">
            <a:noFill/>
          </a:ln>
          <a:effectLst/>
        </c:spPr>
        <c:dLbl>
          <c:idx val="0"/>
          <c:layout>
            <c:manualLayout>
              <c:x val="-9.4887221128608923E-2"/>
              <c:y val="-0.13536192364898358"/>
            </c:manualLayout>
          </c:layout>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420206580108086"/>
                  <c:h val="0.10868641419822522"/>
                </c:manualLayout>
              </c15:layout>
            </c:ext>
          </c:extLst>
        </c:dLbl>
      </c:pivotFmt>
      <c:pivotFmt>
        <c:idx val="17"/>
        <c:spPr>
          <a:solidFill>
            <a:schemeClr val="accent4"/>
          </a:solidFill>
          <a:ln w="19050">
            <a:noFill/>
          </a:ln>
          <a:effectLst/>
        </c:spPr>
        <c:dLbl>
          <c:idx val="0"/>
          <c:layout>
            <c:manualLayout>
              <c:x val="-2.2535743864333099E-2"/>
              <c:y val="-0.1538800705467372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94857283464565"/>
          <c:y val="9.1400514977529712E-2"/>
          <c:w val="0.42585383858267711"/>
          <c:h val="0.83036288323444263"/>
        </c:manualLayout>
      </c:layout>
      <c:doughnutChart>
        <c:varyColors val="1"/>
        <c:ser>
          <c:idx val="0"/>
          <c:order val="0"/>
          <c:tx>
            <c:strRef>
              <c:f>'Pivot Table'!$M$29</c:f>
              <c:strCache>
                <c:ptCount val="1"/>
                <c:pt idx="0">
                  <c:v>Total</c:v>
                </c:pt>
              </c:strCache>
            </c:strRef>
          </c:tx>
          <c:spPr>
            <a:ln>
              <a:noFill/>
            </a:ln>
          </c:spPr>
          <c:dPt>
            <c:idx val="0"/>
            <c:bubble3D val="0"/>
            <c:spPr>
              <a:solidFill>
                <a:srgbClr val="2962FF"/>
              </a:solidFill>
              <a:ln w="19050">
                <a:noFill/>
              </a:ln>
              <a:effectLst/>
            </c:spPr>
            <c:extLst>
              <c:ext xmlns:c16="http://schemas.microsoft.com/office/drawing/2014/chart" uri="{C3380CC4-5D6E-409C-BE32-E72D297353CC}">
                <c16:uniqueId val="{00000001-5E7A-429B-8C1D-0CD9B09B0934}"/>
              </c:ext>
            </c:extLst>
          </c:dPt>
          <c:dPt>
            <c:idx val="1"/>
            <c:bubble3D val="0"/>
            <c:spPr>
              <a:solidFill>
                <a:srgbClr val="00E5FF"/>
              </a:solidFill>
              <a:ln w="19050">
                <a:noFill/>
              </a:ln>
              <a:effectLst/>
            </c:spPr>
            <c:extLst>
              <c:ext xmlns:c16="http://schemas.microsoft.com/office/drawing/2014/chart" uri="{C3380CC4-5D6E-409C-BE32-E72D297353CC}">
                <c16:uniqueId val="{00000003-5E7A-429B-8C1D-0CD9B09B0934}"/>
              </c:ext>
            </c:extLst>
          </c:dPt>
          <c:dPt>
            <c:idx val="2"/>
            <c:bubble3D val="0"/>
            <c:spPr>
              <a:solidFill>
                <a:srgbClr val="82B1FF"/>
              </a:solidFill>
              <a:ln w="19050">
                <a:noFill/>
              </a:ln>
              <a:effectLst/>
            </c:spPr>
            <c:extLst>
              <c:ext xmlns:c16="http://schemas.microsoft.com/office/drawing/2014/chart" uri="{C3380CC4-5D6E-409C-BE32-E72D297353CC}">
                <c16:uniqueId val="{00000005-5E7A-429B-8C1D-0CD9B09B0934}"/>
              </c:ext>
            </c:extLst>
          </c:dPt>
          <c:dPt>
            <c:idx val="3"/>
            <c:bubble3D val="0"/>
            <c:spPr>
              <a:solidFill>
                <a:schemeClr val="tx2">
                  <a:lumMod val="90000"/>
                  <a:lumOff val="10000"/>
                </a:schemeClr>
              </a:solidFill>
              <a:ln w="19050">
                <a:noFill/>
              </a:ln>
              <a:effectLst/>
            </c:spPr>
            <c:extLst>
              <c:ext xmlns:c16="http://schemas.microsoft.com/office/drawing/2014/chart" uri="{C3380CC4-5D6E-409C-BE32-E72D297353CC}">
                <c16:uniqueId val="{00000007-5E7A-429B-8C1D-0CD9B09B0934}"/>
              </c:ext>
            </c:extLst>
          </c:dPt>
          <c:dPt>
            <c:idx val="4"/>
            <c:bubble3D val="0"/>
            <c:spPr>
              <a:solidFill>
                <a:schemeClr val="accent4"/>
              </a:solidFill>
              <a:ln w="19050">
                <a:noFill/>
              </a:ln>
              <a:effectLst/>
            </c:spPr>
            <c:extLst>
              <c:ext xmlns:c16="http://schemas.microsoft.com/office/drawing/2014/chart" uri="{C3380CC4-5D6E-409C-BE32-E72D297353CC}">
                <c16:uniqueId val="{00000009-5E7A-429B-8C1D-0CD9B09B0934}"/>
              </c:ext>
            </c:extLst>
          </c:dPt>
          <c:dLbls>
            <c:dLbl>
              <c:idx val="0"/>
              <c:layout>
                <c:manualLayout>
                  <c:x val="0.1111111111111111"/>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7A-429B-8C1D-0CD9B09B0934}"/>
                </c:ext>
              </c:extLst>
            </c:dLbl>
            <c:dLbl>
              <c:idx val="1"/>
              <c:layout>
                <c:manualLayout>
                  <c:x val="0.1"/>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7A-429B-8C1D-0CD9B09B0934}"/>
                </c:ext>
              </c:extLst>
            </c:dLbl>
            <c:dLbl>
              <c:idx val="2"/>
              <c:layout>
                <c:manualLayout>
                  <c:x val="-0.11944444444444445"/>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7A-429B-8C1D-0CD9B09B0934}"/>
                </c:ext>
              </c:extLst>
            </c:dLbl>
            <c:dLbl>
              <c:idx val="3"/>
              <c:layout>
                <c:manualLayout>
                  <c:x val="-9.4887221128608923E-2"/>
                  <c:y val="-0.13536192364898358"/>
                </c:manualLayout>
              </c:layout>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420206580108086"/>
                      <c:h val="0.10868641419822522"/>
                    </c:manualLayout>
                  </c15:layout>
                </c:ext>
                <c:ext xmlns:c16="http://schemas.microsoft.com/office/drawing/2014/chart" uri="{C3380CC4-5D6E-409C-BE32-E72D297353CC}">
                  <c16:uniqueId val="{00000007-5E7A-429B-8C1D-0CD9B09B0934}"/>
                </c:ext>
              </c:extLst>
            </c:dLbl>
            <c:dLbl>
              <c:idx val="4"/>
              <c:layout>
                <c:manualLayout>
                  <c:x val="-2.2535743864333099E-2"/>
                  <c:y val="-0.153880070546737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E7A-429B-8C1D-0CD9B09B0934}"/>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Table'!$L$30:$L$35</c:f>
              <c:strCache>
                <c:ptCount val="5"/>
                <c:pt idx="0">
                  <c:v>Ryan</c:v>
                </c:pt>
                <c:pt idx="1">
                  <c:v>Eric</c:v>
                </c:pt>
                <c:pt idx="2">
                  <c:v>Cameron</c:v>
                </c:pt>
                <c:pt idx="3">
                  <c:v>Wendy</c:v>
                </c:pt>
                <c:pt idx="4">
                  <c:v>Sophie</c:v>
                </c:pt>
              </c:strCache>
            </c:strRef>
          </c:cat>
          <c:val>
            <c:numRef>
              <c:f>'Pivot Table'!$M$30:$M$35</c:f>
              <c:numCache>
                <c:formatCode>[&gt;=1000000]0.0,,"M";[&gt;=1000]0.0,"K";0</c:formatCode>
                <c:ptCount val="5"/>
                <c:pt idx="0">
                  <c:v>368533.50999999995</c:v>
                </c:pt>
                <c:pt idx="1">
                  <c:v>349884.78000000009</c:v>
                </c:pt>
                <c:pt idx="2">
                  <c:v>340256.08</c:v>
                </c:pt>
                <c:pt idx="3">
                  <c:v>287375.76</c:v>
                </c:pt>
                <c:pt idx="4">
                  <c:v>274445.12000000011</c:v>
                </c:pt>
              </c:numCache>
            </c:numRef>
          </c:val>
          <c:extLst>
            <c:ext xmlns:c16="http://schemas.microsoft.com/office/drawing/2014/chart" uri="{C3380CC4-5D6E-409C-BE32-E72D297353CC}">
              <c16:uniqueId val="{0000000A-5E7A-429B-8C1D-0CD9B09B09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079314304461945"/>
          <c:y val="0.19237689318214529"/>
          <c:w val="0.30724237989788322"/>
          <c:h val="0.744052826729992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Table!PivotTable11</c:name>
    <c:fmtId val="2"/>
  </c:pivotSource>
  <c:chart>
    <c:autoTitleDeleted val="1"/>
    <c:pivotFmts>
      <c:pivotFmt>
        <c:idx val="0"/>
        <c:spPr>
          <a:gradFill>
            <a:gsLst>
              <a:gs pos="0">
                <a:schemeClr val="accent1">
                  <a:lumMod val="5000"/>
                  <a:lumOff val="95000"/>
                </a:schemeClr>
              </a:gs>
              <a:gs pos="0">
                <a:srgbClr val="00E5FF"/>
              </a:gs>
              <a:gs pos="74000">
                <a:srgbClr val="2962FF"/>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0">
                <a:srgbClr val="00E5FF"/>
              </a:gs>
              <a:gs pos="74000">
                <a:srgbClr val="2962FF"/>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0">
                <a:srgbClr val="00E5FF"/>
              </a:gs>
              <a:gs pos="74000">
                <a:srgbClr val="2962FF"/>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43824186155835"/>
          <c:y val="0"/>
          <c:w val="0.74951698201903871"/>
          <c:h val="1"/>
        </c:manualLayout>
      </c:layout>
      <c:barChart>
        <c:barDir val="bar"/>
        <c:grouping val="clustered"/>
        <c:varyColors val="0"/>
        <c:ser>
          <c:idx val="0"/>
          <c:order val="0"/>
          <c:tx>
            <c:strRef>
              <c:f>'Pivot Table'!$I$27</c:f>
              <c:strCache>
                <c:ptCount val="1"/>
                <c:pt idx="0">
                  <c:v>Total</c:v>
                </c:pt>
              </c:strCache>
            </c:strRef>
          </c:tx>
          <c:spPr>
            <a:gradFill>
              <a:gsLst>
                <a:gs pos="0">
                  <a:schemeClr val="accent1">
                    <a:lumMod val="5000"/>
                    <a:lumOff val="95000"/>
                  </a:schemeClr>
                </a:gs>
                <a:gs pos="0">
                  <a:srgbClr val="00E5FF"/>
                </a:gs>
                <a:gs pos="74000">
                  <a:srgbClr val="2962FF"/>
                </a:gs>
              </a:gsLst>
              <a:path path="circle">
                <a:fillToRect l="100000" t="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Table'!$H$28:$H$33</c:f>
              <c:strCache>
                <c:ptCount val="5"/>
                <c:pt idx="0">
                  <c:v>Cash</c:v>
                </c:pt>
                <c:pt idx="1">
                  <c:v>Online</c:v>
                </c:pt>
                <c:pt idx="2">
                  <c:v>Credit Card</c:v>
                </c:pt>
                <c:pt idx="3">
                  <c:v>Gift Card</c:v>
                </c:pt>
                <c:pt idx="4">
                  <c:v>Debit Card</c:v>
                </c:pt>
              </c:strCache>
            </c:strRef>
          </c:cat>
          <c:val>
            <c:numRef>
              <c:f>'Pivot Table'!$I$28:$I$33</c:f>
              <c:numCache>
                <c:formatCode>[&gt;=1000000]0.0,,"M";[&gt;=1000]0.0,"K";0</c:formatCode>
                <c:ptCount val="5"/>
                <c:pt idx="0">
                  <c:v>374687.01000000007</c:v>
                </c:pt>
                <c:pt idx="1">
                  <c:v>357579.45</c:v>
                </c:pt>
                <c:pt idx="2">
                  <c:v>320292.57999999996</c:v>
                </c:pt>
                <c:pt idx="3">
                  <c:v>286864.21000000002</c:v>
                </c:pt>
                <c:pt idx="4">
                  <c:v>281071.99999999994</c:v>
                </c:pt>
              </c:numCache>
            </c:numRef>
          </c:val>
          <c:extLst>
            <c:ext xmlns:c16="http://schemas.microsoft.com/office/drawing/2014/chart" uri="{C3380CC4-5D6E-409C-BE32-E72D297353CC}">
              <c16:uniqueId val="{00000000-5236-496B-9214-BFDA430CB042}"/>
            </c:ext>
          </c:extLst>
        </c:ser>
        <c:dLbls>
          <c:showLegendKey val="0"/>
          <c:showVal val="0"/>
          <c:showCatName val="0"/>
          <c:showSerName val="0"/>
          <c:showPercent val="0"/>
          <c:showBubbleSize val="0"/>
        </c:dLbls>
        <c:gapWidth val="182"/>
        <c:axId val="128755791"/>
        <c:axId val="128746671"/>
      </c:barChart>
      <c:catAx>
        <c:axId val="12875579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746671"/>
        <c:crosses val="autoZero"/>
        <c:auto val="1"/>
        <c:lblAlgn val="ctr"/>
        <c:lblOffset val="100"/>
        <c:noMultiLvlLbl val="0"/>
      </c:catAx>
      <c:valAx>
        <c:axId val="128746671"/>
        <c:scaling>
          <c:orientation val="minMax"/>
        </c:scaling>
        <c:delete val="1"/>
        <c:axPos val="t"/>
        <c:numFmt formatCode="[&gt;=1000000]0.0,,&quot;M&quot;;[&gt;=1000]0.0,&quot;K&quot;;0" sourceLinked="1"/>
        <c:majorTickMark val="none"/>
        <c:minorTickMark val="none"/>
        <c:tickLblPos val="nextTo"/>
        <c:crossAx val="12875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DASHBOARD.xlsx]Pivot Table!PivotTable12</c:name>
    <c:fmtId val="2"/>
  </c:pivotSource>
  <c:chart>
    <c:autoTitleDeleted val="1"/>
    <c:pivotFmts>
      <c:pivotFmt>
        <c:idx val="0"/>
        <c:spPr>
          <a:gradFill flip="none" rotWithShape="1">
            <a:gsLst>
              <a:gs pos="100000">
                <a:srgbClr val="00E5FF"/>
              </a:gs>
              <a:gs pos="4000">
                <a:srgbClr val="2962FF"/>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rgbClr val="00E5FF"/>
              </a:gs>
              <a:gs pos="4000">
                <a:srgbClr val="2962FF"/>
              </a:gs>
            </a:gsLst>
            <a:path path="circle">
              <a:fillToRect l="100000" t="100000"/>
            </a:path>
            <a:tileRect r="-100000" b="-100000"/>
          </a:gradFill>
          <a:ln>
            <a:noFill/>
          </a:ln>
          <a:effectLst/>
        </c:spPr>
        <c:dLbl>
          <c:idx val="0"/>
          <c:layout>
            <c:manualLayout>
              <c:x val="0"/>
              <c:y val="-0.32407407407407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rgbClr val="00E5FF"/>
              </a:gs>
              <a:gs pos="4000">
                <a:srgbClr val="2962FF"/>
              </a:gs>
            </a:gsLst>
            <a:path path="circle">
              <a:fillToRect l="100000" t="100000"/>
            </a:path>
            <a:tileRect r="-100000" b="-100000"/>
          </a:gradFill>
          <a:ln>
            <a:noFill/>
          </a:ln>
          <a:effectLst/>
        </c:spPr>
        <c:dLbl>
          <c:idx val="0"/>
          <c:layout>
            <c:manualLayout>
              <c:x val="-1.0185067526415994E-16"/>
              <c:y val="-0.324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rgbClr val="00E5FF"/>
              </a:gs>
              <a:gs pos="4000">
                <a:srgbClr val="2962FF"/>
              </a:gs>
            </a:gsLst>
            <a:path path="circle">
              <a:fillToRect l="100000" t="100000"/>
            </a:path>
            <a:tileRect r="-100000" b="-100000"/>
          </a:gradFill>
          <a:ln>
            <a:noFill/>
          </a:ln>
          <a:effectLst/>
        </c:spPr>
        <c:dLbl>
          <c:idx val="0"/>
          <c:layout>
            <c:manualLayout>
              <c:x val="-5.0925337632079971E-17"/>
              <c:y val="-0.421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rgbClr val="00E5FF"/>
              </a:gs>
              <a:gs pos="4000">
                <a:srgbClr val="2962FF"/>
              </a:gs>
            </a:gsLst>
            <a:path path="circle">
              <a:fillToRect l="100000" t="100000"/>
            </a:path>
            <a:tileRect r="-100000" b="-100000"/>
          </a:gradFill>
          <a:ln>
            <a:noFill/>
          </a:ln>
          <a:effectLst/>
        </c:spPr>
        <c:dLbl>
          <c:idx val="0"/>
          <c:layout>
            <c:manualLayout>
              <c:x val="-5.0925337632079971E-17"/>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rgbClr val="00E5FF"/>
              </a:gs>
              <a:gs pos="4000">
                <a:srgbClr val="2962FF"/>
              </a:gs>
            </a:gsLst>
            <a:path path="circle">
              <a:fillToRect l="100000" t="100000"/>
            </a:path>
            <a:tileRect r="-100000" b="-100000"/>
          </a:gradFill>
          <a:ln>
            <a:noFill/>
          </a:ln>
          <a:effectLst/>
        </c:spPr>
        <c:dLbl>
          <c:idx val="0"/>
          <c:layout>
            <c:manualLayout>
              <c:x val="0"/>
              <c:y val="-0.388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rgbClr val="00E5FF"/>
              </a:gs>
              <a:gs pos="4000">
                <a:srgbClr val="2962FF"/>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rgbClr val="00E5FF"/>
              </a:gs>
              <a:gs pos="4000">
                <a:srgbClr val="2962FF"/>
              </a:gs>
            </a:gsLst>
            <a:path path="circle">
              <a:fillToRect l="100000" t="100000"/>
            </a:path>
            <a:tileRect r="-100000" b="-100000"/>
          </a:gradFill>
          <a:ln>
            <a:noFill/>
          </a:ln>
          <a:effectLst/>
        </c:spPr>
        <c:dLbl>
          <c:idx val="0"/>
          <c:layout>
            <c:manualLayout>
              <c:x val="0"/>
              <c:y val="-0.388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100000">
                <a:srgbClr val="00E5FF"/>
              </a:gs>
              <a:gs pos="4000">
                <a:srgbClr val="2962FF"/>
              </a:gs>
            </a:gsLst>
            <a:path path="circle">
              <a:fillToRect l="100000" t="100000"/>
            </a:path>
            <a:tileRect r="-100000" b="-100000"/>
          </a:gradFill>
          <a:ln>
            <a:noFill/>
          </a:ln>
          <a:effectLst/>
        </c:spPr>
        <c:dLbl>
          <c:idx val="0"/>
          <c:layout>
            <c:manualLayout>
              <c:x val="-5.0925337632079971E-17"/>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100000">
                <a:srgbClr val="00E5FF"/>
              </a:gs>
              <a:gs pos="4000">
                <a:srgbClr val="2962FF"/>
              </a:gs>
            </a:gsLst>
            <a:path path="circle">
              <a:fillToRect l="100000" t="100000"/>
            </a:path>
            <a:tileRect r="-100000" b="-100000"/>
          </a:gradFill>
          <a:ln>
            <a:noFill/>
          </a:ln>
          <a:effectLst/>
        </c:spPr>
        <c:dLbl>
          <c:idx val="0"/>
          <c:layout>
            <c:manualLayout>
              <c:x val="-5.0925337632079971E-17"/>
              <c:y val="-0.421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100000">
                <a:srgbClr val="00E5FF"/>
              </a:gs>
              <a:gs pos="4000">
                <a:srgbClr val="2962FF"/>
              </a:gs>
            </a:gsLst>
            <a:path path="circle">
              <a:fillToRect l="100000" t="100000"/>
            </a:path>
            <a:tileRect r="-100000" b="-100000"/>
          </a:gradFill>
          <a:ln>
            <a:noFill/>
          </a:ln>
          <a:effectLst/>
        </c:spPr>
        <c:dLbl>
          <c:idx val="0"/>
          <c:layout>
            <c:manualLayout>
              <c:x val="-1.0185067526415994E-16"/>
              <c:y val="-0.324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100000">
                <a:srgbClr val="00E5FF"/>
              </a:gs>
              <a:gs pos="4000">
                <a:srgbClr val="2962FF"/>
              </a:gs>
            </a:gsLst>
            <a:path path="circle">
              <a:fillToRect l="100000" t="100000"/>
            </a:path>
            <a:tileRect r="-100000" b="-100000"/>
          </a:gradFill>
          <a:ln>
            <a:noFill/>
          </a:ln>
          <a:effectLst/>
        </c:spPr>
        <c:dLbl>
          <c:idx val="0"/>
          <c:layout>
            <c:manualLayout>
              <c:x val="0"/>
              <c:y val="-0.32407407407407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100000">
                <a:srgbClr val="00E5FF"/>
              </a:gs>
              <a:gs pos="4000">
                <a:srgbClr val="2962FF"/>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100000">
                <a:srgbClr val="00E5FF"/>
              </a:gs>
              <a:gs pos="4000">
                <a:srgbClr val="2962FF"/>
              </a:gs>
            </a:gsLst>
            <a:path path="circle">
              <a:fillToRect l="100000" t="100000"/>
            </a:path>
            <a:tileRect r="-100000" b="-100000"/>
          </a:gradFill>
          <a:ln>
            <a:noFill/>
          </a:ln>
          <a:effectLst/>
        </c:spPr>
        <c:dLbl>
          <c:idx val="0"/>
          <c:layout>
            <c:manualLayout>
              <c:x val="0"/>
              <c:y val="-0.388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100000">
                <a:srgbClr val="00E5FF"/>
              </a:gs>
              <a:gs pos="4000">
                <a:srgbClr val="2962FF"/>
              </a:gs>
            </a:gsLst>
            <a:path path="circle">
              <a:fillToRect l="100000" t="100000"/>
            </a:path>
            <a:tileRect r="-100000" b="-100000"/>
          </a:gradFill>
          <a:ln>
            <a:noFill/>
          </a:ln>
          <a:effectLst/>
        </c:spPr>
        <c:dLbl>
          <c:idx val="0"/>
          <c:layout>
            <c:manualLayout>
              <c:x val="-5.0925337632079971E-17"/>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100000">
                <a:srgbClr val="00E5FF"/>
              </a:gs>
              <a:gs pos="4000">
                <a:srgbClr val="2962FF"/>
              </a:gs>
            </a:gsLst>
            <a:path path="circle">
              <a:fillToRect l="100000" t="100000"/>
            </a:path>
            <a:tileRect r="-100000" b="-100000"/>
          </a:gradFill>
          <a:ln>
            <a:noFill/>
          </a:ln>
          <a:effectLst/>
        </c:spPr>
        <c:dLbl>
          <c:idx val="0"/>
          <c:layout>
            <c:manualLayout>
              <c:x val="-5.0925337632079971E-17"/>
              <c:y val="-0.421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100000">
                <a:srgbClr val="00E5FF"/>
              </a:gs>
              <a:gs pos="4000">
                <a:srgbClr val="2962FF"/>
              </a:gs>
            </a:gsLst>
            <a:path path="circle">
              <a:fillToRect l="100000" t="100000"/>
            </a:path>
            <a:tileRect r="-100000" b="-100000"/>
          </a:gradFill>
          <a:ln>
            <a:noFill/>
          </a:ln>
          <a:effectLst/>
        </c:spPr>
        <c:dLbl>
          <c:idx val="0"/>
          <c:layout>
            <c:manualLayout>
              <c:x val="-1.0185067526415994E-16"/>
              <c:y val="-0.324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100000">
                <a:srgbClr val="00E5FF"/>
              </a:gs>
              <a:gs pos="4000">
                <a:srgbClr val="2962FF"/>
              </a:gs>
            </a:gsLst>
            <a:path path="circle">
              <a:fillToRect l="100000" t="100000"/>
            </a:path>
            <a:tileRect r="-100000" b="-100000"/>
          </a:gradFill>
          <a:ln>
            <a:noFill/>
          </a:ln>
          <a:effectLst/>
        </c:spPr>
        <c:dLbl>
          <c:idx val="0"/>
          <c:layout>
            <c:manualLayout>
              <c:x val="0"/>
              <c:y val="-0.32407407407407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Table'!$M$20</c:f>
              <c:strCache>
                <c:ptCount val="1"/>
                <c:pt idx="0">
                  <c:v>Total</c:v>
                </c:pt>
              </c:strCache>
            </c:strRef>
          </c:tx>
          <c:spPr>
            <a:gradFill flip="none" rotWithShape="1">
              <a:gsLst>
                <a:gs pos="100000">
                  <a:srgbClr val="00E5FF"/>
                </a:gs>
                <a:gs pos="4000">
                  <a:srgbClr val="2962FF"/>
                </a:gs>
              </a:gsLst>
              <a:path path="circle">
                <a:fillToRect l="100000" t="100000"/>
              </a:path>
              <a:tileRect r="-100000" b="-100000"/>
            </a:gradFill>
            <a:ln>
              <a:noFill/>
            </a:ln>
            <a:effectLst/>
          </c:spPr>
          <c:invertIfNegative val="0"/>
          <c:dLbls>
            <c:dLbl>
              <c:idx val="0"/>
              <c:layout>
                <c:manualLayout>
                  <c:x val="0"/>
                  <c:y val="-0.388888888888888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F0-4D97-942A-D860D76BBAB2}"/>
                </c:ext>
              </c:extLst>
            </c:dLbl>
            <c:dLbl>
              <c:idx val="1"/>
              <c:layout>
                <c:manualLayout>
                  <c:x val="-5.0925337632079971E-17"/>
                  <c:y val="-0.398148148148148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F0-4D97-942A-D860D76BBAB2}"/>
                </c:ext>
              </c:extLst>
            </c:dLbl>
            <c:dLbl>
              <c:idx val="2"/>
              <c:layout>
                <c:manualLayout>
                  <c:x val="-5.0925337632079971E-17"/>
                  <c:y val="-0.421296296296296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F0-4D97-942A-D860D76BBAB2}"/>
                </c:ext>
              </c:extLst>
            </c:dLbl>
            <c:dLbl>
              <c:idx val="3"/>
              <c:layout>
                <c:manualLayout>
                  <c:x val="-1.0185067526415994E-16"/>
                  <c:y val="-0.324074074074074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F0-4D97-942A-D860D76BBAB2}"/>
                </c:ext>
              </c:extLst>
            </c:dLbl>
            <c:dLbl>
              <c:idx val="4"/>
              <c:layout>
                <c:manualLayout>
                  <c:x val="0"/>
                  <c:y val="-0.324074074074074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F0-4D97-942A-D860D76BBA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Table'!$L$21:$L$26</c:f>
              <c:strCache>
                <c:ptCount val="5"/>
                <c:pt idx="0">
                  <c:v>Central</c:v>
                </c:pt>
                <c:pt idx="1">
                  <c:v>East</c:v>
                </c:pt>
                <c:pt idx="2">
                  <c:v>North</c:v>
                </c:pt>
                <c:pt idx="3">
                  <c:v>South</c:v>
                </c:pt>
                <c:pt idx="4">
                  <c:v>West</c:v>
                </c:pt>
              </c:strCache>
            </c:strRef>
          </c:cat>
          <c:val>
            <c:numRef>
              <c:f>'Pivot Table'!$M$21:$M$26</c:f>
              <c:numCache>
                <c:formatCode>[&gt;=1000000]0.0,,"M";[&gt;=1000]0.0,"K";0</c:formatCode>
                <c:ptCount val="5"/>
                <c:pt idx="0">
                  <c:v>340256.08</c:v>
                </c:pt>
                <c:pt idx="1">
                  <c:v>349884.78000000009</c:v>
                </c:pt>
                <c:pt idx="2">
                  <c:v>368533.50999999995</c:v>
                </c:pt>
                <c:pt idx="3">
                  <c:v>274445.12000000011</c:v>
                </c:pt>
                <c:pt idx="4">
                  <c:v>287375.76</c:v>
                </c:pt>
              </c:numCache>
            </c:numRef>
          </c:val>
          <c:extLst>
            <c:ext xmlns:c16="http://schemas.microsoft.com/office/drawing/2014/chart" uri="{C3380CC4-5D6E-409C-BE32-E72D297353CC}">
              <c16:uniqueId val="{00000005-F0F0-4D97-942A-D860D76BBAB2}"/>
            </c:ext>
          </c:extLst>
        </c:ser>
        <c:dLbls>
          <c:dLblPos val="ctr"/>
          <c:showLegendKey val="0"/>
          <c:showVal val="1"/>
          <c:showCatName val="0"/>
          <c:showSerName val="0"/>
          <c:showPercent val="0"/>
          <c:showBubbleSize val="0"/>
        </c:dLbls>
        <c:gapWidth val="150"/>
        <c:overlap val="100"/>
        <c:axId val="128740911"/>
        <c:axId val="128758191"/>
      </c:barChart>
      <c:catAx>
        <c:axId val="1287409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758191"/>
        <c:crosses val="autoZero"/>
        <c:auto val="1"/>
        <c:lblAlgn val="ctr"/>
        <c:lblOffset val="100"/>
        <c:noMultiLvlLbl val="0"/>
      </c:catAx>
      <c:valAx>
        <c:axId val="128758191"/>
        <c:scaling>
          <c:orientation val="minMax"/>
        </c:scaling>
        <c:delete val="1"/>
        <c:axPos val="l"/>
        <c:numFmt formatCode="[&gt;=1000000]0.0,,&quot;M&quot;;[&gt;=1000]0.0,&quot;K&quot;;0" sourceLinked="1"/>
        <c:majorTickMark val="none"/>
        <c:minorTickMark val="none"/>
        <c:tickLblPos val="nextTo"/>
        <c:crossAx val="128740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10.xml"/><Relationship Id="rId18" Type="http://schemas.openxmlformats.org/officeDocument/2006/relationships/chart" Target="../charts/chart15.xml"/><Relationship Id="rId26" Type="http://schemas.openxmlformats.org/officeDocument/2006/relationships/image" Target="../media/image11.png"/><Relationship Id="rId3" Type="http://schemas.openxmlformats.org/officeDocument/2006/relationships/image" Target="../media/image3.emf"/><Relationship Id="rId21" Type="http://schemas.openxmlformats.org/officeDocument/2006/relationships/hyperlink" Target="#'product-sales-data (1)'!A1"/><Relationship Id="rId7" Type="http://schemas.openxmlformats.org/officeDocument/2006/relationships/chart" Target="../charts/chart4.xml"/><Relationship Id="rId12" Type="http://schemas.openxmlformats.org/officeDocument/2006/relationships/chart" Target="../charts/chart9.xml"/><Relationship Id="rId17" Type="http://schemas.openxmlformats.org/officeDocument/2006/relationships/chart" Target="../charts/chart14.xml"/><Relationship Id="rId25" Type="http://schemas.openxmlformats.org/officeDocument/2006/relationships/image" Target="../media/image10.png"/><Relationship Id="rId2" Type="http://schemas.openxmlformats.org/officeDocument/2006/relationships/image" Target="../media/image2.emf"/><Relationship Id="rId16" Type="http://schemas.openxmlformats.org/officeDocument/2006/relationships/chart" Target="../charts/chart13.xml"/><Relationship Id="rId20" Type="http://schemas.openxmlformats.org/officeDocument/2006/relationships/hyperlink" Target="#'Pivot Table'!A1"/><Relationship Id="rId29" Type="http://schemas.openxmlformats.org/officeDocument/2006/relationships/image" Target="../media/image13.png"/><Relationship Id="rId1" Type="http://schemas.openxmlformats.org/officeDocument/2006/relationships/chart" Target="../charts/chart3.xml"/><Relationship Id="rId6" Type="http://schemas.openxmlformats.org/officeDocument/2006/relationships/image" Target="../media/image6.emf"/><Relationship Id="rId11" Type="http://schemas.openxmlformats.org/officeDocument/2006/relationships/chart" Target="../charts/chart8.xml"/><Relationship Id="rId24" Type="http://schemas.openxmlformats.org/officeDocument/2006/relationships/image" Target="../media/image9.png"/><Relationship Id="rId5" Type="http://schemas.openxmlformats.org/officeDocument/2006/relationships/image" Target="../media/image5.emf"/><Relationship Id="rId15" Type="http://schemas.openxmlformats.org/officeDocument/2006/relationships/chart" Target="../charts/chart12.xml"/><Relationship Id="rId23" Type="http://schemas.openxmlformats.org/officeDocument/2006/relationships/image" Target="../media/image8.png"/><Relationship Id="rId28" Type="http://schemas.openxmlformats.org/officeDocument/2006/relationships/image" Target="../media/image12.png"/><Relationship Id="rId10" Type="http://schemas.openxmlformats.org/officeDocument/2006/relationships/chart" Target="../charts/chart7.xml"/><Relationship Id="rId19" Type="http://schemas.openxmlformats.org/officeDocument/2006/relationships/hyperlink" Target="#Dashboard!A1"/><Relationship Id="rId4" Type="http://schemas.openxmlformats.org/officeDocument/2006/relationships/image" Target="../media/image4.emf"/><Relationship Id="rId9" Type="http://schemas.openxmlformats.org/officeDocument/2006/relationships/chart" Target="../charts/chart6.xml"/><Relationship Id="rId14" Type="http://schemas.openxmlformats.org/officeDocument/2006/relationships/chart" Target="../charts/chart11.xml"/><Relationship Id="rId22" Type="http://schemas.openxmlformats.org/officeDocument/2006/relationships/image" Target="../media/image7.png"/><Relationship Id="rId27" Type="http://schemas.microsoft.com/office/2007/relationships/hdphoto" Target="../media/hdphoto1.wdp"/><Relationship Id="rId30" Type="http://schemas.openxmlformats.org/officeDocument/2006/relationships/image" Target="../media/image14.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7.emf"/><Relationship Id="rId2" Type="http://schemas.openxmlformats.org/officeDocument/2006/relationships/image" Target="../media/image16.emf"/><Relationship Id="rId1" Type="http://schemas.openxmlformats.org/officeDocument/2006/relationships/image" Target="../media/image15.emf"/><Relationship Id="rId5" Type="http://schemas.openxmlformats.org/officeDocument/2006/relationships/image" Target="../media/image19.emf"/><Relationship Id="rId4" Type="http://schemas.openxmlformats.org/officeDocument/2006/relationships/image" Target="../media/image18.emf"/></Relationships>
</file>

<file path=xl/drawings/drawing1.xml><?xml version="1.0" encoding="utf-8"?>
<xdr:wsDr xmlns:xdr="http://schemas.openxmlformats.org/drawingml/2006/spreadsheetDrawing" xmlns:a="http://schemas.openxmlformats.org/drawingml/2006/main">
  <xdr:twoCellAnchor editAs="oneCell">
    <xdr:from>
      <xdr:col>34</xdr:col>
      <xdr:colOff>556260</xdr:colOff>
      <xdr:row>4</xdr:row>
      <xdr:rowOff>38100</xdr:rowOff>
    </xdr:from>
    <xdr:to>
      <xdr:col>40</xdr:col>
      <xdr:colOff>464820</xdr:colOff>
      <xdr:row>11</xdr:row>
      <xdr:rowOff>129540</xdr:rowOff>
    </xdr:to>
    <mc:AlternateContent xmlns:mc="http://schemas.openxmlformats.org/markup-compatibility/2006">
      <mc:Choice xmlns:tsle="http://schemas.microsoft.com/office/drawing/2012/timeslicer" Requires="tsle">
        <xdr:graphicFrame macro="">
          <xdr:nvGraphicFramePr>
            <xdr:cNvPr id="6" name="OrderDate">
              <a:extLst>
                <a:ext uri="{FF2B5EF4-FFF2-40B4-BE49-F238E27FC236}">
                  <a16:creationId xmlns:a16="http://schemas.microsoft.com/office/drawing/2014/main" id="{49D96E61-0BCB-B583-A373-473473549D03}"/>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24475440" y="76962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31</xdr:col>
      <xdr:colOff>373386</xdr:colOff>
      <xdr:row>13</xdr:row>
      <xdr:rowOff>152400</xdr:rowOff>
    </xdr:from>
    <xdr:to>
      <xdr:col>39</xdr:col>
      <xdr:colOff>68586</xdr:colOff>
      <xdr:row>28</xdr:row>
      <xdr:rowOff>152400</xdr:rowOff>
    </xdr:to>
    <xdr:graphicFrame macro="">
      <xdr:nvGraphicFramePr>
        <xdr:cNvPr id="7" name="Chart 6">
          <a:extLst>
            <a:ext uri="{FF2B5EF4-FFF2-40B4-BE49-F238E27FC236}">
              <a16:creationId xmlns:a16="http://schemas.microsoft.com/office/drawing/2014/main" id="{F669CA56-BA94-7572-713D-1BBFF7829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144780</xdr:colOff>
      <xdr:row>13</xdr:row>
      <xdr:rowOff>60960</xdr:rowOff>
    </xdr:from>
    <xdr:to>
      <xdr:col>4</xdr:col>
      <xdr:colOff>91440</xdr:colOff>
      <xdr:row>24</xdr:row>
      <xdr:rowOff>167640</xdr:rowOff>
    </xdr:to>
    <xdr:graphicFrame macro="">
      <xdr:nvGraphicFramePr>
        <xdr:cNvPr id="8" name="Chart 7">
          <a:extLst>
            <a:ext uri="{FF2B5EF4-FFF2-40B4-BE49-F238E27FC236}">
              <a16:creationId xmlns:a16="http://schemas.microsoft.com/office/drawing/2014/main" id="{564E9871-8450-7A5C-C952-87A228006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177800</xdr:colOff>
      <xdr:row>1</xdr:row>
      <xdr:rowOff>169333</xdr:rowOff>
    </xdr:from>
    <xdr:to>
      <xdr:col>17</xdr:col>
      <xdr:colOff>592667</xdr:colOff>
      <xdr:row>33</xdr:row>
      <xdr:rowOff>0</xdr:rowOff>
    </xdr:to>
    <xdr:sp macro="" textlink="">
      <xdr:nvSpPr>
        <xdr:cNvPr id="2" name="Rectangle: Rounded Corners 1">
          <a:extLst>
            <a:ext uri="{FF2B5EF4-FFF2-40B4-BE49-F238E27FC236}">
              <a16:creationId xmlns:a16="http://schemas.microsoft.com/office/drawing/2014/main" id="{B223CB66-45DB-E823-D444-95E6236C5AEA}"/>
            </a:ext>
          </a:extLst>
        </xdr:cNvPr>
        <xdr:cNvSpPr/>
      </xdr:nvSpPr>
      <xdr:spPr>
        <a:xfrm>
          <a:off x="787400" y="355600"/>
          <a:ext cx="10168467" cy="5791200"/>
        </a:xfrm>
        <a:prstGeom prst="roundRect">
          <a:avLst>
            <a:gd name="adj" fmla="val 2514"/>
          </a:avLst>
        </a:prstGeom>
        <a:solidFill>
          <a:schemeClr val="tx1"/>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xdr:col>
      <xdr:colOff>215050</xdr:colOff>
      <xdr:row>2</xdr:row>
      <xdr:rowOff>45720</xdr:rowOff>
    </xdr:from>
    <xdr:to>
      <xdr:col>17</xdr:col>
      <xdr:colOff>567267</xdr:colOff>
      <xdr:row>4</xdr:row>
      <xdr:rowOff>15240</xdr:rowOff>
    </xdr:to>
    <xdr:sp macro="" textlink="">
      <xdr:nvSpPr>
        <xdr:cNvPr id="3" name="Rectangle 2">
          <a:extLst>
            <a:ext uri="{FF2B5EF4-FFF2-40B4-BE49-F238E27FC236}">
              <a16:creationId xmlns:a16="http://schemas.microsoft.com/office/drawing/2014/main" id="{FEEFB7C7-C344-261D-5764-BBACC64BB355}"/>
            </a:ext>
          </a:extLst>
        </xdr:cNvPr>
        <xdr:cNvSpPr/>
      </xdr:nvSpPr>
      <xdr:spPr>
        <a:xfrm>
          <a:off x="824650" y="418253"/>
          <a:ext cx="10105817" cy="342054"/>
        </a:xfrm>
        <a:prstGeom prst="rect">
          <a:avLst/>
        </a:prstGeom>
        <a:gradFill>
          <a:gsLst>
            <a:gs pos="62244">
              <a:srgbClr val="000000"/>
            </a:gs>
            <a:gs pos="51734">
              <a:srgbClr val="000000"/>
            </a:gs>
            <a:gs pos="23073">
              <a:srgbClr val="646464"/>
            </a:gs>
            <a:gs pos="0">
              <a:schemeClr val="bg2">
                <a:lumMod val="75000"/>
              </a:schemeClr>
            </a:gs>
            <a:gs pos="74000">
              <a:schemeClr val="bg2">
                <a:lumMod val="50000"/>
              </a:schemeClr>
            </a:gs>
            <a:gs pos="83000">
              <a:schemeClr val="bg2">
                <a:lumMod val="50000"/>
              </a:schemeClr>
            </a:gs>
            <a:gs pos="100000">
              <a:schemeClr val="bg2">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320040</xdr:colOff>
      <xdr:row>4</xdr:row>
      <xdr:rowOff>83820</xdr:rowOff>
    </xdr:from>
    <xdr:to>
      <xdr:col>3</xdr:col>
      <xdr:colOff>381000</xdr:colOff>
      <xdr:row>10</xdr:row>
      <xdr:rowOff>137160</xdr:rowOff>
    </xdr:to>
    <xdr:sp macro="" textlink="">
      <xdr:nvSpPr>
        <xdr:cNvPr id="4" name="Rectangle: Rounded Corners 3">
          <a:extLst>
            <a:ext uri="{FF2B5EF4-FFF2-40B4-BE49-F238E27FC236}">
              <a16:creationId xmlns:a16="http://schemas.microsoft.com/office/drawing/2014/main" id="{8009FD13-EC15-94FD-DE51-5C347DA9E2FD}"/>
            </a:ext>
          </a:extLst>
        </xdr:cNvPr>
        <xdr:cNvSpPr/>
      </xdr:nvSpPr>
      <xdr:spPr>
        <a:xfrm>
          <a:off x="929640" y="828887"/>
          <a:ext cx="1280160" cy="1170940"/>
        </a:xfrm>
        <a:prstGeom prst="roundRect">
          <a:avLst>
            <a:gd name="adj" fmla="val 8719"/>
          </a:avLst>
        </a:prstGeom>
        <a:solidFill>
          <a:srgbClr val="0E1117"/>
        </a:solidFill>
        <a:ln>
          <a:noFill/>
        </a:ln>
        <a:effectLst>
          <a:outerShdw blurRad="50800" sx="101000" sy="101000" algn="ctr" rotWithShape="0">
            <a:schemeClr val="bg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445770</xdr:colOff>
      <xdr:row>4</xdr:row>
      <xdr:rowOff>83820</xdr:rowOff>
    </xdr:from>
    <xdr:to>
      <xdr:col>5</xdr:col>
      <xdr:colOff>506730</xdr:colOff>
      <xdr:row>10</xdr:row>
      <xdr:rowOff>137160</xdr:rowOff>
    </xdr:to>
    <xdr:sp macro="" textlink="">
      <xdr:nvSpPr>
        <xdr:cNvPr id="5" name="Rectangle: Rounded Corners 4">
          <a:extLst>
            <a:ext uri="{FF2B5EF4-FFF2-40B4-BE49-F238E27FC236}">
              <a16:creationId xmlns:a16="http://schemas.microsoft.com/office/drawing/2014/main" id="{98BDD004-5384-E2B1-89A9-97FBE1456FA2}"/>
            </a:ext>
          </a:extLst>
        </xdr:cNvPr>
        <xdr:cNvSpPr/>
      </xdr:nvSpPr>
      <xdr:spPr>
        <a:xfrm>
          <a:off x="2274570" y="815340"/>
          <a:ext cx="1280160" cy="1150620"/>
        </a:xfrm>
        <a:prstGeom prst="roundRect">
          <a:avLst>
            <a:gd name="adj" fmla="val 8719"/>
          </a:avLst>
        </a:prstGeom>
        <a:solidFill>
          <a:srgbClr val="0E1117"/>
        </a:solidFill>
        <a:ln>
          <a:noFill/>
        </a:ln>
        <a:effectLst>
          <a:outerShdw blurRad="63500" sx="101000" sy="101000" algn="ctr" rotWithShape="0">
            <a:schemeClr val="bg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571500</xdr:colOff>
      <xdr:row>4</xdr:row>
      <xdr:rowOff>83820</xdr:rowOff>
    </xdr:from>
    <xdr:to>
      <xdr:col>8</xdr:col>
      <xdr:colOff>22860</xdr:colOff>
      <xdr:row>10</xdr:row>
      <xdr:rowOff>137160</xdr:rowOff>
    </xdr:to>
    <xdr:sp macro="" textlink="">
      <xdr:nvSpPr>
        <xdr:cNvPr id="6" name="Rectangle: Rounded Corners 5">
          <a:extLst>
            <a:ext uri="{FF2B5EF4-FFF2-40B4-BE49-F238E27FC236}">
              <a16:creationId xmlns:a16="http://schemas.microsoft.com/office/drawing/2014/main" id="{9513803F-15C5-1B23-096F-CD059D7FD887}"/>
            </a:ext>
          </a:extLst>
        </xdr:cNvPr>
        <xdr:cNvSpPr/>
      </xdr:nvSpPr>
      <xdr:spPr>
        <a:xfrm>
          <a:off x="3619500" y="815340"/>
          <a:ext cx="1280160" cy="1150620"/>
        </a:xfrm>
        <a:prstGeom prst="roundRect">
          <a:avLst>
            <a:gd name="adj" fmla="val 8719"/>
          </a:avLst>
        </a:prstGeom>
        <a:solidFill>
          <a:srgbClr val="0E1117"/>
        </a:solidFill>
        <a:ln>
          <a:noFill/>
        </a:ln>
        <a:effectLst>
          <a:outerShdw blurRad="63500" sx="101000" sy="101000" algn="ctr" rotWithShape="0">
            <a:schemeClr val="bg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87630</xdr:colOff>
      <xdr:row>4</xdr:row>
      <xdr:rowOff>83820</xdr:rowOff>
    </xdr:from>
    <xdr:to>
      <xdr:col>10</xdr:col>
      <xdr:colOff>148590</xdr:colOff>
      <xdr:row>10</xdr:row>
      <xdr:rowOff>137160</xdr:rowOff>
    </xdr:to>
    <xdr:sp macro="" textlink="">
      <xdr:nvSpPr>
        <xdr:cNvPr id="7" name="Rectangle: Rounded Corners 6">
          <a:extLst>
            <a:ext uri="{FF2B5EF4-FFF2-40B4-BE49-F238E27FC236}">
              <a16:creationId xmlns:a16="http://schemas.microsoft.com/office/drawing/2014/main" id="{13DA2BB3-CC6F-F259-4280-08FFB1E70190}"/>
            </a:ext>
          </a:extLst>
        </xdr:cNvPr>
        <xdr:cNvSpPr/>
      </xdr:nvSpPr>
      <xdr:spPr>
        <a:xfrm>
          <a:off x="4964430" y="815340"/>
          <a:ext cx="1280160" cy="1150620"/>
        </a:xfrm>
        <a:prstGeom prst="roundRect">
          <a:avLst>
            <a:gd name="adj" fmla="val 8719"/>
          </a:avLst>
        </a:prstGeom>
        <a:solidFill>
          <a:srgbClr val="0E1117"/>
        </a:solidFill>
        <a:ln>
          <a:noFill/>
        </a:ln>
        <a:effectLst>
          <a:outerShdw blurRad="63500" sx="101000" sy="101000" algn="ctr" rotWithShape="0">
            <a:schemeClr val="bg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213360</xdr:colOff>
      <xdr:row>4</xdr:row>
      <xdr:rowOff>83820</xdr:rowOff>
    </xdr:from>
    <xdr:to>
      <xdr:col>12</xdr:col>
      <xdr:colOff>274320</xdr:colOff>
      <xdr:row>10</xdr:row>
      <xdr:rowOff>137160</xdr:rowOff>
    </xdr:to>
    <xdr:sp macro="" textlink="">
      <xdr:nvSpPr>
        <xdr:cNvPr id="8" name="Rectangle: Rounded Corners 7">
          <a:extLst>
            <a:ext uri="{FF2B5EF4-FFF2-40B4-BE49-F238E27FC236}">
              <a16:creationId xmlns:a16="http://schemas.microsoft.com/office/drawing/2014/main" id="{6565FFDC-10D7-3C62-43D1-8AD9A59B60DD}"/>
            </a:ext>
          </a:extLst>
        </xdr:cNvPr>
        <xdr:cNvSpPr/>
      </xdr:nvSpPr>
      <xdr:spPr>
        <a:xfrm>
          <a:off x="6309360" y="815340"/>
          <a:ext cx="1280160" cy="1150620"/>
        </a:xfrm>
        <a:prstGeom prst="roundRect">
          <a:avLst>
            <a:gd name="adj" fmla="val 8719"/>
          </a:avLst>
        </a:prstGeom>
        <a:solidFill>
          <a:srgbClr val="0E1117"/>
        </a:solidFill>
        <a:ln>
          <a:noFill/>
        </a:ln>
        <a:effectLst>
          <a:outerShdw blurRad="63500" sx="101000" sy="101000" algn="ctr" rotWithShape="0">
            <a:schemeClr val="bg1">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270933</xdr:colOff>
      <xdr:row>11</xdr:row>
      <xdr:rowOff>30480</xdr:rowOff>
    </xdr:from>
    <xdr:to>
      <xdr:col>17</xdr:col>
      <xdr:colOff>541866</xdr:colOff>
      <xdr:row>32</xdr:row>
      <xdr:rowOff>118534</xdr:rowOff>
    </xdr:to>
    <xdr:sp macro="" textlink="">
      <xdr:nvSpPr>
        <xdr:cNvPr id="9" name="Rectangle: Rounded Corners 8">
          <a:extLst>
            <a:ext uri="{FF2B5EF4-FFF2-40B4-BE49-F238E27FC236}">
              <a16:creationId xmlns:a16="http://schemas.microsoft.com/office/drawing/2014/main" id="{CC2B9D9B-F424-497A-9DFF-1C258F4A33BE}"/>
            </a:ext>
          </a:extLst>
        </xdr:cNvPr>
        <xdr:cNvSpPr/>
      </xdr:nvSpPr>
      <xdr:spPr>
        <a:xfrm>
          <a:off x="880533" y="2079413"/>
          <a:ext cx="10024533" cy="3999654"/>
        </a:xfrm>
        <a:prstGeom prst="roundRect">
          <a:avLst>
            <a:gd name="adj" fmla="val 6253"/>
          </a:avLst>
        </a:prstGeom>
        <a:solidFill>
          <a:srgbClr val="0E1117"/>
        </a:solidFill>
        <a:ln>
          <a:noFill/>
        </a:ln>
        <a:effectLst>
          <a:outerShdw blurRad="38100" sx="101000" sy="101000" algn="ctr" rotWithShape="0">
            <a:schemeClr val="bg1">
              <a:lumMod val="85000"/>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320900</xdr:colOff>
      <xdr:row>11</xdr:row>
      <xdr:rowOff>30480</xdr:rowOff>
    </xdr:from>
    <xdr:to>
      <xdr:col>5</xdr:col>
      <xdr:colOff>321747</xdr:colOff>
      <xdr:row>32</xdr:row>
      <xdr:rowOff>135467</xdr:rowOff>
    </xdr:to>
    <xdr:cxnSp macro="">
      <xdr:nvCxnSpPr>
        <xdr:cNvPr id="11" name="Straight Connector 10">
          <a:extLst>
            <a:ext uri="{FF2B5EF4-FFF2-40B4-BE49-F238E27FC236}">
              <a16:creationId xmlns:a16="http://schemas.microsoft.com/office/drawing/2014/main" id="{05BB1255-15F1-39A9-34A6-C1D551B7F887}"/>
            </a:ext>
          </a:extLst>
        </xdr:cNvPr>
        <xdr:cNvCxnSpPr/>
      </xdr:nvCxnSpPr>
      <xdr:spPr>
        <a:xfrm>
          <a:off x="3368900" y="2079413"/>
          <a:ext cx="847" cy="4016587"/>
        </a:xfrm>
        <a:prstGeom prst="line">
          <a:avLst/>
        </a:prstGeom>
        <a:ln w="12700">
          <a:solidFill>
            <a:schemeClr val="bg1">
              <a:alpha val="30000"/>
            </a:schemeClr>
          </a:solidFill>
        </a:ln>
        <a:effectLst>
          <a:outerShdw blurRad="50800" dist="50800" dir="5400000" algn="ctr" rotWithShape="0">
            <a:srgbClr val="000000"/>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60960</xdr:colOff>
      <xdr:row>11</xdr:row>
      <xdr:rowOff>30480</xdr:rowOff>
    </xdr:from>
    <xdr:to>
      <xdr:col>12</xdr:col>
      <xdr:colOff>76200</xdr:colOff>
      <xdr:row>32</xdr:row>
      <xdr:rowOff>127000</xdr:rowOff>
    </xdr:to>
    <xdr:cxnSp macro="">
      <xdr:nvCxnSpPr>
        <xdr:cNvPr id="12" name="Straight Connector 11">
          <a:extLst>
            <a:ext uri="{FF2B5EF4-FFF2-40B4-BE49-F238E27FC236}">
              <a16:creationId xmlns:a16="http://schemas.microsoft.com/office/drawing/2014/main" id="{D1F00F53-0D38-CBC3-017A-FAABF7836B1C}"/>
            </a:ext>
          </a:extLst>
        </xdr:cNvPr>
        <xdr:cNvCxnSpPr/>
      </xdr:nvCxnSpPr>
      <xdr:spPr>
        <a:xfrm>
          <a:off x="7376160" y="2079413"/>
          <a:ext cx="15240" cy="4008120"/>
        </a:xfrm>
        <a:prstGeom prst="line">
          <a:avLst/>
        </a:prstGeom>
        <a:ln w="12700">
          <a:solidFill>
            <a:schemeClr val="bg1">
              <a:alpha val="30000"/>
            </a:schemeClr>
          </a:solidFill>
        </a:ln>
        <a:effectLst>
          <a:outerShdw blurRad="50800" dist="50800" dir="5400000" algn="ctr" rotWithShape="0">
            <a:srgbClr val="000000"/>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53340</xdr:colOff>
      <xdr:row>17</xdr:row>
      <xdr:rowOff>115997</xdr:rowOff>
    </xdr:from>
    <xdr:to>
      <xdr:col>17</xdr:col>
      <xdr:colOff>550333</xdr:colOff>
      <xdr:row>17</xdr:row>
      <xdr:rowOff>127000</xdr:rowOff>
    </xdr:to>
    <xdr:cxnSp macro="">
      <xdr:nvCxnSpPr>
        <xdr:cNvPr id="13" name="Straight Connector 12">
          <a:extLst>
            <a:ext uri="{FF2B5EF4-FFF2-40B4-BE49-F238E27FC236}">
              <a16:creationId xmlns:a16="http://schemas.microsoft.com/office/drawing/2014/main" id="{7032BAFA-15C4-400A-8078-D56F7C3DCAE6}"/>
            </a:ext>
          </a:extLst>
        </xdr:cNvPr>
        <xdr:cNvCxnSpPr/>
      </xdr:nvCxnSpPr>
      <xdr:spPr>
        <a:xfrm flipH="1" flipV="1">
          <a:off x="7368540" y="3282530"/>
          <a:ext cx="3544993" cy="11003"/>
        </a:xfrm>
        <a:prstGeom prst="line">
          <a:avLst/>
        </a:prstGeom>
        <a:ln w="12700">
          <a:solidFill>
            <a:schemeClr val="bg1">
              <a:alpha val="30000"/>
            </a:schemeClr>
          </a:solidFill>
        </a:ln>
        <a:effectLst>
          <a:outerShdw blurRad="50800" dist="50800" dir="5400000" algn="ctr" rotWithShape="0">
            <a:srgbClr val="000000"/>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45720</xdr:colOff>
      <xdr:row>25</xdr:row>
      <xdr:rowOff>32177</xdr:rowOff>
    </xdr:from>
    <xdr:to>
      <xdr:col>17</xdr:col>
      <xdr:colOff>558800</xdr:colOff>
      <xdr:row>25</xdr:row>
      <xdr:rowOff>59270</xdr:rowOff>
    </xdr:to>
    <xdr:cxnSp macro="">
      <xdr:nvCxnSpPr>
        <xdr:cNvPr id="17" name="Straight Connector 16">
          <a:extLst>
            <a:ext uri="{FF2B5EF4-FFF2-40B4-BE49-F238E27FC236}">
              <a16:creationId xmlns:a16="http://schemas.microsoft.com/office/drawing/2014/main" id="{7E4EDDE3-4F7C-81DB-AF49-891F3EE330BD}"/>
            </a:ext>
          </a:extLst>
        </xdr:cNvPr>
        <xdr:cNvCxnSpPr/>
      </xdr:nvCxnSpPr>
      <xdr:spPr>
        <a:xfrm flipH="1" flipV="1">
          <a:off x="7360920" y="4688844"/>
          <a:ext cx="3561080" cy="27093"/>
        </a:xfrm>
        <a:prstGeom prst="line">
          <a:avLst/>
        </a:prstGeom>
        <a:ln w="12700">
          <a:solidFill>
            <a:schemeClr val="bg1">
              <a:alpha val="30000"/>
            </a:schemeClr>
          </a:solidFill>
        </a:ln>
        <a:effectLst>
          <a:outerShdw blurRad="50800" dist="50800" dir="5400000" algn="ctr" rotWithShape="0">
            <a:srgbClr val="000000"/>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237067</xdr:colOff>
      <xdr:row>16</xdr:row>
      <xdr:rowOff>58429</xdr:rowOff>
    </xdr:from>
    <xdr:to>
      <xdr:col>4</xdr:col>
      <xdr:colOff>320040</xdr:colOff>
      <xdr:row>16</xdr:row>
      <xdr:rowOff>67739</xdr:rowOff>
    </xdr:to>
    <xdr:cxnSp macro="">
      <xdr:nvCxnSpPr>
        <xdr:cNvPr id="22" name="Straight Connector 21">
          <a:extLst>
            <a:ext uri="{FF2B5EF4-FFF2-40B4-BE49-F238E27FC236}">
              <a16:creationId xmlns:a16="http://schemas.microsoft.com/office/drawing/2014/main" id="{28CC0048-2313-EF64-ECBE-67E296CC68A1}"/>
            </a:ext>
          </a:extLst>
        </xdr:cNvPr>
        <xdr:cNvCxnSpPr/>
      </xdr:nvCxnSpPr>
      <xdr:spPr>
        <a:xfrm flipH="1">
          <a:off x="846667" y="3038696"/>
          <a:ext cx="1911773" cy="9310"/>
        </a:xfrm>
        <a:prstGeom prst="line">
          <a:avLst/>
        </a:prstGeom>
        <a:ln w="12700">
          <a:solidFill>
            <a:schemeClr val="bg1">
              <a:alpha val="30000"/>
            </a:schemeClr>
          </a:solidFill>
        </a:ln>
        <a:effectLst>
          <a:outerShdw blurRad="50800" dist="50800" dir="5400000" algn="ctr" rotWithShape="0">
            <a:srgbClr val="000000"/>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262467</xdr:colOff>
      <xdr:row>11</xdr:row>
      <xdr:rowOff>27939</xdr:rowOff>
    </xdr:from>
    <xdr:to>
      <xdr:col>12</xdr:col>
      <xdr:colOff>287866</xdr:colOff>
      <xdr:row>32</xdr:row>
      <xdr:rowOff>8466</xdr:rowOff>
    </xdr:to>
    <xdr:graphicFrame macro="">
      <xdr:nvGraphicFramePr>
        <xdr:cNvPr id="23" name="Chart 22">
          <a:extLst>
            <a:ext uri="{FF2B5EF4-FFF2-40B4-BE49-F238E27FC236}">
              <a16:creationId xmlns:a16="http://schemas.microsoft.com/office/drawing/2014/main" id="{AD4592EA-0737-4147-92C9-980A576BE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304800</xdr:colOff>
      <xdr:row>4</xdr:row>
      <xdr:rowOff>99060</xdr:rowOff>
    </xdr:from>
    <xdr:to>
      <xdr:col>2</xdr:col>
      <xdr:colOff>464820</xdr:colOff>
      <xdr:row>6</xdr:row>
      <xdr:rowOff>7620</xdr:rowOff>
    </xdr:to>
    <xdr:sp macro="" textlink="">
      <xdr:nvSpPr>
        <xdr:cNvPr id="35" name="TextBox 34">
          <a:extLst>
            <a:ext uri="{FF2B5EF4-FFF2-40B4-BE49-F238E27FC236}">
              <a16:creationId xmlns:a16="http://schemas.microsoft.com/office/drawing/2014/main" id="{BC9923F2-FA98-65A3-8D67-CFB0B7CF9724}"/>
            </a:ext>
          </a:extLst>
        </xdr:cNvPr>
        <xdr:cNvSpPr txBox="1"/>
      </xdr:nvSpPr>
      <xdr:spPr>
        <a:xfrm>
          <a:off x="914400" y="830580"/>
          <a:ext cx="7696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panose="020B0604020202020204" pitchFamily="34" charset="0"/>
              <a:cs typeface="Arial" panose="020B0604020202020204" pitchFamily="34" charset="0"/>
            </a:rPr>
            <a:t>Revenue</a:t>
          </a:r>
        </a:p>
      </xdr:txBody>
    </xdr:sp>
    <xdr:clientData/>
  </xdr:twoCellAnchor>
  <xdr:twoCellAnchor>
    <xdr:from>
      <xdr:col>1</xdr:col>
      <xdr:colOff>259080</xdr:colOff>
      <xdr:row>5</xdr:row>
      <xdr:rowOff>114300</xdr:rowOff>
    </xdr:from>
    <xdr:to>
      <xdr:col>2</xdr:col>
      <xdr:colOff>556260</xdr:colOff>
      <xdr:row>7</xdr:row>
      <xdr:rowOff>137160</xdr:rowOff>
    </xdr:to>
    <xdr:sp macro="" textlink="'Pivot Table'!S20">
      <xdr:nvSpPr>
        <xdr:cNvPr id="36" name="TextBox 35">
          <a:extLst>
            <a:ext uri="{FF2B5EF4-FFF2-40B4-BE49-F238E27FC236}">
              <a16:creationId xmlns:a16="http://schemas.microsoft.com/office/drawing/2014/main" id="{1152F29F-1607-87DA-9600-01BC2982A786}"/>
            </a:ext>
          </a:extLst>
        </xdr:cNvPr>
        <xdr:cNvSpPr txBox="1"/>
      </xdr:nvSpPr>
      <xdr:spPr>
        <a:xfrm>
          <a:off x="868680" y="1045633"/>
          <a:ext cx="906780" cy="395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6C9F94-2A66-4876-9E9E-251260816E3B}" type="TxLink">
            <a:rPr lang="en-US" sz="2000" b="0" i="0" u="none" strike="noStrike">
              <a:solidFill>
                <a:schemeClr val="bg1"/>
              </a:solidFill>
              <a:latin typeface="Arial" panose="020B0604020202020204" pitchFamily="34" charset="0"/>
              <a:cs typeface="Arial" panose="020B0604020202020204" pitchFamily="34" charset="0"/>
            </a:rPr>
            <a:t>1.6M</a:t>
          </a:fld>
          <a:endParaRPr lang="en-US" sz="2000">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443865</xdr:colOff>
      <xdr:row>4</xdr:row>
      <xdr:rowOff>99060</xdr:rowOff>
    </xdr:from>
    <xdr:to>
      <xdr:col>4</xdr:col>
      <xdr:colOff>603885</xdr:colOff>
      <xdr:row>6</xdr:row>
      <xdr:rowOff>7620</xdr:rowOff>
    </xdr:to>
    <xdr:sp macro="" textlink="">
      <xdr:nvSpPr>
        <xdr:cNvPr id="38" name="TextBox 37">
          <a:extLst>
            <a:ext uri="{FF2B5EF4-FFF2-40B4-BE49-F238E27FC236}">
              <a16:creationId xmlns:a16="http://schemas.microsoft.com/office/drawing/2014/main" id="{E2619907-957D-D91C-F7CB-5854F8FBD1F0}"/>
            </a:ext>
          </a:extLst>
        </xdr:cNvPr>
        <xdr:cNvSpPr txBox="1"/>
      </xdr:nvSpPr>
      <xdr:spPr>
        <a:xfrm>
          <a:off x="2272665" y="830580"/>
          <a:ext cx="7696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panose="020B0604020202020204" pitchFamily="34" charset="0"/>
              <a:cs typeface="Arial" panose="020B0604020202020204" pitchFamily="34" charset="0"/>
            </a:rPr>
            <a:t>Orders</a:t>
          </a:r>
        </a:p>
      </xdr:txBody>
    </xdr:sp>
    <xdr:clientData/>
  </xdr:twoCellAnchor>
  <xdr:twoCellAnchor>
    <xdr:from>
      <xdr:col>5</xdr:col>
      <xdr:colOff>552450</xdr:colOff>
      <xdr:row>4</xdr:row>
      <xdr:rowOff>99060</xdr:rowOff>
    </xdr:from>
    <xdr:to>
      <xdr:col>8</xdr:col>
      <xdr:colOff>7620</xdr:colOff>
      <xdr:row>6</xdr:row>
      <xdr:rowOff>45720</xdr:rowOff>
    </xdr:to>
    <xdr:sp macro="" textlink="">
      <xdr:nvSpPr>
        <xdr:cNvPr id="39" name="TextBox 38">
          <a:extLst>
            <a:ext uri="{FF2B5EF4-FFF2-40B4-BE49-F238E27FC236}">
              <a16:creationId xmlns:a16="http://schemas.microsoft.com/office/drawing/2014/main" id="{FF53F4BA-3F45-E640-03C8-9F37582F2FA3}"/>
            </a:ext>
          </a:extLst>
        </xdr:cNvPr>
        <xdr:cNvSpPr txBox="1"/>
      </xdr:nvSpPr>
      <xdr:spPr>
        <a:xfrm>
          <a:off x="3600450" y="830580"/>
          <a:ext cx="128397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panose="020B0604020202020204" pitchFamily="34" charset="0"/>
              <a:cs typeface="Arial" panose="020B0604020202020204" pitchFamily="34" charset="0"/>
            </a:rPr>
            <a:t>Avg. Order value</a:t>
          </a:r>
        </a:p>
      </xdr:txBody>
    </xdr:sp>
    <xdr:clientData/>
  </xdr:twoCellAnchor>
  <xdr:twoCellAnchor>
    <xdr:from>
      <xdr:col>8</xdr:col>
      <xdr:colOff>51435</xdr:colOff>
      <xdr:row>4</xdr:row>
      <xdr:rowOff>99060</xdr:rowOff>
    </xdr:from>
    <xdr:to>
      <xdr:col>9</xdr:col>
      <xdr:colOff>211455</xdr:colOff>
      <xdr:row>6</xdr:row>
      <xdr:rowOff>7620</xdr:rowOff>
    </xdr:to>
    <xdr:sp macro="" textlink="">
      <xdr:nvSpPr>
        <xdr:cNvPr id="40" name="TextBox 39">
          <a:extLst>
            <a:ext uri="{FF2B5EF4-FFF2-40B4-BE49-F238E27FC236}">
              <a16:creationId xmlns:a16="http://schemas.microsoft.com/office/drawing/2014/main" id="{9671986E-71F6-B593-5533-A93419C9EDE9}"/>
            </a:ext>
          </a:extLst>
        </xdr:cNvPr>
        <xdr:cNvSpPr txBox="1"/>
      </xdr:nvSpPr>
      <xdr:spPr>
        <a:xfrm>
          <a:off x="4928235" y="830580"/>
          <a:ext cx="7696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panose="020B0604020202020204" pitchFamily="34" charset="0"/>
              <a:cs typeface="Arial" panose="020B0604020202020204" pitchFamily="34" charset="0"/>
            </a:rPr>
            <a:t>Discount</a:t>
          </a:r>
        </a:p>
      </xdr:txBody>
    </xdr:sp>
    <xdr:clientData/>
  </xdr:twoCellAnchor>
  <xdr:twoCellAnchor>
    <xdr:from>
      <xdr:col>10</xdr:col>
      <xdr:colOff>160020</xdr:colOff>
      <xdr:row>4</xdr:row>
      <xdr:rowOff>99060</xdr:rowOff>
    </xdr:from>
    <xdr:to>
      <xdr:col>11</xdr:col>
      <xdr:colOff>320040</xdr:colOff>
      <xdr:row>6</xdr:row>
      <xdr:rowOff>7620</xdr:rowOff>
    </xdr:to>
    <xdr:sp macro="" textlink="">
      <xdr:nvSpPr>
        <xdr:cNvPr id="41" name="TextBox 40">
          <a:extLst>
            <a:ext uri="{FF2B5EF4-FFF2-40B4-BE49-F238E27FC236}">
              <a16:creationId xmlns:a16="http://schemas.microsoft.com/office/drawing/2014/main" id="{D426185E-502E-EF8D-DC74-65BA30BF2918}"/>
            </a:ext>
          </a:extLst>
        </xdr:cNvPr>
        <xdr:cNvSpPr txBox="1"/>
      </xdr:nvSpPr>
      <xdr:spPr>
        <a:xfrm>
          <a:off x="6256020" y="830580"/>
          <a:ext cx="7696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panose="020B0604020202020204" pitchFamily="34" charset="0"/>
              <a:cs typeface="Arial" panose="020B0604020202020204" pitchFamily="34" charset="0"/>
            </a:rPr>
            <a:t>Returns</a:t>
          </a:r>
        </a:p>
      </xdr:txBody>
    </xdr:sp>
    <xdr:clientData/>
  </xdr:twoCellAnchor>
  <xdr:twoCellAnchor>
    <xdr:from>
      <xdr:col>3</xdr:col>
      <xdr:colOff>398784</xdr:colOff>
      <xdr:row>5</xdr:row>
      <xdr:rowOff>114300</xdr:rowOff>
    </xdr:from>
    <xdr:to>
      <xdr:col>5</xdr:col>
      <xdr:colOff>86364</xdr:colOff>
      <xdr:row>7</xdr:row>
      <xdr:rowOff>137160</xdr:rowOff>
    </xdr:to>
    <xdr:sp macro="" textlink="'Pivot Table'!S21">
      <xdr:nvSpPr>
        <xdr:cNvPr id="42" name="TextBox 41">
          <a:extLst>
            <a:ext uri="{FF2B5EF4-FFF2-40B4-BE49-F238E27FC236}">
              <a16:creationId xmlns:a16="http://schemas.microsoft.com/office/drawing/2014/main" id="{E1C5E1E6-E56E-5F75-CCC3-F35C1CDAE4DD}"/>
            </a:ext>
          </a:extLst>
        </xdr:cNvPr>
        <xdr:cNvSpPr txBox="1"/>
      </xdr:nvSpPr>
      <xdr:spPr>
        <a:xfrm>
          <a:off x="2227584" y="1045633"/>
          <a:ext cx="906780" cy="395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1C9D764-2369-4CC3-8485-93D6FE02EFC8}" type="TxLink">
            <a:rPr lang="en-US" sz="2000" b="0" i="0" u="none" strike="noStrike">
              <a:solidFill>
                <a:schemeClr val="bg1"/>
              </a:solidFill>
              <a:latin typeface="Arial" panose="020B0604020202020204" pitchFamily="34" charset="0"/>
              <a:ea typeface="+mn-ea"/>
              <a:cs typeface="Arial" panose="020B0604020202020204" pitchFamily="34" charset="0"/>
            </a:rPr>
            <a:pPr marL="0" indent="0"/>
            <a:t>271</a:t>
          </a:fld>
          <a:endParaRPr lang="en-US" sz="2000" b="0"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5</xdr:col>
      <xdr:colOff>470752</xdr:colOff>
      <xdr:row>5</xdr:row>
      <xdr:rowOff>114300</xdr:rowOff>
    </xdr:from>
    <xdr:to>
      <xdr:col>7</xdr:col>
      <xdr:colOff>463132</xdr:colOff>
      <xdr:row>7</xdr:row>
      <xdr:rowOff>137160</xdr:rowOff>
    </xdr:to>
    <xdr:sp macro="" textlink="'Pivot Table'!S22">
      <xdr:nvSpPr>
        <xdr:cNvPr id="43" name="TextBox 42">
          <a:extLst>
            <a:ext uri="{FF2B5EF4-FFF2-40B4-BE49-F238E27FC236}">
              <a16:creationId xmlns:a16="http://schemas.microsoft.com/office/drawing/2014/main" id="{C622584B-65F5-7CD8-6F6E-B1A5E5161125}"/>
            </a:ext>
          </a:extLst>
        </xdr:cNvPr>
        <xdr:cNvSpPr txBox="1"/>
      </xdr:nvSpPr>
      <xdr:spPr>
        <a:xfrm>
          <a:off x="3518752" y="1045633"/>
          <a:ext cx="1211580" cy="395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1A5F104-B61F-4C18-8456-267C617409B6}" type="TxLink">
            <a:rPr lang="en-US" sz="2000" b="0" i="0" u="none" strike="noStrike">
              <a:solidFill>
                <a:schemeClr val="bg1"/>
              </a:solidFill>
              <a:latin typeface="Arial" panose="020B0604020202020204" pitchFamily="34" charset="0"/>
              <a:ea typeface="+mn-ea"/>
              <a:cs typeface="Arial" panose="020B0604020202020204" pitchFamily="34" charset="0"/>
            </a:rPr>
            <a:pPr marL="0" indent="0"/>
            <a:t>130.2K</a:t>
          </a:fld>
          <a:endParaRPr lang="en-US" sz="2000" b="0"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8</xdr:col>
      <xdr:colOff>17778</xdr:colOff>
      <xdr:row>5</xdr:row>
      <xdr:rowOff>114300</xdr:rowOff>
    </xdr:from>
    <xdr:to>
      <xdr:col>9</xdr:col>
      <xdr:colOff>314958</xdr:colOff>
      <xdr:row>7</xdr:row>
      <xdr:rowOff>137160</xdr:rowOff>
    </xdr:to>
    <xdr:sp macro="" textlink="'Pivot Table'!S23">
      <xdr:nvSpPr>
        <xdr:cNvPr id="44" name="TextBox 43">
          <a:extLst>
            <a:ext uri="{FF2B5EF4-FFF2-40B4-BE49-F238E27FC236}">
              <a16:creationId xmlns:a16="http://schemas.microsoft.com/office/drawing/2014/main" id="{61461BC1-435C-A2E3-F330-B989E1EAA32E}"/>
            </a:ext>
          </a:extLst>
        </xdr:cNvPr>
        <xdr:cNvSpPr txBox="1"/>
      </xdr:nvSpPr>
      <xdr:spPr>
        <a:xfrm>
          <a:off x="4894578" y="1045633"/>
          <a:ext cx="906780" cy="395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2AF09B-3EF7-4D36-9B9A-7EC633395E45}" type="TxLink">
            <a:rPr lang="en-US" sz="2000" b="0" i="0" u="none" strike="noStrike">
              <a:solidFill>
                <a:schemeClr val="bg1"/>
              </a:solidFill>
              <a:latin typeface="Arial" panose="020B0604020202020204" pitchFamily="34" charset="0"/>
              <a:ea typeface="+mn-ea"/>
              <a:cs typeface="Arial" panose="020B0604020202020204" pitchFamily="34" charset="0"/>
            </a:rPr>
            <a:pPr marL="0" indent="0"/>
            <a:t>138</a:t>
          </a:fld>
          <a:endParaRPr lang="en-US" sz="2000" b="0"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10</xdr:col>
      <xdr:colOff>132081</xdr:colOff>
      <xdr:row>5</xdr:row>
      <xdr:rowOff>114300</xdr:rowOff>
    </xdr:from>
    <xdr:to>
      <xdr:col>11</xdr:col>
      <xdr:colOff>429261</xdr:colOff>
      <xdr:row>7</xdr:row>
      <xdr:rowOff>137160</xdr:rowOff>
    </xdr:to>
    <xdr:sp macro="" textlink="'Pivot Table'!S24">
      <xdr:nvSpPr>
        <xdr:cNvPr id="45" name="TextBox 44">
          <a:extLst>
            <a:ext uri="{FF2B5EF4-FFF2-40B4-BE49-F238E27FC236}">
              <a16:creationId xmlns:a16="http://schemas.microsoft.com/office/drawing/2014/main" id="{3A94D03E-FAF3-B094-50E4-4D72CE14C444}"/>
            </a:ext>
          </a:extLst>
        </xdr:cNvPr>
        <xdr:cNvSpPr txBox="1"/>
      </xdr:nvSpPr>
      <xdr:spPr>
        <a:xfrm>
          <a:off x="6228081" y="1045633"/>
          <a:ext cx="906780" cy="395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286F4F-353B-4D76-99E9-1A7BD4166F34}" type="TxLink">
            <a:rPr lang="en-US" sz="2000" b="0" i="0" u="none" strike="noStrike">
              <a:solidFill>
                <a:schemeClr val="bg1"/>
              </a:solidFill>
              <a:latin typeface="Arial" panose="020B0604020202020204" pitchFamily="34" charset="0"/>
              <a:ea typeface="+mn-ea"/>
              <a:cs typeface="Arial" panose="020B0604020202020204" pitchFamily="34" charset="0"/>
            </a:rPr>
            <a:pPr marL="0" indent="0"/>
            <a:t>5988</a:t>
          </a:fld>
          <a:endParaRPr lang="en-US" sz="2000" b="0"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4</xdr:col>
      <xdr:colOff>580817</xdr:colOff>
      <xdr:row>7</xdr:row>
      <xdr:rowOff>55033</xdr:rowOff>
    </xdr:from>
    <xdr:to>
      <xdr:col>5</xdr:col>
      <xdr:colOff>478366</xdr:colOff>
      <xdr:row>8</xdr:row>
      <xdr:rowOff>127000</xdr:rowOff>
    </xdr:to>
    <xdr:sp macro="" textlink="'Pivot Table'!S21">
      <xdr:nvSpPr>
        <xdr:cNvPr id="46" name="TextBox 45">
          <a:extLst>
            <a:ext uri="{FF2B5EF4-FFF2-40B4-BE49-F238E27FC236}">
              <a16:creationId xmlns:a16="http://schemas.microsoft.com/office/drawing/2014/main" id="{6865B2F8-8297-DD1C-8CC7-B47D47728CBF}"/>
            </a:ext>
          </a:extLst>
        </xdr:cNvPr>
        <xdr:cNvSpPr txBox="1"/>
      </xdr:nvSpPr>
      <xdr:spPr>
        <a:xfrm>
          <a:off x="3019217" y="1358900"/>
          <a:ext cx="507149" cy="258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900" b="0" i="0" u="none" strike="noStrike">
              <a:solidFill>
                <a:schemeClr val="bg1"/>
              </a:solidFill>
              <a:latin typeface="Arial" panose="020B0604020202020204" pitchFamily="34" charset="0"/>
              <a:ea typeface="+mn-ea"/>
              <a:cs typeface="Arial" panose="020B0604020202020204" pitchFamily="34" charset="0"/>
            </a:rPr>
            <a:t>vs</a:t>
          </a:r>
          <a:r>
            <a:rPr lang="en-US" sz="900" b="0" i="0" u="none" strike="noStrike" baseline="0">
              <a:solidFill>
                <a:schemeClr val="bg1"/>
              </a:solidFill>
              <a:latin typeface="Arial" panose="020B0604020202020204" pitchFamily="34" charset="0"/>
              <a:ea typeface="+mn-ea"/>
              <a:cs typeface="Arial" panose="020B0604020202020204" pitchFamily="34" charset="0"/>
            </a:rPr>
            <a:t> PY</a:t>
          </a:r>
          <a:endParaRPr lang="en-US" sz="900" b="0"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2</xdr:col>
      <xdr:colOff>449584</xdr:colOff>
      <xdr:row>7</xdr:row>
      <xdr:rowOff>55033</xdr:rowOff>
    </xdr:from>
    <xdr:to>
      <xdr:col>3</xdr:col>
      <xdr:colOff>347133</xdr:colOff>
      <xdr:row>8</xdr:row>
      <xdr:rowOff>127000</xdr:rowOff>
    </xdr:to>
    <xdr:sp macro="" textlink="'Pivot Table'!S21">
      <xdr:nvSpPr>
        <xdr:cNvPr id="47" name="TextBox 46">
          <a:extLst>
            <a:ext uri="{FF2B5EF4-FFF2-40B4-BE49-F238E27FC236}">
              <a16:creationId xmlns:a16="http://schemas.microsoft.com/office/drawing/2014/main" id="{C39CD6C8-9620-B61A-8902-FB7A13E34DD4}"/>
            </a:ext>
          </a:extLst>
        </xdr:cNvPr>
        <xdr:cNvSpPr txBox="1"/>
      </xdr:nvSpPr>
      <xdr:spPr>
        <a:xfrm>
          <a:off x="1668784" y="1358900"/>
          <a:ext cx="507149" cy="258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900" b="0" i="0" u="none" strike="noStrike">
              <a:solidFill>
                <a:schemeClr val="bg1"/>
              </a:solidFill>
              <a:latin typeface="Arial" panose="020B0604020202020204" pitchFamily="34" charset="0"/>
              <a:ea typeface="+mn-ea"/>
              <a:cs typeface="Arial" panose="020B0604020202020204" pitchFamily="34" charset="0"/>
            </a:rPr>
            <a:t>vs</a:t>
          </a:r>
          <a:r>
            <a:rPr lang="en-US" sz="900" b="0" i="0" u="none" strike="noStrike" baseline="0">
              <a:solidFill>
                <a:schemeClr val="bg1"/>
              </a:solidFill>
              <a:latin typeface="Arial" panose="020B0604020202020204" pitchFamily="34" charset="0"/>
              <a:ea typeface="+mn-ea"/>
              <a:cs typeface="Arial" panose="020B0604020202020204" pitchFamily="34" charset="0"/>
            </a:rPr>
            <a:t> PY</a:t>
          </a:r>
          <a:endParaRPr lang="en-US" sz="900" b="0"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7</xdr:col>
      <xdr:colOff>144785</xdr:colOff>
      <xdr:row>7</xdr:row>
      <xdr:rowOff>55033</xdr:rowOff>
    </xdr:from>
    <xdr:to>
      <xdr:col>8</xdr:col>
      <xdr:colOff>42334</xdr:colOff>
      <xdr:row>8</xdr:row>
      <xdr:rowOff>127000</xdr:rowOff>
    </xdr:to>
    <xdr:sp macro="" textlink="'Pivot Table'!S21">
      <xdr:nvSpPr>
        <xdr:cNvPr id="48" name="TextBox 47">
          <a:extLst>
            <a:ext uri="{FF2B5EF4-FFF2-40B4-BE49-F238E27FC236}">
              <a16:creationId xmlns:a16="http://schemas.microsoft.com/office/drawing/2014/main" id="{5FF94DA8-2C2F-6DC3-7525-5CCC15FB7255}"/>
            </a:ext>
          </a:extLst>
        </xdr:cNvPr>
        <xdr:cNvSpPr txBox="1"/>
      </xdr:nvSpPr>
      <xdr:spPr>
        <a:xfrm>
          <a:off x="4411985" y="1358900"/>
          <a:ext cx="507149" cy="258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800" b="0" i="0" u="none" strike="noStrike">
              <a:solidFill>
                <a:schemeClr val="bg1"/>
              </a:solidFill>
              <a:latin typeface="Arial" panose="020B0604020202020204" pitchFamily="34" charset="0"/>
              <a:ea typeface="+mn-ea"/>
              <a:cs typeface="Arial" panose="020B0604020202020204" pitchFamily="34" charset="0"/>
            </a:rPr>
            <a:t>vs</a:t>
          </a:r>
          <a:r>
            <a:rPr lang="en-US" sz="800" b="0" i="0" u="none" strike="noStrike" baseline="0">
              <a:solidFill>
                <a:schemeClr val="bg1"/>
              </a:solidFill>
              <a:latin typeface="Arial" panose="020B0604020202020204" pitchFamily="34" charset="0"/>
              <a:ea typeface="+mn-ea"/>
              <a:cs typeface="Arial" panose="020B0604020202020204" pitchFamily="34" charset="0"/>
            </a:rPr>
            <a:t> PY</a:t>
          </a:r>
          <a:endParaRPr lang="en-US" sz="800" b="0"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9</xdr:col>
      <xdr:colOff>199815</xdr:colOff>
      <xdr:row>7</xdr:row>
      <xdr:rowOff>55033</xdr:rowOff>
    </xdr:from>
    <xdr:to>
      <xdr:col>10</xdr:col>
      <xdr:colOff>97364</xdr:colOff>
      <xdr:row>8</xdr:row>
      <xdr:rowOff>127000</xdr:rowOff>
    </xdr:to>
    <xdr:sp macro="" textlink="'Pivot Table'!S21">
      <xdr:nvSpPr>
        <xdr:cNvPr id="49" name="TextBox 48">
          <a:extLst>
            <a:ext uri="{FF2B5EF4-FFF2-40B4-BE49-F238E27FC236}">
              <a16:creationId xmlns:a16="http://schemas.microsoft.com/office/drawing/2014/main" id="{78FFE2AA-8E7A-EC01-0CB0-37B201A50D5D}"/>
            </a:ext>
          </a:extLst>
        </xdr:cNvPr>
        <xdr:cNvSpPr txBox="1"/>
      </xdr:nvSpPr>
      <xdr:spPr>
        <a:xfrm>
          <a:off x="5686215" y="1358900"/>
          <a:ext cx="507149" cy="258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900" b="0" i="0" u="none" strike="noStrike">
              <a:solidFill>
                <a:schemeClr val="bg1"/>
              </a:solidFill>
              <a:latin typeface="Arial" panose="020B0604020202020204" pitchFamily="34" charset="0"/>
              <a:ea typeface="+mn-ea"/>
              <a:cs typeface="Arial" panose="020B0604020202020204" pitchFamily="34" charset="0"/>
            </a:rPr>
            <a:t>vs</a:t>
          </a:r>
          <a:r>
            <a:rPr lang="en-US" sz="900" b="0" i="0" u="none" strike="noStrike" baseline="0">
              <a:solidFill>
                <a:schemeClr val="bg1"/>
              </a:solidFill>
              <a:latin typeface="Arial" panose="020B0604020202020204" pitchFamily="34" charset="0"/>
              <a:ea typeface="+mn-ea"/>
              <a:cs typeface="Arial" panose="020B0604020202020204" pitchFamily="34" charset="0"/>
            </a:rPr>
            <a:t> PY</a:t>
          </a:r>
          <a:endParaRPr lang="en-US" sz="900" b="0"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11</xdr:col>
      <xdr:colOff>305648</xdr:colOff>
      <xdr:row>7</xdr:row>
      <xdr:rowOff>55033</xdr:rowOff>
    </xdr:from>
    <xdr:to>
      <xdr:col>12</xdr:col>
      <xdr:colOff>203197</xdr:colOff>
      <xdr:row>8</xdr:row>
      <xdr:rowOff>127000</xdr:rowOff>
    </xdr:to>
    <xdr:sp macro="" textlink="'Pivot Table'!S21">
      <xdr:nvSpPr>
        <xdr:cNvPr id="50" name="TextBox 49">
          <a:extLst>
            <a:ext uri="{FF2B5EF4-FFF2-40B4-BE49-F238E27FC236}">
              <a16:creationId xmlns:a16="http://schemas.microsoft.com/office/drawing/2014/main" id="{E23AB088-1612-BB08-8F01-EF876AD284C8}"/>
            </a:ext>
          </a:extLst>
        </xdr:cNvPr>
        <xdr:cNvSpPr txBox="1"/>
      </xdr:nvSpPr>
      <xdr:spPr>
        <a:xfrm>
          <a:off x="7011248" y="1358900"/>
          <a:ext cx="507149" cy="258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900" b="0" i="0" u="none" strike="noStrike">
              <a:solidFill>
                <a:schemeClr val="bg1"/>
              </a:solidFill>
              <a:latin typeface="Arial" panose="020B0604020202020204" pitchFamily="34" charset="0"/>
              <a:ea typeface="+mn-ea"/>
              <a:cs typeface="Arial" panose="020B0604020202020204" pitchFamily="34" charset="0"/>
            </a:rPr>
            <a:t>vs</a:t>
          </a:r>
          <a:r>
            <a:rPr lang="en-US" sz="900" b="0" i="0" u="none" strike="noStrike" baseline="0">
              <a:solidFill>
                <a:schemeClr val="bg1"/>
              </a:solidFill>
              <a:latin typeface="Arial" panose="020B0604020202020204" pitchFamily="34" charset="0"/>
              <a:ea typeface="+mn-ea"/>
              <a:cs typeface="Arial" panose="020B0604020202020204" pitchFamily="34" charset="0"/>
            </a:rPr>
            <a:t> PY</a:t>
          </a:r>
          <a:endParaRPr lang="en-US" sz="900" b="0"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2</xdr:col>
          <xdr:colOff>397934</xdr:colOff>
          <xdr:row>6</xdr:row>
          <xdr:rowOff>84667</xdr:rowOff>
        </xdr:from>
        <xdr:to>
          <xdr:col>3</xdr:col>
          <xdr:colOff>358601</xdr:colOff>
          <xdr:row>7</xdr:row>
          <xdr:rowOff>75353</xdr:rowOff>
        </xdr:to>
        <xdr:pic>
          <xdr:nvPicPr>
            <xdr:cNvPr id="52" name="Picture 51">
              <a:extLst>
                <a:ext uri="{FF2B5EF4-FFF2-40B4-BE49-F238E27FC236}">
                  <a16:creationId xmlns:a16="http://schemas.microsoft.com/office/drawing/2014/main" id="{CC09C05C-55D1-0B05-AA89-F184E9F15D04}"/>
                </a:ext>
              </a:extLst>
            </xdr:cNvPr>
            <xdr:cNvPicPr>
              <a:picLocks noChangeAspect="1" noChangeArrowheads="1"/>
              <a:extLst>
                <a:ext uri="{84589F7E-364E-4C9E-8A38-B11213B215E9}">
                  <a14:cameraTool cellRange="'Pivot Table'!$A$10" spid="_x0000_s5339"/>
                </a:ext>
              </a:extLst>
            </xdr:cNvPicPr>
          </xdr:nvPicPr>
          <xdr:blipFill>
            <a:blip xmlns:r="http://schemas.openxmlformats.org/officeDocument/2006/relationships" r:embed="rId2"/>
            <a:srcRect/>
            <a:stretch>
              <a:fillRect/>
            </a:stretch>
          </xdr:blipFill>
          <xdr:spPr bwMode="auto">
            <a:xfrm>
              <a:off x="1617134" y="1202267"/>
              <a:ext cx="570267" cy="17695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405622</xdr:colOff>
          <xdr:row>6</xdr:row>
          <xdr:rowOff>118532</xdr:rowOff>
        </xdr:from>
        <xdr:to>
          <xdr:col>5</xdr:col>
          <xdr:colOff>464819</xdr:colOff>
          <xdr:row>7</xdr:row>
          <xdr:rowOff>100752</xdr:rowOff>
        </xdr:to>
        <xdr:pic>
          <xdr:nvPicPr>
            <xdr:cNvPr id="54" name="Picture 53">
              <a:extLst>
                <a:ext uri="{FF2B5EF4-FFF2-40B4-BE49-F238E27FC236}">
                  <a16:creationId xmlns:a16="http://schemas.microsoft.com/office/drawing/2014/main" id="{DACBE5FD-17EB-E9A3-8360-C1F06C9B5B96}"/>
                </a:ext>
              </a:extLst>
            </xdr:cNvPr>
            <xdr:cNvPicPr>
              <a:picLocks noChangeAspect="1" noChangeArrowheads="1"/>
              <a:extLst>
                <a:ext uri="{84589F7E-364E-4C9E-8A38-B11213B215E9}">
                  <a14:cameraTool cellRange="'Pivot Table'!$E$10" spid="_x0000_s5340"/>
                </a:ext>
              </a:extLst>
            </xdr:cNvPicPr>
          </xdr:nvPicPr>
          <xdr:blipFill>
            <a:blip xmlns:r="http://schemas.openxmlformats.org/officeDocument/2006/relationships" r:embed="rId3"/>
            <a:srcRect/>
            <a:stretch>
              <a:fillRect/>
            </a:stretch>
          </xdr:blipFill>
          <xdr:spPr bwMode="auto">
            <a:xfrm>
              <a:off x="2844022" y="1236132"/>
              <a:ext cx="668797" cy="16848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8467</xdr:colOff>
          <xdr:row>6</xdr:row>
          <xdr:rowOff>110067</xdr:rowOff>
        </xdr:from>
        <xdr:to>
          <xdr:col>8</xdr:col>
          <xdr:colOff>16087</xdr:colOff>
          <xdr:row>7</xdr:row>
          <xdr:rowOff>106680</xdr:rowOff>
        </xdr:to>
        <xdr:pic>
          <xdr:nvPicPr>
            <xdr:cNvPr id="57" name="Picture 56">
              <a:extLst>
                <a:ext uri="{FF2B5EF4-FFF2-40B4-BE49-F238E27FC236}">
                  <a16:creationId xmlns:a16="http://schemas.microsoft.com/office/drawing/2014/main" id="{5E442A26-C51A-0B17-BAB7-5CE3C7000974}"/>
                </a:ext>
              </a:extLst>
            </xdr:cNvPr>
            <xdr:cNvPicPr>
              <a:picLocks noChangeAspect="1" noChangeArrowheads="1"/>
              <a:extLst>
                <a:ext uri="{84589F7E-364E-4C9E-8A38-B11213B215E9}">
                  <a14:cameraTool cellRange="'Pivot Table'!$B$10" spid="_x0000_s5341"/>
                </a:ext>
              </a:extLst>
            </xdr:cNvPicPr>
          </xdr:nvPicPr>
          <xdr:blipFill>
            <a:blip xmlns:r="http://schemas.openxmlformats.org/officeDocument/2006/relationships" r:embed="rId4"/>
            <a:srcRect/>
            <a:stretch>
              <a:fillRect/>
            </a:stretch>
          </xdr:blipFill>
          <xdr:spPr bwMode="auto">
            <a:xfrm>
              <a:off x="3666067" y="1227667"/>
              <a:ext cx="1226820" cy="1828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85972</xdr:colOff>
          <xdr:row>6</xdr:row>
          <xdr:rowOff>143932</xdr:rowOff>
        </xdr:from>
        <xdr:to>
          <xdr:col>10</xdr:col>
          <xdr:colOff>140543</xdr:colOff>
          <xdr:row>7</xdr:row>
          <xdr:rowOff>143932</xdr:rowOff>
        </xdr:to>
        <xdr:pic>
          <xdr:nvPicPr>
            <xdr:cNvPr id="60" name="Picture 59">
              <a:extLst>
                <a:ext uri="{FF2B5EF4-FFF2-40B4-BE49-F238E27FC236}">
                  <a16:creationId xmlns:a16="http://schemas.microsoft.com/office/drawing/2014/main" id="{97331BB4-57A8-920C-B6BB-CE108074AF34}"/>
                </a:ext>
              </a:extLst>
            </xdr:cNvPr>
            <xdr:cNvPicPr>
              <a:picLocks noChangeAspect="1" noChangeArrowheads="1"/>
              <a:extLst>
                <a:ext uri="{84589F7E-364E-4C9E-8A38-B11213B215E9}">
                  <a14:cameraTool cellRange="'Pivot Table'!$C$10" spid="_x0000_s5342"/>
                </a:ext>
              </a:extLst>
            </xdr:cNvPicPr>
          </xdr:nvPicPr>
          <xdr:blipFill>
            <a:blip xmlns:r="http://schemas.openxmlformats.org/officeDocument/2006/relationships" r:embed="rId5"/>
            <a:srcRect/>
            <a:stretch>
              <a:fillRect/>
            </a:stretch>
          </xdr:blipFill>
          <xdr:spPr bwMode="auto">
            <a:xfrm>
              <a:off x="4962772" y="1261532"/>
              <a:ext cx="1273771" cy="18626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67734</xdr:colOff>
          <xdr:row>6</xdr:row>
          <xdr:rowOff>84667</xdr:rowOff>
        </xdr:from>
        <xdr:to>
          <xdr:col>12</xdr:col>
          <xdr:colOff>265854</xdr:colOff>
          <xdr:row>7</xdr:row>
          <xdr:rowOff>81280</xdr:rowOff>
        </xdr:to>
        <xdr:pic>
          <xdr:nvPicPr>
            <xdr:cNvPr id="62" name="Picture 61">
              <a:extLst>
                <a:ext uri="{FF2B5EF4-FFF2-40B4-BE49-F238E27FC236}">
                  <a16:creationId xmlns:a16="http://schemas.microsoft.com/office/drawing/2014/main" id="{03ECF3B2-0DEC-2DF3-DF32-FBC0222752A8}"/>
                </a:ext>
              </a:extLst>
            </xdr:cNvPr>
            <xdr:cNvPicPr>
              <a:picLocks noChangeAspect="1" noChangeArrowheads="1"/>
              <a:extLst>
                <a:ext uri="{84589F7E-364E-4C9E-8A38-B11213B215E9}">
                  <a14:cameraTool cellRange="'Pivot Table'!$D$10" spid="_x0000_s5343"/>
                </a:ext>
              </a:extLst>
            </xdr:cNvPicPr>
          </xdr:nvPicPr>
          <xdr:blipFill>
            <a:blip xmlns:r="http://schemas.openxmlformats.org/officeDocument/2006/relationships" r:embed="rId6"/>
            <a:srcRect/>
            <a:stretch>
              <a:fillRect/>
            </a:stretch>
          </xdr:blipFill>
          <xdr:spPr bwMode="auto">
            <a:xfrm>
              <a:off x="6773334" y="1202267"/>
              <a:ext cx="807720" cy="1828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257388</xdr:colOff>
      <xdr:row>7</xdr:row>
      <xdr:rowOff>152398</xdr:rowOff>
    </xdr:from>
    <xdr:to>
      <xdr:col>2</xdr:col>
      <xdr:colOff>575735</xdr:colOff>
      <xdr:row>11</xdr:row>
      <xdr:rowOff>164252</xdr:rowOff>
    </xdr:to>
    <xdr:graphicFrame macro="">
      <xdr:nvGraphicFramePr>
        <xdr:cNvPr id="63" name="Chart 62">
          <a:extLst>
            <a:ext uri="{FF2B5EF4-FFF2-40B4-BE49-F238E27FC236}">
              <a16:creationId xmlns:a16="http://schemas.microsoft.com/office/drawing/2014/main" id="{33D8CEA4-AA55-43FA-B296-74FA65812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124045</xdr:colOff>
      <xdr:row>7</xdr:row>
      <xdr:rowOff>125169</xdr:rowOff>
    </xdr:from>
    <xdr:to>
      <xdr:col>8</xdr:col>
      <xdr:colOff>110074</xdr:colOff>
      <xdr:row>12</xdr:row>
      <xdr:rowOff>169334</xdr:rowOff>
    </xdr:to>
    <xdr:graphicFrame macro="">
      <xdr:nvGraphicFramePr>
        <xdr:cNvPr id="64" name="Chart 63">
          <a:extLst>
            <a:ext uri="{FF2B5EF4-FFF2-40B4-BE49-F238E27FC236}">
              <a16:creationId xmlns:a16="http://schemas.microsoft.com/office/drawing/2014/main" id="{D0BD78BA-F29D-4063-A5F3-3ED567410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287869</xdr:colOff>
      <xdr:row>7</xdr:row>
      <xdr:rowOff>118535</xdr:rowOff>
    </xdr:from>
    <xdr:to>
      <xdr:col>10</xdr:col>
      <xdr:colOff>262469</xdr:colOff>
      <xdr:row>11</xdr:row>
      <xdr:rowOff>160869</xdr:rowOff>
    </xdr:to>
    <xdr:graphicFrame macro="">
      <xdr:nvGraphicFramePr>
        <xdr:cNvPr id="65" name="Chart 64">
          <a:extLst>
            <a:ext uri="{FF2B5EF4-FFF2-40B4-BE49-F238E27FC236}">
              <a16:creationId xmlns:a16="http://schemas.microsoft.com/office/drawing/2014/main" id="{600045E1-50DA-4630-A5C4-0256E00E9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491075</xdr:colOff>
      <xdr:row>7</xdr:row>
      <xdr:rowOff>135474</xdr:rowOff>
    </xdr:from>
    <xdr:to>
      <xdr:col>12</xdr:col>
      <xdr:colOff>355608</xdr:colOff>
      <xdr:row>11</xdr:row>
      <xdr:rowOff>152409</xdr:rowOff>
    </xdr:to>
    <xdr:graphicFrame macro="">
      <xdr:nvGraphicFramePr>
        <xdr:cNvPr id="66" name="Chart 65">
          <a:extLst>
            <a:ext uri="{FF2B5EF4-FFF2-40B4-BE49-F238E27FC236}">
              <a16:creationId xmlns:a16="http://schemas.microsoft.com/office/drawing/2014/main" id="{F2896395-1994-4FF5-9F73-9477A5B09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93133</xdr:colOff>
      <xdr:row>7</xdr:row>
      <xdr:rowOff>135465</xdr:rowOff>
    </xdr:from>
    <xdr:to>
      <xdr:col>5</xdr:col>
      <xdr:colOff>558800</xdr:colOff>
      <xdr:row>11</xdr:row>
      <xdr:rowOff>93134</xdr:rowOff>
    </xdr:to>
    <xdr:graphicFrame macro="">
      <xdr:nvGraphicFramePr>
        <xdr:cNvPr id="67" name="Chart 66">
          <a:extLst>
            <a:ext uri="{FF2B5EF4-FFF2-40B4-BE49-F238E27FC236}">
              <a16:creationId xmlns:a16="http://schemas.microsoft.com/office/drawing/2014/main" id="{5CD1063C-4C08-4286-B065-3F654F460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325981</xdr:colOff>
      <xdr:row>19</xdr:row>
      <xdr:rowOff>25408</xdr:rowOff>
    </xdr:from>
    <xdr:to>
      <xdr:col>10</xdr:col>
      <xdr:colOff>425041</xdr:colOff>
      <xdr:row>26</xdr:row>
      <xdr:rowOff>14402</xdr:rowOff>
    </xdr:to>
    <xdr:grpSp>
      <xdr:nvGrpSpPr>
        <xdr:cNvPr id="92" name="Group 91">
          <a:extLst>
            <a:ext uri="{FF2B5EF4-FFF2-40B4-BE49-F238E27FC236}">
              <a16:creationId xmlns:a16="http://schemas.microsoft.com/office/drawing/2014/main" id="{1B6DC7A5-B2C4-779A-C83D-09BF9CE28E03}"/>
            </a:ext>
          </a:extLst>
        </xdr:cNvPr>
        <xdr:cNvGrpSpPr/>
      </xdr:nvGrpSpPr>
      <xdr:grpSpPr>
        <a:xfrm>
          <a:off x="4593181" y="3500128"/>
          <a:ext cx="1927860" cy="1269154"/>
          <a:chOff x="4229100" y="3352800"/>
          <a:chExt cx="1927860" cy="1292860"/>
        </a:xfrm>
      </xdr:grpSpPr>
      <xdr:grpSp>
        <xdr:nvGrpSpPr>
          <xdr:cNvPr id="34" name="Group 33">
            <a:extLst>
              <a:ext uri="{FF2B5EF4-FFF2-40B4-BE49-F238E27FC236}">
                <a16:creationId xmlns:a16="http://schemas.microsoft.com/office/drawing/2014/main" id="{872B0CEB-CAE4-BD8E-B7F4-60213B107335}"/>
              </a:ext>
            </a:extLst>
          </xdr:cNvPr>
          <xdr:cNvGrpSpPr/>
        </xdr:nvGrpSpPr>
        <xdr:grpSpPr>
          <a:xfrm>
            <a:off x="4229100" y="3352800"/>
            <a:ext cx="1927860" cy="1292860"/>
            <a:chOff x="4229100" y="3291840"/>
            <a:chExt cx="1927860" cy="1272540"/>
          </a:xfrm>
        </xdr:grpSpPr>
        <xdr:graphicFrame macro="">
          <xdr:nvGraphicFramePr>
            <xdr:cNvPr id="24" name="Chart 23">
              <a:extLst>
                <a:ext uri="{FF2B5EF4-FFF2-40B4-BE49-F238E27FC236}">
                  <a16:creationId xmlns:a16="http://schemas.microsoft.com/office/drawing/2014/main" id="{DC3EF500-F9F1-413A-82E5-72046266F2B2}"/>
                </a:ext>
              </a:extLst>
            </xdr:cNvPr>
            <xdr:cNvGraphicFramePr>
              <a:graphicFrameLocks/>
            </xdr:cNvGraphicFramePr>
          </xdr:nvGraphicFramePr>
          <xdr:xfrm>
            <a:off x="4229100" y="3291840"/>
            <a:ext cx="1927860" cy="1272540"/>
          </xdr:xfrm>
          <a:graphic>
            <a:graphicData uri="http://schemas.openxmlformats.org/drawingml/2006/chart">
              <c:chart xmlns:c="http://schemas.openxmlformats.org/drawingml/2006/chart" xmlns:r="http://schemas.openxmlformats.org/officeDocument/2006/relationships" r:id="rId12"/>
            </a:graphicData>
          </a:graphic>
        </xdr:graphicFrame>
        <xdr:grpSp>
          <xdr:nvGrpSpPr>
            <xdr:cNvPr id="33" name="Group 32">
              <a:extLst>
                <a:ext uri="{FF2B5EF4-FFF2-40B4-BE49-F238E27FC236}">
                  <a16:creationId xmlns:a16="http://schemas.microsoft.com/office/drawing/2014/main" id="{EE065DB1-F3DA-BD82-4252-9996FF6AD0F1}"/>
                </a:ext>
              </a:extLst>
            </xdr:cNvPr>
            <xdr:cNvGrpSpPr/>
          </xdr:nvGrpSpPr>
          <xdr:grpSpPr>
            <a:xfrm>
              <a:off x="4762500" y="3467100"/>
              <a:ext cx="861060" cy="922020"/>
              <a:chOff x="4785360" y="3467100"/>
              <a:chExt cx="861060" cy="922020"/>
            </a:xfrm>
          </xdr:grpSpPr>
          <xdr:sp macro="" textlink="">
            <xdr:nvSpPr>
              <xdr:cNvPr id="26" name="Oval 25">
                <a:extLst>
                  <a:ext uri="{FF2B5EF4-FFF2-40B4-BE49-F238E27FC236}">
                    <a16:creationId xmlns:a16="http://schemas.microsoft.com/office/drawing/2014/main" id="{F27A5BC0-E8E1-C43E-FE7A-DB552906AEDE}"/>
                  </a:ext>
                </a:extLst>
              </xdr:cNvPr>
              <xdr:cNvSpPr/>
            </xdr:nvSpPr>
            <xdr:spPr>
              <a:xfrm>
                <a:off x="4785360" y="3467100"/>
                <a:ext cx="861060" cy="922020"/>
              </a:xfrm>
              <a:prstGeom prst="ellipse">
                <a:avLst/>
              </a:prstGeom>
              <a:no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0" name="Group 29">
                <a:extLst>
                  <a:ext uri="{FF2B5EF4-FFF2-40B4-BE49-F238E27FC236}">
                    <a16:creationId xmlns:a16="http://schemas.microsoft.com/office/drawing/2014/main" id="{F5A86ACB-C7B9-E682-02D2-0BDA68B06E53}"/>
                  </a:ext>
                </a:extLst>
              </xdr:cNvPr>
              <xdr:cNvGrpSpPr/>
            </xdr:nvGrpSpPr>
            <xdr:grpSpPr>
              <a:xfrm>
                <a:off x="4888230" y="3589020"/>
                <a:ext cx="655321" cy="678180"/>
                <a:chOff x="2032399" y="2826678"/>
                <a:chExt cx="589052" cy="647700"/>
              </a:xfrm>
            </xdr:grpSpPr>
            <xdr:sp macro="" textlink="">
              <xdr:nvSpPr>
                <xdr:cNvPr id="27" name="Oval 26">
                  <a:extLst>
                    <a:ext uri="{FF2B5EF4-FFF2-40B4-BE49-F238E27FC236}">
                      <a16:creationId xmlns:a16="http://schemas.microsoft.com/office/drawing/2014/main" id="{3558E285-8D99-4DC0-E3A4-62E610B0859E}"/>
                    </a:ext>
                  </a:extLst>
                </xdr:cNvPr>
                <xdr:cNvSpPr/>
              </xdr:nvSpPr>
              <xdr:spPr>
                <a:xfrm>
                  <a:off x="2032399" y="2826678"/>
                  <a:ext cx="589052" cy="647700"/>
                </a:xfrm>
                <a:prstGeom prst="ellipse">
                  <a:avLst/>
                </a:prstGeom>
                <a:solidFill>
                  <a:srgbClr val="E6FF80"/>
                </a:solidFill>
                <a:ln w="31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Oval 28">
                  <a:extLst>
                    <a:ext uri="{FF2B5EF4-FFF2-40B4-BE49-F238E27FC236}">
                      <a16:creationId xmlns:a16="http://schemas.microsoft.com/office/drawing/2014/main" id="{D20DE765-A160-508A-2E84-2608FC3C53A5}"/>
                    </a:ext>
                  </a:extLst>
                </xdr:cNvPr>
                <xdr:cNvSpPr/>
              </xdr:nvSpPr>
              <xdr:spPr>
                <a:xfrm>
                  <a:off x="2067844" y="2860968"/>
                  <a:ext cx="518160" cy="579120"/>
                </a:xfrm>
                <a:prstGeom prst="ellipse">
                  <a:avLst/>
                </a:prstGeom>
                <a:solidFill>
                  <a:schemeClr val="tx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sp macro="" textlink="'Pivot Table'!J21">
        <xdr:nvSpPr>
          <xdr:cNvPr id="68" name="TextBox 67">
            <a:extLst>
              <a:ext uri="{FF2B5EF4-FFF2-40B4-BE49-F238E27FC236}">
                <a16:creationId xmlns:a16="http://schemas.microsoft.com/office/drawing/2014/main" id="{C41777D0-9128-3B40-EF1C-7FEF89EE1189}"/>
              </a:ext>
            </a:extLst>
          </xdr:cNvPr>
          <xdr:cNvSpPr txBox="1"/>
        </xdr:nvSpPr>
        <xdr:spPr>
          <a:xfrm>
            <a:off x="4812665" y="3782087"/>
            <a:ext cx="769620"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F302D0-96E9-453C-9F86-C7DC19ACFD64}" type="TxLink">
              <a:rPr lang="en-US" sz="1200" b="0" i="0" u="none" strike="noStrike">
                <a:solidFill>
                  <a:schemeClr val="bg1"/>
                </a:solidFill>
                <a:latin typeface="Aptos Narrow"/>
                <a:cs typeface="Arial" panose="020B0604020202020204" pitchFamily="34" charset="0"/>
              </a:rPr>
              <a:pPr algn="ctr"/>
              <a:t>52.27%</a:t>
            </a:fld>
            <a:endParaRPr lang="en-US" sz="1200">
              <a:solidFill>
                <a:schemeClr val="bg1"/>
              </a:solidFill>
              <a:latin typeface="Arial" panose="020B0604020202020204" pitchFamily="34" charset="0"/>
              <a:cs typeface="Arial" panose="020B0604020202020204" pitchFamily="34" charset="0"/>
            </a:endParaRPr>
          </a:p>
        </xdr:txBody>
      </xdr:sp>
      <xdr:sp macro="" textlink="'Pivot Table'!K21">
        <xdr:nvSpPr>
          <xdr:cNvPr id="69" name="TextBox 68">
            <a:extLst>
              <a:ext uri="{FF2B5EF4-FFF2-40B4-BE49-F238E27FC236}">
                <a16:creationId xmlns:a16="http://schemas.microsoft.com/office/drawing/2014/main" id="{6803F037-81B2-4796-64EC-7D10EE08EE77}"/>
              </a:ext>
            </a:extLst>
          </xdr:cNvPr>
          <xdr:cNvSpPr txBox="1"/>
        </xdr:nvSpPr>
        <xdr:spPr>
          <a:xfrm>
            <a:off x="4885268" y="3979336"/>
            <a:ext cx="1041400" cy="406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42E6A3-797C-42A1-BDBB-598C7F431585}" type="TxLink">
              <a:rPr lang="en-US" sz="1000" b="0" i="0" u="none" strike="noStrike">
                <a:solidFill>
                  <a:schemeClr val="bg1"/>
                </a:solidFill>
                <a:latin typeface="Aptos Narrow"/>
                <a:cs typeface="Arial" panose="020B0604020202020204" pitchFamily="34" charset="0"/>
              </a:rPr>
              <a:t>Retail</a:t>
            </a:fld>
            <a:endParaRPr lang="en-US" sz="1000">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1</xdr:col>
      <xdr:colOff>262469</xdr:colOff>
      <xdr:row>17</xdr:row>
      <xdr:rowOff>4</xdr:rowOff>
    </xdr:from>
    <xdr:to>
      <xdr:col>5</xdr:col>
      <xdr:colOff>220133</xdr:colOff>
      <xdr:row>24</xdr:row>
      <xdr:rowOff>174405</xdr:rowOff>
    </xdr:to>
    <xdr:graphicFrame macro="">
      <xdr:nvGraphicFramePr>
        <xdr:cNvPr id="70" name="Chart 69">
          <a:extLst>
            <a:ext uri="{FF2B5EF4-FFF2-40B4-BE49-F238E27FC236}">
              <a16:creationId xmlns:a16="http://schemas.microsoft.com/office/drawing/2014/main" id="{74E2323B-D7B7-4D7E-A728-3C5088757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245533</xdr:colOff>
      <xdr:row>24</xdr:row>
      <xdr:rowOff>110074</xdr:rowOff>
    </xdr:from>
    <xdr:to>
      <xdr:col>5</xdr:col>
      <xdr:colOff>321733</xdr:colOff>
      <xdr:row>24</xdr:row>
      <xdr:rowOff>143933</xdr:rowOff>
    </xdr:to>
    <xdr:cxnSp macro="">
      <xdr:nvCxnSpPr>
        <xdr:cNvPr id="72" name="Straight Connector 71">
          <a:extLst>
            <a:ext uri="{FF2B5EF4-FFF2-40B4-BE49-F238E27FC236}">
              <a16:creationId xmlns:a16="http://schemas.microsoft.com/office/drawing/2014/main" id="{F843AC29-8B53-457B-8ED3-0BC7750A93BD}"/>
            </a:ext>
          </a:extLst>
        </xdr:cNvPr>
        <xdr:cNvCxnSpPr/>
      </xdr:nvCxnSpPr>
      <xdr:spPr>
        <a:xfrm flipH="1" flipV="1">
          <a:off x="855133" y="4580474"/>
          <a:ext cx="2514600" cy="33859"/>
        </a:xfrm>
        <a:prstGeom prst="line">
          <a:avLst/>
        </a:prstGeom>
        <a:ln w="12700">
          <a:solidFill>
            <a:schemeClr val="bg1">
              <a:alpha val="30000"/>
            </a:schemeClr>
          </a:solidFill>
        </a:ln>
        <a:effectLst>
          <a:outerShdw blurRad="50800" dist="50800" dir="5400000" algn="ctr" rotWithShape="0">
            <a:srgbClr val="000000"/>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253997</xdr:colOff>
      <xdr:row>16</xdr:row>
      <xdr:rowOff>48306</xdr:rowOff>
    </xdr:from>
    <xdr:to>
      <xdr:col>4</xdr:col>
      <xdr:colOff>321730</xdr:colOff>
      <xdr:row>17</xdr:row>
      <xdr:rowOff>143133</xdr:rowOff>
    </xdr:to>
    <xdr:sp macro="" textlink="">
      <xdr:nvSpPr>
        <xdr:cNvPr id="73" name="TextBox 72">
          <a:extLst>
            <a:ext uri="{FF2B5EF4-FFF2-40B4-BE49-F238E27FC236}">
              <a16:creationId xmlns:a16="http://schemas.microsoft.com/office/drawing/2014/main" id="{9060EF8E-72E1-9D42-B0F4-5614543B5476}"/>
            </a:ext>
          </a:extLst>
        </xdr:cNvPr>
        <xdr:cNvSpPr txBox="1"/>
      </xdr:nvSpPr>
      <xdr:spPr>
        <a:xfrm>
          <a:off x="863597" y="3028573"/>
          <a:ext cx="1896533"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Arial" panose="020B0604020202020204" pitchFamily="34" charset="0"/>
              <a:cs typeface="Arial" panose="020B0604020202020204" pitchFamily="34" charset="0"/>
            </a:rPr>
            <a:t>Salesperson  performance</a:t>
          </a:r>
        </a:p>
      </xdr:txBody>
    </xdr:sp>
    <xdr:clientData/>
  </xdr:twoCellAnchor>
  <xdr:twoCellAnchor>
    <xdr:from>
      <xdr:col>11</xdr:col>
      <xdr:colOff>562170</xdr:colOff>
      <xdr:row>11</xdr:row>
      <xdr:rowOff>93134</xdr:rowOff>
    </xdr:from>
    <xdr:to>
      <xdr:col>18</xdr:col>
      <xdr:colOff>33845</xdr:colOff>
      <xdr:row>17</xdr:row>
      <xdr:rowOff>76200</xdr:rowOff>
    </xdr:to>
    <xdr:graphicFrame macro="">
      <xdr:nvGraphicFramePr>
        <xdr:cNvPr id="74" name="Chart 73">
          <a:extLst>
            <a:ext uri="{FF2B5EF4-FFF2-40B4-BE49-F238E27FC236}">
              <a16:creationId xmlns:a16="http://schemas.microsoft.com/office/drawing/2014/main" id="{C251E49A-ADA1-4990-A2B9-13607C1F3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24550</xdr:colOff>
      <xdr:row>11</xdr:row>
      <xdr:rowOff>22860</xdr:rowOff>
    </xdr:from>
    <xdr:to>
      <xdr:col>14</xdr:col>
      <xdr:colOff>533397</xdr:colOff>
      <xdr:row>12</xdr:row>
      <xdr:rowOff>67732</xdr:rowOff>
    </xdr:to>
    <xdr:sp macro="" textlink="">
      <xdr:nvSpPr>
        <xdr:cNvPr id="75" name="TextBox 74">
          <a:extLst>
            <a:ext uri="{FF2B5EF4-FFF2-40B4-BE49-F238E27FC236}">
              <a16:creationId xmlns:a16="http://schemas.microsoft.com/office/drawing/2014/main" id="{25A26B94-637D-F02A-856C-DEE557EBE756}"/>
            </a:ext>
          </a:extLst>
        </xdr:cNvPr>
        <xdr:cNvSpPr txBox="1"/>
      </xdr:nvSpPr>
      <xdr:spPr>
        <a:xfrm>
          <a:off x="7339750" y="2071793"/>
          <a:ext cx="1728047" cy="231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panose="020B0604020202020204" pitchFamily="34" charset="0"/>
              <a:cs typeface="Arial" panose="020B0604020202020204" pitchFamily="34" charset="0"/>
            </a:rPr>
            <a:t>Monthly Revenue</a:t>
          </a:r>
          <a:r>
            <a:rPr lang="en-US" sz="1100" baseline="0">
              <a:solidFill>
                <a:schemeClr val="bg1"/>
              </a:solidFill>
              <a:latin typeface="Arial" panose="020B0604020202020204" pitchFamily="34" charset="0"/>
              <a:cs typeface="Arial" panose="020B0604020202020204" pitchFamily="34" charset="0"/>
            </a:rPr>
            <a:t> Trend</a:t>
          </a:r>
          <a:endParaRPr lang="en-US"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377614</xdr:colOff>
      <xdr:row>4</xdr:row>
      <xdr:rowOff>160866</xdr:rowOff>
    </xdr:from>
    <xdr:to>
      <xdr:col>17</xdr:col>
      <xdr:colOff>423334</xdr:colOff>
      <xdr:row>11</xdr:row>
      <xdr:rowOff>93134</xdr:rowOff>
    </xdr:to>
    <xdr:graphicFrame macro="">
      <xdr:nvGraphicFramePr>
        <xdr:cNvPr id="76" name="Chart 75">
          <a:extLst>
            <a:ext uri="{FF2B5EF4-FFF2-40B4-BE49-F238E27FC236}">
              <a16:creationId xmlns:a16="http://schemas.microsoft.com/office/drawing/2014/main" id="{6E1548E3-DCF5-4F3C-8379-F4027F27B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414019</xdr:colOff>
      <xdr:row>4</xdr:row>
      <xdr:rowOff>22860</xdr:rowOff>
    </xdr:from>
    <xdr:to>
      <xdr:col>15</xdr:col>
      <xdr:colOff>42332</xdr:colOff>
      <xdr:row>5</xdr:row>
      <xdr:rowOff>117687</xdr:rowOff>
    </xdr:to>
    <xdr:sp macro="" textlink="">
      <xdr:nvSpPr>
        <xdr:cNvPr id="77" name="TextBox 76">
          <a:extLst>
            <a:ext uri="{FF2B5EF4-FFF2-40B4-BE49-F238E27FC236}">
              <a16:creationId xmlns:a16="http://schemas.microsoft.com/office/drawing/2014/main" id="{EA4E1381-CA6B-F602-46ED-A4F6C36F3844}"/>
            </a:ext>
          </a:extLst>
        </xdr:cNvPr>
        <xdr:cNvSpPr txBox="1"/>
      </xdr:nvSpPr>
      <xdr:spPr>
        <a:xfrm>
          <a:off x="7729219" y="767927"/>
          <a:ext cx="1457113"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panose="020B0604020202020204" pitchFamily="34" charset="0"/>
              <a:cs typeface="Arial" panose="020B0604020202020204" pitchFamily="34" charset="0"/>
            </a:rPr>
            <a:t>Regional</a:t>
          </a:r>
          <a:r>
            <a:rPr lang="en-US" sz="1100" baseline="0">
              <a:solidFill>
                <a:schemeClr val="bg1"/>
              </a:solidFill>
              <a:latin typeface="Arial" panose="020B0604020202020204" pitchFamily="34" charset="0"/>
              <a:cs typeface="Arial" panose="020B0604020202020204" pitchFamily="34" charset="0"/>
            </a:rPr>
            <a:t> managers</a:t>
          </a:r>
          <a:endParaRPr lang="en-US"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1</xdr:col>
      <xdr:colOff>287867</xdr:colOff>
      <xdr:row>25</xdr:row>
      <xdr:rowOff>143933</xdr:rowOff>
    </xdr:from>
    <xdr:to>
      <xdr:col>5</xdr:col>
      <xdr:colOff>287867</xdr:colOff>
      <xdr:row>32</xdr:row>
      <xdr:rowOff>90607</xdr:rowOff>
    </xdr:to>
    <xdr:graphicFrame macro="">
      <xdr:nvGraphicFramePr>
        <xdr:cNvPr id="78" name="Chart 77">
          <a:extLst>
            <a:ext uri="{FF2B5EF4-FFF2-40B4-BE49-F238E27FC236}">
              <a16:creationId xmlns:a16="http://schemas.microsoft.com/office/drawing/2014/main" id="{9FC72C2C-2ADB-446A-88DE-DE287CB51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253997</xdr:colOff>
      <xdr:row>24</xdr:row>
      <xdr:rowOff>107571</xdr:rowOff>
    </xdr:from>
    <xdr:to>
      <xdr:col>4</xdr:col>
      <xdr:colOff>321730</xdr:colOff>
      <xdr:row>26</xdr:row>
      <xdr:rowOff>16131</xdr:rowOff>
    </xdr:to>
    <xdr:sp macro="" textlink="">
      <xdr:nvSpPr>
        <xdr:cNvPr id="83" name="TextBox 82">
          <a:extLst>
            <a:ext uri="{FF2B5EF4-FFF2-40B4-BE49-F238E27FC236}">
              <a16:creationId xmlns:a16="http://schemas.microsoft.com/office/drawing/2014/main" id="{C988A2B9-B40F-084F-27AA-140621749B26}"/>
            </a:ext>
          </a:extLst>
        </xdr:cNvPr>
        <xdr:cNvSpPr txBox="1"/>
      </xdr:nvSpPr>
      <xdr:spPr>
        <a:xfrm>
          <a:off x="863597" y="4577971"/>
          <a:ext cx="1896533"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Arial" panose="020B0604020202020204" pitchFamily="34" charset="0"/>
              <a:cs typeface="Arial" panose="020B0604020202020204" pitchFamily="34" charset="0"/>
            </a:rPr>
            <a:t>Regional  performance</a:t>
          </a:r>
        </a:p>
      </xdr:txBody>
    </xdr:sp>
    <xdr:clientData/>
  </xdr:twoCellAnchor>
  <xdr:twoCellAnchor>
    <xdr:from>
      <xdr:col>12</xdr:col>
      <xdr:colOff>59264</xdr:colOff>
      <xdr:row>19</xdr:row>
      <xdr:rowOff>33866</xdr:rowOff>
    </xdr:from>
    <xdr:to>
      <xdr:col>17</xdr:col>
      <xdr:colOff>414864</xdr:colOff>
      <xdr:row>25</xdr:row>
      <xdr:rowOff>25400</xdr:rowOff>
    </xdr:to>
    <xdr:graphicFrame macro="">
      <xdr:nvGraphicFramePr>
        <xdr:cNvPr id="85" name="Chart 84">
          <a:extLst>
            <a:ext uri="{FF2B5EF4-FFF2-40B4-BE49-F238E27FC236}">
              <a16:creationId xmlns:a16="http://schemas.microsoft.com/office/drawing/2014/main" id="{CC289745-35A2-42EB-83A4-C96E648F4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24550</xdr:colOff>
      <xdr:row>17</xdr:row>
      <xdr:rowOff>124461</xdr:rowOff>
    </xdr:from>
    <xdr:to>
      <xdr:col>16</xdr:col>
      <xdr:colOff>16930</xdr:colOff>
      <xdr:row>19</xdr:row>
      <xdr:rowOff>33020</xdr:rowOff>
    </xdr:to>
    <xdr:sp macro="" textlink="">
      <xdr:nvSpPr>
        <xdr:cNvPr id="87" name="TextBox 86">
          <a:extLst>
            <a:ext uri="{FF2B5EF4-FFF2-40B4-BE49-F238E27FC236}">
              <a16:creationId xmlns:a16="http://schemas.microsoft.com/office/drawing/2014/main" id="{EC25D82B-497A-8ACD-6084-314FD0715D9A}"/>
            </a:ext>
          </a:extLst>
        </xdr:cNvPr>
        <xdr:cNvSpPr txBox="1"/>
      </xdr:nvSpPr>
      <xdr:spPr>
        <a:xfrm>
          <a:off x="7339750" y="3290994"/>
          <a:ext cx="2430780"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bg1"/>
              </a:solidFill>
              <a:latin typeface="Arial" panose="020B0604020202020204" pitchFamily="34" charset="0"/>
              <a:cs typeface="Arial" panose="020B0604020202020204" pitchFamily="34" charset="0"/>
            </a:rPr>
            <a:t>Revenue</a:t>
          </a:r>
          <a:r>
            <a:rPr lang="en-US" sz="1050" baseline="0">
              <a:solidFill>
                <a:schemeClr val="bg1"/>
              </a:solidFill>
              <a:latin typeface="Arial" panose="020B0604020202020204" pitchFamily="34" charset="0"/>
              <a:cs typeface="Arial" panose="020B0604020202020204" pitchFamily="34" charset="0"/>
            </a:rPr>
            <a:t> by Payment Method</a:t>
          </a:r>
          <a:endParaRPr lang="en-US" sz="1050">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33864</xdr:colOff>
      <xdr:row>26</xdr:row>
      <xdr:rowOff>110065</xdr:rowOff>
    </xdr:from>
    <xdr:to>
      <xdr:col>17</xdr:col>
      <xdr:colOff>414865</xdr:colOff>
      <xdr:row>33</xdr:row>
      <xdr:rowOff>21164</xdr:rowOff>
    </xdr:to>
    <xdr:graphicFrame macro="">
      <xdr:nvGraphicFramePr>
        <xdr:cNvPr id="88" name="Chart 87">
          <a:extLst>
            <a:ext uri="{FF2B5EF4-FFF2-40B4-BE49-F238E27FC236}">
              <a16:creationId xmlns:a16="http://schemas.microsoft.com/office/drawing/2014/main" id="{CCFF60F3-9368-4D9A-A301-9C2771383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24550</xdr:colOff>
      <xdr:row>24</xdr:row>
      <xdr:rowOff>183726</xdr:rowOff>
    </xdr:from>
    <xdr:to>
      <xdr:col>16</xdr:col>
      <xdr:colOff>16930</xdr:colOff>
      <xdr:row>26</xdr:row>
      <xdr:rowOff>92286</xdr:rowOff>
    </xdr:to>
    <xdr:sp macro="" textlink="">
      <xdr:nvSpPr>
        <xdr:cNvPr id="89" name="TextBox 88">
          <a:extLst>
            <a:ext uri="{FF2B5EF4-FFF2-40B4-BE49-F238E27FC236}">
              <a16:creationId xmlns:a16="http://schemas.microsoft.com/office/drawing/2014/main" id="{4CDB2555-15E8-2E2E-5D3A-9EF89260E03F}"/>
            </a:ext>
          </a:extLst>
        </xdr:cNvPr>
        <xdr:cNvSpPr txBox="1"/>
      </xdr:nvSpPr>
      <xdr:spPr>
        <a:xfrm>
          <a:off x="7339750" y="4654126"/>
          <a:ext cx="2430780"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bg1"/>
              </a:solidFill>
              <a:latin typeface="Arial" panose="020B0604020202020204" pitchFamily="34" charset="0"/>
              <a:cs typeface="Arial" panose="020B0604020202020204" pitchFamily="34" charset="0"/>
            </a:rPr>
            <a:t>Revenue</a:t>
          </a:r>
          <a:r>
            <a:rPr lang="en-US" sz="1050" baseline="0">
              <a:solidFill>
                <a:schemeClr val="bg1"/>
              </a:solidFill>
              <a:latin typeface="Arial" panose="020B0604020202020204" pitchFamily="34" charset="0"/>
              <a:cs typeface="Arial" panose="020B0604020202020204" pitchFamily="34" charset="0"/>
            </a:rPr>
            <a:t> by Region</a:t>
          </a:r>
        </a:p>
      </xdr:txBody>
    </xdr:sp>
    <xdr:clientData/>
  </xdr:twoCellAnchor>
  <xdr:twoCellAnchor editAs="oneCell">
    <xdr:from>
      <xdr:col>1</xdr:col>
      <xdr:colOff>406404</xdr:colOff>
      <xdr:row>11</xdr:row>
      <xdr:rowOff>76211</xdr:rowOff>
    </xdr:from>
    <xdr:to>
      <xdr:col>5</xdr:col>
      <xdr:colOff>296333</xdr:colOff>
      <xdr:row>13</xdr:row>
      <xdr:rowOff>76200</xdr:rowOff>
    </xdr:to>
    <mc:AlternateContent xmlns:mc="http://schemas.openxmlformats.org/markup-compatibility/2006">
      <mc:Choice xmlns:a14="http://schemas.microsoft.com/office/drawing/2010/main" Requires="a14">
        <xdr:graphicFrame macro="">
          <xdr:nvGraphicFramePr>
            <xdr:cNvPr id="90" name="StoreLocation">
              <a:extLst>
                <a:ext uri="{FF2B5EF4-FFF2-40B4-BE49-F238E27FC236}">
                  <a16:creationId xmlns:a16="http://schemas.microsoft.com/office/drawing/2014/main" id="{6ECF6994-E238-41EC-93D1-278FEB98EA8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dr:sp macro="" textlink="">
          <xdr:nvSpPr>
            <xdr:cNvPr id="0" name=""/>
            <xdr:cNvSpPr>
              <a:spLocks noTextEdit="1"/>
            </xdr:cNvSpPr>
          </xdr:nvSpPr>
          <xdr:spPr>
            <a:xfrm>
              <a:off x="1016004" y="2087891"/>
              <a:ext cx="2328329" cy="365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101598</xdr:colOff>
      <xdr:row>13</xdr:row>
      <xdr:rowOff>152398</xdr:rowOff>
    </xdr:from>
    <xdr:to>
      <xdr:col>4</xdr:col>
      <xdr:colOff>609599</xdr:colOff>
      <xdr:row>16</xdr:row>
      <xdr:rowOff>33865</xdr:rowOff>
    </xdr:to>
    <mc:AlternateContent xmlns:mc="http://schemas.openxmlformats.org/markup-compatibility/2006">
      <mc:Choice xmlns:a14="http://schemas.microsoft.com/office/drawing/2010/main" Requires="a14">
        <xdr:graphicFrame macro="">
          <xdr:nvGraphicFramePr>
            <xdr:cNvPr id="93" name="OrderDate (Year)">
              <a:extLst>
                <a:ext uri="{FF2B5EF4-FFF2-40B4-BE49-F238E27FC236}">
                  <a16:creationId xmlns:a16="http://schemas.microsoft.com/office/drawing/2014/main" id="{000EE340-96E2-473F-88E5-DD140186E52E}"/>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dr:sp macro="" textlink="">
          <xdr:nvSpPr>
            <xdr:cNvPr id="0" name=""/>
            <xdr:cNvSpPr>
              <a:spLocks noTextEdit="1"/>
            </xdr:cNvSpPr>
          </xdr:nvSpPr>
          <xdr:spPr>
            <a:xfrm>
              <a:off x="1320798" y="2529838"/>
              <a:ext cx="1727201" cy="430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101597</xdr:colOff>
      <xdr:row>26</xdr:row>
      <xdr:rowOff>175305</xdr:rowOff>
    </xdr:from>
    <xdr:to>
      <xdr:col>7</xdr:col>
      <xdr:colOff>160866</xdr:colOff>
      <xdr:row>28</xdr:row>
      <xdr:rowOff>83864</xdr:rowOff>
    </xdr:to>
    <xdr:sp macro="" textlink="'Pivot Table'!Y15">
      <xdr:nvSpPr>
        <xdr:cNvPr id="96" name="TextBox 95">
          <a:extLst>
            <a:ext uri="{FF2B5EF4-FFF2-40B4-BE49-F238E27FC236}">
              <a16:creationId xmlns:a16="http://schemas.microsoft.com/office/drawing/2014/main" id="{96D416E1-6707-D94B-CDB7-9B3B1E41C32C}"/>
            </a:ext>
          </a:extLst>
        </xdr:cNvPr>
        <xdr:cNvSpPr txBox="1"/>
      </xdr:nvSpPr>
      <xdr:spPr>
        <a:xfrm>
          <a:off x="3759197" y="5018238"/>
          <a:ext cx="668869"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B0E13C-B34B-4471-9A10-41C743915228}" type="TxLink">
            <a:rPr lang="en-US" sz="1200" b="0" i="0" u="none" strike="noStrike">
              <a:solidFill>
                <a:schemeClr val="bg1"/>
              </a:solidFill>
              <a:latin typeface="Aptos Narrow"/>
              <a:cs typeface="Arial" panose="020B0604020202020204" pitchFamily="34" charset="0"/>
            </a:rPr>
            <a:t>Chair</a:t>
          </a:fld>
          <a:endParaRPr lang="en-US" sz="1050">
            <a:solidFill>
              <a:schemeClr val="bg1"/>
            </a:solidFill>
            <a:latin typeface="Arial" panose="020B0604020202020204" pitchFamily="34" charset="0"/>
            <a:cs typeface="Arial" panose="020B0604020202020204" pitchFamily="34" charset="0"/>
          </a:endParaRPr>
        </a:p>
      </xdr:txBody>
    </xdr:sp>
    <xdr:clientData/>
  </xdr:twoCellAnchor>
  <xdr:twoCellAnchor>
    <xdr:from>
      <xdr:col>5</xdr:col>
      <xdr:colOff>524928</xdr:colOff>
      <xdr:row>17</xdr:row>
      <xdr:rowOff>31372</xdr:rowOff>
    </xdr:from>
    <xdr:to>
      <xdr:col>6</xdr:col>
      <xdr:colOff>584197</xdr:colOff>
      <xdr:row>18</xdr:row>
      <xdr:rowOff>126198</xdr:rowOff>
    </xdr:to>
    <xdr:sp macro="" textlink="'Pivot Table'!Y18">
      <xdr:nvSpPr>
        <xdr:cNvPr id="97" name="TextBox 96">
          <a:extLst>
            <a:ext uri="{FF2B5EF4-FFF2-40B4-BE49-F238E27FC236}">
              <a16:creationId xmlns:a16="http://schemas.microsoft.com/office/drawing/2014/main" id="{13147D0B-3F61-3D91-E1FC-EBC06279BE40}"/>
            </a:ext>
          </a:extLst>
        </xdr:cNvPr>
        <xdr:cNvSpPr txBox="1"/>
      </xdr:nvSpPr>
      <xdr:spPr>
        <a:xfrm>
          <a:off x="3572928" y="3197905"/>
          <a:ext cx="668869"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1942B15-E14A-48C8-B883-D54D30851E18}" type="TxLink">
            <a:rPr lang="en-US" sz="1200" b="0" i="0" u="none" strike="noStrike">
              <a:solidFill>
                <a:schemeClr val="bg1"/>
              </a:solidFill>
              <a:latin typeface="Aptos Narrow"/>
              <a:ea typeface="+mn-ea"/>
              <a:cs typeface="Arial" panose="020B0604020202020204" pitchFamily="34" charset="0"/>
            </a:rPr>
            <a:pPr marL="0" indent="0"/>
            <a:t>Monitor</a:t>
          </a:fld>
          <a:endParaRPr lang="en-US" sz="1200" b="0" i="0" u="none" strike="noStrike">
            <a:solidFill>
              <a:schemeClr val="bg1"/>
            </a:solidFill>
            <a:latin typeface="Aptos Narrow"/>
            <a:ea typeface="+mn-ea"/>
            <a:cs typeface="Arial" panose="020B0604020202020204" pitchFamily="34" charset="0"/>
          </a:endParaRPr>
        </a:p>
      </xdr:txBody>
    </xdr:sp>
    <xdr:clientData/>
  </xdr:twoCellAnchor>
  <xdr:twoCellAnchor>
    <xdr:from>
      <xdr:col>8</xdr:col>
      <xdr:colOff>431791</xdr:colOff>
      <xdr:row>11</xdr:row>
      <xdr:rowOff>158369</xdr:rowOff>
    </xdr:from>
    <xdr:to>
      <xdr:col>9</xdr:col>
      <xdr:colOff>491060</xdr:colOff>
      <xdr:row>13</xdr:row>
      <xdr:rowOff>66928</xdr:rowOff>
    </xdr:to>
    <xdr:sp macro="" textlink="'Pivot Table'!Y16">
      <xdr:nvSpPr>
        <xdr:cNvPr id="98" name="TextBox 97">
          <a:extLst>
            <a:ext uri="{FF2B5EF4-FFF2-40B4-BE49-F238E27FC236}">
              <a16:creationId xmlns:a16="http://schemas.microsoft.com/office/drawing/2014/main" id="{360E9063-3D76-A223-2888-9732FD55BA96}"/>
            </a:ext>
          </a:extLst>
        </xdr:cNvPr>
        <xdr:cNvSpPr txBox="1"/>
      </xdr:nvSpPr>
      <xdr:spPr>
        <a:xfrm>
          <a:off x="5308591" y="2207302"/>
          <a:ext cx="668869"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452DDA-49CE-4A6B-B4DC-E3E082A631B1}" type="TxLink">
            <a:rPr lang="en-US" sz="1200" b="0" i="0" u="none" strike="noStrike">
              <a:solidFill>
                <a:schemeClr val="bg1"/>
              </a:solidFill>
              <a:latin typeface="Aptos Narrow"/>
              <a:ea typeface="+mn-ea"/>
              <a:cs typeface="Arial" panose="020B0604020202020204" pitchFamily="34" charset="0"/>
            </a:rPr>
            <a:pPr marL="0" indent="0"/>
            <a:t>Desk</a:t>
          </a:fld>
          <a:endParaRPr lang="en-US" sz="1200" b="0" i="0" u="none" strike="noStrike">
            <a:solidFill>
              <a:schemeClr val="bg1"/>
            </a:solidFill>
            <a:latin typeface="Aptos Narrow"/>
            <a:ea typeface="+mn-ea"/>
            <a:cs typeface="Arial" panose="020B0604020202020204" pitchFamily="34" charset="0"/>
          </a:endParaRPr>
        </a:p>
      </xdr:txBody>
    </xdr:sp>
    <xdr:clientData/>
  </xdr:twoCellAnchor>
  <xdr:twoCellAnchor>
    <xdr:from>
      <xdr:col>10</xdr:col>
      <xdr:colOff>245527</xdr:colOff>
      <xdr:row>14</xdr:row>
      <xdr:rowOff>56772</xdr:rowOff>
    </xdr:from>
    <xdr:to>
      <xdr:col>11</xdr:col>
      <xdr:colOff>304796</xdr:colOff>
      <xdr:row>15</xdr:row>
      <xdr:rowOff>151598</xdr:rowOff>
    </xdr:to>
    <xdr:sp macro="" textlink="'Pivot Table'!Y21">
      <xdr:nvSpPr>
        <xdr:cNvPr id="99" name="TextBox 98">
          <a:extLst>
            <a:ext uri="{FF2B5EF4-FFF2-40B4-BE49-F238E27FC236}">
              <a16:creationId xmlns:a16="http://schemas.microsoft.com/office/drawing/2014/main" id="{A3847570-8BD0-D6CB-7584-E4114A99B8FF}"/>
            </a:ext>
          </a:extLst>
        </xdr:cNvPr>
        <xdr:cNvSpPr txBox="1"/>
      </xdr:nvSpPr>
      <xdr:spPr>
        <a:xfrm>
          <a:off x="6341527" y="2664505"/>
          <a:ext cx="668869"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4F764F-A466-489D-A253-ACBF8195B82B}" type="TxLink">
            <a:rPr lang="en-US" sz="1200" b="0" i="0" u="none" strike="noStrike">
              <a:solidFill>
                <a:schemeClr val="bg1"/>
              </a:solidFill>
              <a:latin typeface="Aptos Narrow"/>
              <a:ea typeface="+mn-ea"/>
              <a:cs typeface="Arial" panose="020B0604020202020204" pitchFamily="34" charset="0"/>
            </a:rPr>
            <a:pPr marL="0" indent="0"/>
            <a:t>Tablet</a:t>
          </a:fld>
          <a:endParaRPr lang="en-US" sz="1200" b="0" i="0" u="none" strike="noStrike">
            <a:solidFill>
              <a:schemeClr val="bg1"/>
            </a:solidFill>
            <a:latin typeface="Aptos Narrow"/>
            <a:ea typeface="+mn-ea"/>
            <a:cs typeface="Arial" panose="020B0604020202020204" pitchFamily="34" charset="0"/>
          </a:endParaRPr>
        </a:p>
      </xdr:txBody>
    </xdr:sp>
    <xdr:clientData/>
  </xdr:twoCellAnchor>
  <xdr:twoCellAnchor>
    <xdr:from>
      <xdr:col>11</xdr:col>
      <xdr:colOff>50794</xdr:colOff>
      <xdr:row>19</xdr:row>
      <xdr:rowOff>99106</xdr:rowOff>
    </xdr:from>
    <xdr:to>
      <xdr:col>12</xdr:col>
      <xdr:colOff>110063</xdr:colOff>
      <xdr:row>21</xdr:row>
      <xdr:rowOff>7666</xdr:rowOff>
    </xdr:to>
    <xdr:sp macro="" textlink="'Pivot Table'!Y20">
      <xdr:nvSpPr>
        <xdr:cNvPr id="100" name="TextBox 99">
          <a:extLst>
            <a:ext uri="{FF2B5EF4-FFF2-40B4-BE49-F238E27FC236}">
              <a16:creationId xmlns:a16="http://schemas.microsoft.com/office/drawing/2014/main" id="{9D763F8B-CF83-9E58-86DC-3717D8FE01A5}"/>
            </a:ext>
          </a:extLst>
        </xdr:cNvPr>
        <xdr:cNvSpPr txBox="1"/>
      </xdr:nvSpPr>
      <xdr:spPr>
        <a:xfrm>
          <a:off x="6756394" y="3638173"/>
          <a:ext cx="668869"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B6CBA4E-87C5-45FF-906E-18841CDC2073}" type="TxLink">
            <a:rPr lang="en-US" sz="1200" b="0" i="0" u="none" strike="noStrike">
              <a:solidFill>
                <a:schemeClr val="bg1"/>
              </a:solidFill>
              <a:latin typeface="Aptos Narrow"/>
              <a:ea typeface="+mn-ea"/>
              <a:cs typeface="Arial" panose="020B0604020202020204" pitchFamily="34" charset="0"/>
            </a:rPr>
            <a:pPr marL="0" indent="0"/>
            <a:t>Printer</a:t>
          </a:fld>
          <a:endParaRPr lang="en-US" sz="1200" b="0" i="0" u="none" strike="noStrike">
            <a:solidFill>
              <a:schemeClr val="bg1"/>
            </a:solidFill>
            <a:latin typeface="Aptos Narrow"/>
            <a:ea typeface="+mn-ea"/>
            <a:cs typeface="Arial" panose="020B0604020202020204" pitchFamily="34" charset="0"/>
          </a:endParaRPr>
        </a:p>
      </xdr:txBody>
    </xdr:sp>
    <xdr:clientData/>
  </xdr:twoCellAnchor>
  <xdr:twoCellAnchor>
    <xdr:from>
      <xdr:col>11</xdr:col>
      <xdr:colOff>76194</xdr:colOff>
      <xdr:row>27</xdr:row>
      <xdr:rowOff>56772</xdr:rowOff>
    </xdr:from>
    <xdr:to>
      <xdr:col>12</xdr:col>
      <xdr:colOff>135463</xdr:colOff>
      <xdr:row>28</xdr:row>
      <xdr:rowOff>151598</xdr:rowOff>
    </xdr:to>
    <xdr:sp macro="" textlink="'Pivot Table'!Y19">
      <xdr:nvSpPr>
        <xdr:cNvPr id="101" name="TextBox 100">
          <a:extLst>
            <a:ext uri="{FF2B5EF4-FFF2-40B4-BE49-F238E27FC236}">
              <a16:creationId xmlns:a16="http://schemas.microsoft.com/office/drawing/2014/main" id="{3A322DB0-E231-AA00-F84B-9B1CB163D023}"/>
            </a:ext>
          </a:extLst>
        </xdr:cNvPr>
        <xdr:cNvSpPr txBox="1"/>
      </xdr:nvSpPr>
      <xdr:spPr>
        <a:xfrm>
          <a:off x="6781794" y="5085972"/>
          <a:ext cx="668869"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D881A9-A9AE-4298-8404-851B1A494AEA}" type="TxLink">
            <a:rPr lang="en-US" sz="1200" b="0" i="0" u="none" strike="noStrike">
              <a:solidFill>
                <a:schemeClr val="bg1"/>
              </a:solidFill>
              <a:latin typeface="Aptos Narrow"/>
              <a:ea typeface="+mn-ea"/>
              <a:cs typeface="Arial" panose="020B0604020202020204" pitchFamily="34" charset="0"/>
            </a:rPr>
            <a:pPr marL="0" indent="0"/>
            <a:t>Phone</a:t>
          </a:fld>
          <a:endParaRPr lang="en-US" sz="1200" b="0" i="0" u="none" strike="noStrike">
            <a:solidFill>
              <a:schemeClr val="bg1"/>
            </a:solidFill>
            <a:latin typeface="Aptos Narrow"/>
            <a:ea typeface="+mn-ea"/>
            <a:cs typeface="Arial" panose="020B0604020202020204" pitchFamily="34" charset="0"/>
          </a:endParaRPr>
        </a:p>
      </xdr:txBody>
    </xdr:sp>
    <xdr:clientData/>
  </xdr:twoCellAnchor>
  <xdr:twoCellAnchor>
    <xdr:from>
      <xdr:col>9</xdr:col>
      <xdr:colOff>304794</xdr:colOff>
      <xdr:row>30</xdr:row>
      <xdr:rowOff>90639</xdr:rowOff>
    </xdr:from>
    <xdr:to>
      <xdr:col>10</xdr:col>
      <xdr:colOff>364063</xdr:colOff>
      <xdr:row>31</xdr:row>
      <xdr:rowOff>185465</xdr:rowOff>
    </xdr:to>
    <xdr:sp macro="" textlink="'Pivot Table'!Y17">
      <xdr:nvSpPr>
        <xdr:cNvPr id="102" name="TextBox 101">
          <a:extLst>
            <a:ext uri="{FF2B5EF4-FFF2-40B4-BE49-F238E27FC236}">
              <a16:creationId xmlns:a16="http://schemas.microsoft.com/office/drawing/2014/main" id="{B26DF030-3F84-5220-A4C5-0803B287F2C9}"/>
            </a:ext>
          </a:extLst>
        </xdr:cNvPr>
        <xdr:cNvSpPr txBox="1"/>
      </xdr:nvSpPr>
      <xdr:spPr>
        <a:xfrm>
          <a:off x="5791194" y="5678639"/>
          <a:ext cx="668869"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644C5A-DDA8-4D68-8498-6CE8A3506759}" type="TxLink">
            <a:rPr lang="en-US" sz="1200" b="0" i="0" u="none" strike="noStrike">
              <a:solidFill>
                <a:schemeClr val="bg1"/>
              </a:solidFill>
              <a:latin typeface="Aptos Narrow"/>
              <a:ea typeface="+mn-ea"/>
              <a:cs typeface="Arial" panose="020B0604020202020204" pitchFamily="34" charset="0"/>
            </a:rPr>
            <a:pPr marL="0" indent="0"/>
            <a:t>Laptop</a:t>
          </a:fld>
          <a:endParaRPr lang="en-US" sz="1200" b="0" i="0" u="none" strike="noStrike">
            <a:solidFill>
              <a:schemeClr val="bg1"/>
            </a:solidFill>
            <a:latin typeface="Aptos Narrow"/>
            <a:ea typeface="+mn-ea"/>
            <a:cs typeface="Arial" panose="020B0604020202020204" pitchFamily="34" charset="0"/>
          </a:endParaRPr>
        </a:p>
      </xdr:txBody>
    </xdr:sp>
    <xdr:clientData/>
  </xdr:twoCellAnchor>
  <xdr:twoCellAnchor>
    <xdr:from>
      <xdr:col>10</xdr:col>
      <xdr:colOff>75355</xdr:colOff>
      <xdr:row>22</xdr:row>
      <xdr:rowOff>82124</xdr:rowOff>
    </xdr:from>
    <xdr:to>
      <xdr:col>12</xdr:col>
      <xdr:colOff>143936</xdr:colOff>
      <xdr:row>23</xdr:row>
      <xdr:rowOff>93134</xdr:rowOff>
    </xdr:to>
    <xdr:sp macro="" textlink="">
      <xdr:nvSpPr>
        <xdr:cNvPr id="103" name="TextBox 102">
          <a:extLst>
            <a:ext uri="{FF2B5EF4-FFF2-40B4-BE49-F238E27FC236}">
              <a16:creationId xmlns:a16="http://schemas.microsoft.com/office/drawing/2014/main" id="{61C990AA-C7EF-6818-936C-04C436EA6F70}"/>
            </a:ext>
          </a:extLst>
        </xdr:cNvPr>
        <xdr:cNvSpPr txBox="1"/>
      </xdr:nvSpPr>
      <xdr:spPr>
        <a:xfrm>
          <a:off x="6171355" y="4179991"/>
          <a:ext cx="1287781" cy="197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Arial" panose="020B0604020202020204" pitchFamily="34" charset="0"/>
              <a:cs typeface="Arial" panose="020B0604020202020204" pitchFamily="34" charset="0"/>
            </a:rPr>
            <a:t>Revenue</a:t>
          </a:r>
          <a:r>
            <a:rPr lang="en-US" sz="900" baseline="0">
              <a:solidFill>
                <a:schemeClr val="bg1"/>
              </a:solidFill>
              <a:latin typeface="Arial" panose="020B0604020202020204" pitchFamily="34" charset="0"/>
              <a:cs typeface="Arial" panose="020B0604020202020204" pitchFamily="34" charset="0"/>
            </a:rPr>
            <a:t> by Products</a:t>
          </a:r>
        </a:p>
      </xdr:txBody>
    </xdr:sp>
    <xdr:clientData/>
  </xdr:twoCellAnchor>
  <xdr:twoCellAnchor>
    <xdr:from>
      <xdr:col>1</xdr:col>
      <xdr:colOff>211667</xdr:colOff>
      <xdr:row>1</xdr:row>
      <xdr:rowOff>158323</xdr:rowOff>
    </xdr:from>
    <xdr:to>
      <xdr:col>7</xdr:col>
      <xdr:colOff>321731</xdr:colOff>
      <xdr:row>4</xdr:row>
      <xdr:rowOff>0</xdr:rowOff>
    </xdr:to>
    <xdr:sp macro="" textlink="">
      <xdr:nvSpPr>
        <xdr:cNvPr id="105" name="TextBox 104">
          <a:extLst>
            <a:ext uri="{FF2B5EF4-FFF2-40B4-BE49-F238E27FC236}">
              <a16:creationId xmlns:a16="http://schemas.microsoft.com/office/drawing/2014/main" id="{6D082D97-7392-755A-D49D-1AAEB88F6C63}"/>
            </a:ext>
          </a:extLst>
        </xdr:cNvPr>
        <xdr:cNvSpPr txBox="1"/>
      </xdr:nvSpPr>
      <xdr:spPr>
        <a:xfrm>
          <a:off x="821267" y="344590"/>
          <a:ext cx="3767664" cy="400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100" b="1">
              <a:solidFill>
                <a:schemeClr val="bg1"/>
              </a:solidFill>
              <a:latin typeface="Arial" panose="020B0604020202020204" pitchFamily="34" charset="0"/>
              <a:cs typeface="Arial" panose="020B0604020202020204" pitchFamily="34" charset="0"/>
            </a:rPr>
            <a:t>Executive Sales Dashboard</a:t>
          </a:r>
        </a:p>
      </xdr:txBody>
    </xdr:sp>
    <xdr:clientData/>
  </xdr:twoCellAnchor>
  <xdr:twoCellAnchor>
    <xdr:from>
      <xdr:col>7</xdr:col>
      <xdr:colOff>414867</xdr:colOff>
      <xdr:row>2</xdr:row>
      <xdr:rowOff>22859</xdr:rowOff>
    </xdr:from>
    <xdr:to>
      <xdr:col>10</xdr:col>
      <xdr:colOff>118539</xdr:colOff>
      <xdr:row>3</xdr:row>
      <xdr:rowOff>152402</xdr:rowOff>
    </xdr:to>
    <xdr:sp macro="" textlink="">
      <xdr:nvSpPr>
        <xdr:cNvPr id="106" name="TextBox 105">
          <a:hlinkClick xmlns:r="http://schemas.openxmlformats.org/officeDocument/2006/relationships" r:id="rId19"/>
          <a:extLst>
            <a:ext uri="{FF2B5EF4-FFF2-40B4-BE49-F238E27FC236}">
              <a16:creationId xmlns:a16="http://schemas.microsoft.com/office/drawing/2014/main" id="{A909D360-F9A6-63FF-A2EB-EA6AA841F0CB}"/>
            </a:ext>
          </a:extLst>
        </xdr:cNvPr>
        <xdr:cNvSpPr txBox="1"/>
      </xdr:nvSpPr>
      <xdr:spPr>
        <a:xfrm>
          <a:off x="4682067" y="388619"/>
          <a:ext cx="1532472" cy="312423"/>
        </a:xfrm>
        <a:prstGeom prst="rect">
          <a:avLst/>
        </a:prstGeom>
        <a:solidFill>
          <a:schemeClr val="bg1"/>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ysClr val="windowText" lastClr="000000"/>
              </a:solidFill>
              <a:latin typeface="Arial" panose="020B0604020202020204" pitchFamily="34" charset="0"/>
              <a:cs typeface="Arial" panose="020B0604020202020204" pitchFamily="34" charset="0"/>
            </a:rPr>
            <a:t>          Dashboard</a:t>
          </a:r>
          <a:endParaRPr lang="en-US" sz="11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10</xdr:col>
      <xdr:colOff>279404</xdr:colOff>
      <xdr:row>2</xdr:row>
      <xdr:rowOff>22859</xdr:rowOff>
    </xdr:from>
    <xdr:to>
      <xdr:col>12</xdr:col>
      <xdr:colOff>197275</xdr:colOff>
      <xdr:row>3</xdr:row>
      <xdr:rowOff>152402</xdr:rowOff>
    </xdr:to>
    <xdr:sp macro="" textlink="">
      <xdr:nvSpPr>
        <xdr:cNvPr id="107" name="TextBox 106">
          <a:hlinkClick xmlns:r="http://schemas.openxmlformats.org/officeDocument/2006/relationships" r:id="rId20"/>
          <a:extLst>
            <a:ext uri="{FF2B5EF4-FFF2-40B4-BE49-F238E27FC236}">
              <a16:creationId xmlns:a16="http://schemas.microsoft.com/office/drawing/2014/main" id="{90F1D5F7-5203-A0A4-BD7C-67B62980490B}"/>
            </a:ext>
          </a:extLst>
        </xdr:cNvPr>
        <xdr:cNvSpPr txBox="1"/>
      </xdr:nvSpPr>
      <xdr:spPr>
        <a:xfrm>
          <a:off x="6375404" y="388619"/>
          <a:ext cx="1137071" cy="312423"/>
        </a:xfrm>
        <a:prstGeom prst="rect">
          <a:avLst/>
        </a:prstGeom>
        <a:solidFill>
          <a:schemeClr val="bg1"/>
        </a:solidFill>
        <a:ln w="317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ysClr val="windowText" lastClr="000000"/>
              </a:solidFill>
              <a:latin typeface="Arial" panose="020B0604020202020204" pitchFamily="34" charset="0"/>
              <a:cs typeface="Arial" panose="020B0604020202020204" pitchFamily="34" charset="0"/>
            </a:rPr>
            <a:t>       Analysis</a:t>
          </a:r>
          <a:endParaRPr lang="en-US"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12</xdr:col>
      <xdr:colOff>358140</xdr:colOff>
      <xdr:row>2</xdr:row>
      <xdr:rowOff>22859</xdr:rowOff>
    </xdr:from>
    <xdr:to>
      <xdr:col>14</xdr:col>
      <xdr:colOff>434340</xdr:colOff>
      <xdr:row>3</xdr:row>
      <xdr:rowOff>152402</xdr:rowOff>
    </xdr:to>
    <xdr:sp macro="" textlink="">
      <xdr:nvSpPr>
        <xdr:cNvPr id="108" name="TextBox 107">
          <a:hlinkClick xmlns:r="http://schemas.openxmlformats.org/officeDocument/2006/relationships" r:id="rId21"/>
          <a:extLst>
            <a:ext uri="{FF2B5EF4-FFF2-40B4-BE49-F238E27FC236}">
              <a16:creationId xmlns:a16="http://schemas.microsoft.com/office/drawing/2014/main" id="{3DC570A5-B9E2-9862-76BC-BECAF5F0FC11}"/>
            </a:ext>
          </a:extLst>
        </xdr:cNvPr>
        <xdr:cNvSpPr txBox="1"/>
      </xdr:nvSpPr>
      <xdr:spPr>
        <a:xfrm>
          <a:off x="7673340" y="388619"/>
          <a:ext cx="1295400" cy="312423"/>
        </a:xfrm>
        <a:prstGeom prst="rect">
          <a:avLst/>
        </a:prstGeom>
        <a:solidFill>
          <a:schemeClr val="bg1"/>
        </a:solidFill>
        <a:ln w="317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ysClr val="windowText" lastClr="000000"/>
              </a:solidFill>
              <a:latin typeface="Arial" panose="020B0604020202020204" pitchFamily="34" charset="0"/>
              <a:cs typeface="Arial" panose="020B0604020202020204" pitchFamily="34" charset="0"/>
            </a:rPr>
            <a:t>          </a:t>
          </a:r>
          <a:r>
            <a:rPr lang="en-US" sz="1200" b="1">
              <a:solidFill>
                <a:sysClr val="windowText" lastClr="000000"/>
              </a:solidFill>
              <a:latin typeface="Arial" panose="020B0604020202020204" pitchFamily="34" charset="0"/>
              <a:cs typeface="Arial" panose="020B0604020202020204" pitchFamily="34" charset="0"/>
            </a:rPr>
            <a:t>Report</a:t>
          </a:r>
        </a:p>
      </xdr:txBody>
    </xdr:sp>
    <xdr:clientData/>
  </xdr:twoCellAnchor>
  <xdr:twoCellAnchor editAs="oneCell">
    <xdr:from>
      <xdr:col>9</xdr:col>
      <xdr:colOff>415287</xdr:colOff>
      <xdr:row>4</xdr:row>
      <xdr:rowOff>135468</xdr:rowOff>
    </xdr:from>
    <xdr:to>
      <xdr:col>10</xdr:col>
      <xdr:colOff>110487</xdr:colOff>
      <xdr:row>6</xdr:row>
      <xdr:rowOff>67735</xdr:rowOff>
    </xdr:to>
    <xdr:pic>
      <xdr:nvPicPr>
        <xdr:cNvPr id="121" name="Picture 120">
          <a:extLst>
            <a:ext uri="{FF2B5EF4-FFF2-40B4-BE49-F238E27FC236}">
              <a16:creationId xmlns:a16="http://schemas.microsoft.com/office/drawing/2014/main" id="{DC0781C7-CE8C-489C-9F2D-FE044E2F8648}"/>
            </a:ext>
          </a:extLst>
        </xdr:cNvPr>
        <xdr:cNvPicPr>
          <a:picLocks noChangeAspect="1"/>
        </xdr:cNvPicPr>
      </xdr:nvPicPr>
      <xdr:blipFill>
        <a:blip xmlns:r="http://schemas.openxmlformats.org/officeDocument/2006/relationships" r:embed="rId22" cstate="print">
          <a:alphaModFix/>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5901687" y="880535"/>
          <a:ext cx="304800" cy="304800"/>
        </a:xfrm>
        <a:prstGeom prst="rect">
          <a:avLst/>
        </a:prstGeom>
        <a:noFill/>
      </xdr:spPr>
    </xdr:pic>
    <xdr:clientData/>
  </xdr:twoCellAnchor>
  <xdr:twoCellAnchor editAs="oneCell">
    <xdr:from>
      <xdr:col>11</xdr:col>
      <xdr:colOff>566418</xdr:colOff>
      <xdr:row>4</xdr:row>
      <xdr:rowOff>135468</xdr:rowOff>
    </xdr:from>
    <xdr:to>
      <xdr:col>12</xdr:col>
      <xdr:colOff>218439</xdr:colOff>
      <xdr:row>6</xdr:row>
      <xdr:rowOff>24556</xdr:rowOff>
    </xdr:to>
    <xdr:pic>
      <xdr:nvPicPr>
        <xdr:cNvPr id="122" name="Picture 121">
          <a:extLst>
            <a:ext uri="{FF2B5EF4-FFF2-40B4-BE49-F238E27FC236}">
              <a16:creationId xmlns:a16="http://schemas.microsoft.com/office/drawing/2014/main" id="{5526CF60-AD62-48A3-BB45-784AC6EBADDF}"/>
            </a:ext>
          </a:extLst>
        </xdr:cNvPr>
        <xdr:cNvPicPr>
          <a:picLocks noChangeAspect="1"/>
        </xdr:cNvPicPr>
      </xdr:nvPicPr>
      <xdr:blipFill>
        <a:blip xmlns:r="http://schemas.openxmlformats.org/officeDocument/2006/relationships" r:embed="rId23"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7272018" y="880535"/>
          <a:ext cx="261621" cy="261621"/>
        </a:xfrm>
        <a:prstGeom prst="rect">
          <a:avLst/>
        </a:prstGeom>
      </xdr:spPr>
    </xdr:pic>
    <xdr:clientData/>
  </xdr:twoCellAnchor>
  <xdr:twoCellAnchor editAs="oneCell">
    <xdr:from>
      <xdr:col>3</xdr:col>
      <xdr:colOff>68268</xdr:colOff>
      <xdr:row>4</xdr:row>
      <xdr:rowOff>110601</xdr:rowOff>
    </xdr:from>
    <xdr:to>
      <xdr:col>3</xdr:col>
      <xdr:colOff>355600</xdr:colOff>
      <xdr:row>6</xdr:row>
      <xdr:rowOff>25400</xdr:rowOff>
    </xdr:to>
    <xdr:pic>
      <xdr:nvPicPr>
        <xdr:cNvPr id="123" name="Picture 122">
          <a:extLst>
            <a:ext uri="{FF2B5EF4-FFF2-40B4-BE49-F238E27FC236}">
              <a16:creationId xmlns:a16="http://schemas.microsoft.com/office/drawing/2014/main" id="{1FA9CE2A-A792-41B9-AB0A-5EECC5072637}"/>
            </a:ext>
          </a:extLst>
        </xdr:cNvPr>
        <xdr:cNvPicPr>
          <a:picLocks noChangeAspect="1"/>
        </xdr:cNvPicPr>
      </xdr:nvPicPr>
      <xdr:blipFill>
        <a:blip xmlns:r="http://schemas.openxmlformats.org/officeDocument/2006/relationships" r:embed="rId24"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1897068" y="855668"/>
          <a:ext cx="287332" cy="287332"/>
        </a:xfrm>
        <a:prstGeom prst="rect">
          <a:avLst/>
        </a:prstGeom>
      </xdr:spPr>
    </xdr:pic>
    <xdr:clientData/>
  </xdr:twoCellAnchor>
  <xdr:twoCellAnchor editAs="oneCell">
    <xdr:from>
      <xdr:col>5</xdr:col>
      <xdr:colOff>169758</xdr:colOff>
      <xdr:row>4</xdr:row>
      <xdr:rowOff>129540</xdr:rowOff>
    </xdr:from>
    <xdr:to>
      <xdr:col>5</xdr:col>
      <xdr:colOff>455084</xdr:colOff>
      <xdr:row>6</xdr:row>
      <xdr:rowOff>42333</xdr:rowOff>
    </xdr:to>
    <xdr:pic>
      <xdr:nvPicPr>
        <xdr:cNvPr id="124" name="Picture 123">
          <a:extLst>
            <a:ext uri="{FF2B5EF4-FFF2-40B4-BE49-F238E27FC236}">
              <a16:creationId xmlns:a16="http://schemas.microsoft.com/office/drawing/2014/main" id="{BBDA668D-4D9C-4EDD-A240-E370BE282888}"/>
            </a:ext>
          </a:extLst>
        </xdr:cNvPr>
        <xdr:cNvPicPr>
          <a:picLocks noChangeAspect="1"/>
        </xdr:cNvPicPr>
      </xdr:nvPicPr>
      <xdr:blipFill>
        <a:blip xmlns:r="http://schemas.openxmlformats.org/officeDocument/2006/relationships" r:embed="rId25"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3217758" y="874607"/>
          <a:ext cx="285326" cy="285326"/>
        </a:xfrm>
        <a:prstGeom prst="rect">
          <a:avLst/>
        </a:prstGeom>
      </xdr:spPr>
    </xdr:pic>
    <xdr:clientData/>
  </xdr:twoCellAnchor>
  <xdr:twoCellAnchor editAs="oneCell">
    <xdr:from>
      <xdr:col>7</xdr:col>
      <xdr:colOff>533393</xdr:colOff>
      <xdr:row>2</xdr:row>
      <xdr:rowOff>31326</xdr:rowOff>
    </xdr:from>
    <xdr:to>
      <xdr:col>8</xdr:col>
      <xdr:colOff>228601</xdr:colOff>
      <xdr:row>3</xdr:row>
      <xdr:rowOff>149867</xdr:rowOff>
    </xdr:to>
    <xdr:pic>
      <xdr:nvPicPr>
        <xdr:cNvPr id="125" name="Picture 124">
          <a:hlinkClick xmlns:r="http://schemas.openxmlformats.org/officeDocument/2006/relationships" r:id="rId19"/>
          <a:extLst>
            <a:ext uri="{FF2B5EF4-FFF2-40B4-BE49-F238E27FC236}">
              <a16:creationId xmlns:a16="http://schemas.microsoft.com/office/drawing/2014/main" id="{1105E663-8536-413F-A586-688C2873DF12}"/>
            </a:ext>
          </a:extLst>
        </xdr:cNvPr>
        <xdr:cNvPicPr>
          <a:picLocks noChangeAspect="1"/>
        </xdr:cNvPicPr>
      </xdr:nvPicPr>
      <xdr:blipFill>
        <a:blip xmlns:r="http://schemas.openxmlformats.org/officeDocument/2006/relationships" r:embed="rId26" cstate="print">
          <a:alphaModFix/>
          <a:extLst>
            <a:ext uri="{BEBA8EAE-BF5A-486C-A8C5-ECC9F3942E4B}">
              <a14:imgProps xmlns:a14="http://schemas.microsoft.com/office/drawing/2010/main">
                <a14:imgLayer r:embed="rId27">
                  <a14:imgEffect>
                    <a14:sharpenSoften amount="-50000"/>
                  </a14:imgEffect>
                </a14:imgLayer>
              </a14:imgProps>
            </a:ext>
            <a:ext uri="{28A0092B-C50C-407E-A947-70E740481C1C}">
              <a14:useLocalDpi xmlns:a14="http://schemas.microsoft.com/office/drawing/2010/main" val="0"/>
            </a:ext>
          </a:extLst>
        </a:blip>
        <a:stretch>
          <a:fillRect/>
        </a:stretch>
      </xdr:blipFill>
      <xdr:spPr>
        <a:xfrm>
          <a:off x="4800593" y="403859"/>
          <a:ext cx="304808" cy="304808"/>
        </a:xfrm>
        <a:prstGeom prst="rect">
          <a:avLst/>
        </a:prstGeom>
      </xdr:spPr>
    </xdr:pic>
    <xdr:clientData/>
  </xdr:twoCellAnchor>
  <xdr:twoCellAnchor editAs="oneCell">
    <xdr:from>
      <xdr:col>12</xdr:col>
      <xdr:colOff>387778</xdr:colOff>
      <xdr:row>2</xdr:row>
      <xdr:rowOff>24146</xdr:rowOff>
    </xdr:from>
    <xdr:to>
      <xdr:col>13</xdr:col>
      <xdr:colOff>125307</xdr:colOff>
      <xdr:row>3</xdr:row>
      <xdr:rowOff>96378</xdr:rowOff>
    </xdr:to>
    <xdr:pic>
      <xdr:nvPicPr>
        <xdr:cNvPr id="126" name="Picture 125">
          <a:hlinkClick xmlns:r="http://schemas.openxmlformats.org/officeDocument/2006/relationships" r:id="rId21"/>
          <a:extLst>
            <a:ext uri="{FF2B5EF4-FFF2-40B4-BE49-F238E27FC236}">
              <a16:creationId xmlns:a16="http://schemas.microsoft.com/office/drawing/2014/main" id="{312B9F95-A733-4B7F-AF63-738C246CABBE}"/>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7702978" y="389906"/>
          <a:ext cx="347129" cy="255112"/>
        </a:xfrm>
        <a:prstGeom prst="rect">
          <a:avLst/>
        </a:prstGeom>
      </xdr:spPr>
    </xdr:pic>
    <xdr:clientData/>
  </xdr:twoCellAnchor>
  <xdr:twoCellAnchor editAs="oneCell">
    <xdr:from>
      <xdr:col>10</xdr:col>
      <xdr:colOff>348829</xdr:colOff>
      <xdr:row>2</xdr:row>
      <xdr:rowOff>43126</xdr:rowOff>
    </xdr:from>
    <xdr:to>
      <xdr:col>11</xdr:col>
      <xdr:colOff>38100</xdr:colOff>
      <xdr:row>3</xdr:row>
      <xdr:rowOff>156022</xdr:rowOff>
    </xdr:to>
    <xdr:pic>
      <xdr:nvPicPr>
        <xdr:cNvPr id="128" name="Picture 127">
          <a:hlinkClick xmlns:r="http://schemas.openxmlformats.org/officeDocument/2006/relationships" r:id="rId20"/>
          <a:extLst>
            <a:ext uri="{FF2B5EF4-FFF2-40B4-BE49-F238E27FC236}">
              <a16:creationId xmlns:a16="http://schemas.microsoft.com/office/drawing/2014/main" id="{DF0D2DE9-1BB1-4FE6-9765-D1010084BA1D}"/>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6444829" y="408886"/>
          <a:ext cx="298871" cy="295776"/>
        </a:xfrm>
        <a:prstGeom prst="rect">
          <a:avLst/>
        </a:prstGeom>
      </xdr:spPr>
    </xdr:pic>
    <xdr:clientData/>
  </xdr:twoCellAnchor>
  <xdr:twoCellAnchor editAs="oneCell">
    <xdr:from>
      <xdr:col>16</xdr:col>
      <xdr:colOff>428409</xdr:colOff>
      <xdr:row>2</xdr:row>
      <xdr:rowOff>37252</xdr:rowOff>
    </xdr:from>
    <xdr:to>
      <xdr:col>17</xdr:col>
      <xdr:colOff>132076</xdr:colOff>
      <xdr:row>3</xdr:row>
      <xdr:rowOff>167639</xdr:rowOff>
    </xdr:to>
    <xdr:pic>
      <xdr:nvPicPr>
        <xdr:cNvPr id="129" name="Picture 128">
          <a:extLst>
            <a:ext uri="{FF2B5EF4-FFF2-40B4-BE49-F238E27FC236}">
              <a16:creationId xmlns:a16="http://schemas.microsoft.com/office/drawing/2014/main" id="{A5DE2CEF-BEDE-401D-A392-96B1EADB8EF1}"/>
            </a:ext>
          </a:extLst>
        </xdr:cNvPr>
        <xdr:cNvPicPr>
          <a:picLocks noChangeAspect="1"/>
        </xdr:cNvPicPr>
      </xdr:nvPicPr>
      <xdr:blipFill>
        <a:blip xmlns:r="http://schemas.openxmlformats.org/officeDocument/2006/relationships" r:embed="rId30"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10182009" y="403012"/>
          <a:ext cx="313267" cy="313267"/>
        </a:xfrm>
        <a:prstGeom prst="rect">
          <a:avLst/>
        </a:prstGeom>
        <a:ln>
          <a:noFill/>
        </a:ln>
      </xdr:spPr>
    </xdr:pic>
    <xdr:clientData/>
  </xdr:twoCellAnchor>
</xdr:wsDr>
</file>

<file path=xl/drawings/drawing3.xml><?xml version="1.0" encoding="utf-8"?>
<c:userShapes xmlns:c="http://schemas.openxmlformats.org/drawingml/2006/chart">
  <cdr:relSizeAnchor xmlns:cdr="http://schemas.openxmlformats.org/drawingml/2006/chartDrawing">
    <cdr:from>
      <cdr:x>0.46784</cdr:x>
      <cdr:y>0.20374</cdr:y>
    </cdr:from>
    <cdr:to>
      <cdr:x>0.51176</cdr:x>
      <cdr:y>0.42588</cdr:y>
    </cdr:to>
    <cdr:cxnSp macro="">
      <cdr:nvCxnSpPr>
        <cdr:cNvPr id="3" name="Straight Connector 2">
          <a:extLst xmlns:a="http://schemas.openxmlformats.org/drawingml/2006/main">
            <a:ext uri="{FF2B5EF4-FFF2-40B4-BE49-F238E27FC236}">
              <a16:creationId xmlns:a16="http://schemas.microsoft.com/office/drawing/2014/main" id="{F31F375A-781E-DD60-B55A-78E6CC89EA0B}"/>
            </a:ext>
          </a:extLst>
        </cdr:cNvPr>
        <cdr:cNvCxnSpPr/>
      </cdr:nvCxnSpPr>
      <cdr:spPr>
        <a:xfrm xmlns:a="http://schemas.openxmlformats.org/drawingml/2006/main">
          <a:off x="2099733" y="700194"/>
          <a:ext cx="197153" cy="763409"/>
        </a:xfrm>
        <a:prstGeom xmlns:a="http://schemas.openxmlformats.org/drawingml/2006/main" prst="line">
          <a:avLst/>
        </a:prstGeom>
        <a:ln xmlns:a="http://schemas.openxmlformats.org/drawingml/2006/main" w="3175">
          <a:solidFill>
            <a:schemeClr val="bg1">
              <a:lumMod val="65000"/>
              <a:alpha val="96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0.5858</cdr:x>
      <cdr:y>0.31151</cdr:y>
    </cdr:from>
    <cdr:to>
      <cdr:x>0.62649</cdr:x>
      <cdr:y>0.44747</cdr:y>
    </cdr:to>
    <cdr:cxnSp macro="">
      <cdr:nvCxnSpPr>
        <cdr:cNvPr id="4" name="Straight Connector 3">
          <a:extLst xmlns:a="http://schemas.openxmlformats.org/drawingml/2006/main">
            <a:ext uri="{FF2B5EF4-FFF2-40B4-BE49-F238E27FC236}">
              <a16:creationId xmlns:a16="http://schemas.microsoft.com/office/drawing/2014/main" id="{D9CDF173-0592-95A5-38D3-0EDEC33A6B52}"/>
            </a:ext>
          </a:extLst>
        </cdr:cNvPr>
        <cdr:cNvCxnSpPr/>
      </cdr:nvCxnSpPr>
      <cdr:spPr>
        <a:xfrm xmlns:a="http://schemas.openxmlformats.org/drawingml/2006/main" flipH="1">
          <a:off x="2514600" y="1212446"/>
          <a:ext cx="174651" cy="529149"/>
        </a:xfrm>
        <a:prstGeom xmlns:a="http://schemas.openxmlformats.org/drawingml/2006/main" prst="line">
          <a:avLst/>
        </a:prstGeom>
        <a:ln xmlns:a="http://schemas.openxmlformats.org/drawingml/2006/main" w="3175">
          <a:solidFill>
            <a:schemeClr val="bg1">
              <a:lumMod val="65000"/>
              <a:alpha val="96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0.60878</cdr:x>
      <cdr:y>0.36388</cdr:y>
    </cdr:from>
    <cdr:to>
      <cdr:x>0.81305</cdr:x>
      <cdr:y>0.48008</cdr:y>
    </cdr:to>
    <cdr:cxnSp macro="">
      <cdr:nvCxnSpPr>
        <cdr:cNvPr id="8" name="Straight Connector 7">
          <a:extLst xmlns:a="http://schemas.openxmlformats.org/drawingml/2006/main">
            <a:ext uri="{FF2B5EF4-FFF2-40B4-BE49-F238E27FC236}">
              <a16:creationId xmlns:a16="http://schemas.microsoft.com/office/drawing/2014/main" id="{AD4A345D-DB13-4DE4-F1C0-7E7B9FF5800B}"/>
            </a:ext>
          </a:extLst>
        </cdr:cNvPr>
        <cdr:cNvCxnSpPr/>
      </cdr:nvCxnSpPr>
      <cdr:spPr>
        <a:xfrm xmlns:a="http://schemas.openxmlformats.org/drawingml/2006/main" flipH="1">
          <a:off x="2732314" y="1250527"/>
          <a:ext cx="916819" cy="399313"/>
        </a:xfrm>
        <a:prstGeom xmlns:a="http://schemas.openxmlformats.org/drawingml/2006/main" prst="line">
          <a:avLst/>
        </a:prstGeom>
        <a:ln xmlns:a="http://schemas.openxmlformats.org/drawingml/2006/main" w="3175">
          <a:solidFill>
            <a:schemeClr val="bg1">
              <a:lumMod val="65000"/>
              <a:alpha val="96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0.60355</cdr:x>
      <cdr:y>0.61497</cdr:y>
    </cdr:from>
    <cdr:to>
      <cdr:x>0.73005</cdr:x>
      <cdr:y>0.74329</cdr:y>
    </cdr:to>
    <cdr:cxnSp macro="">
      <cdr:nvCxnSpPr>
        <cdr:cNvPr id="12" name="Straight Connector 11">
          <a:extLst xmlns:a="http://schemas.openxmlformats.org/drawingml/2006/main">
            <a:ext uri="{FF2B5EF4-FFF2-40B4-BE49-F238E27FC236}">
              <a16:creationId xmlns:a16="http://schemas.microsoft.com/office/drawing/2014/main" id="{29D0597B-4662-5867-DD08-4E2DA5C6AA70}"/>
            </a:ext>
          </a:extLst>
        </cdr:cNvPr>
        <cdr:cNvCxnSpPr/>
      </cdr:nvCxnSpPr>
      <cdr:spPr>
        <a:xfrm xmlns:a="http://schemas.openxmlformats.org/drawingml/2006/main" flipH="1" flipV="1">
          <a:off x="2590800" y="2393528"/>
          <a:ext cx="543016" cy="499438"/>
        </a:xfrm>
        <a:prstGeom xmlns:a="http://schemas.openxmlformats.org/drawingml/2006/main" prst="line">
          <a:avLst/>
        </a:prstGeom>
        <a:ln xmlns:a="http://schemas.openxmlformats.org/drawingml/2006/main" w="3175">
          <a:solidFill>
            <a:schemeClr val="bg1">
              <a:lumMod val="65000"/>
              <a:alpha val="96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0.54043</cdr:x>
      <cdr:y>0.66935</cdr:y>
    </cdr:from>
    <cdr:to>
      <cdr:x>0.54693</cdr:x>
      <cdr:y>0.81798</cdr:y>
    </cdr:to>
    <cdr:cxnSp macro="">
      <cdr:nvCxnSpPr>
        <cdr:cNvPr id="25" name="Straight Connector 24">
          <a:extLst xmlns:a="http://schemas.openxmlformats.org/drawingml/2006/main">
            <a:ext uri="{FF2B5EF4-FFF2-40B4-BE49-F238E27FC236}">
              <a16:creationId xmlns:a16="http://schemas.microsoft.com/office/drawing/2014/main" id="{A5E86220-BC11-291A-4141-872D6C016024}"/>
            </a:ext>
          </a:extLst>
        </cdr:cNvPr>
        <cdr:cNvCxnSpPr/>
      </cdr:nvCxnSpPr>
      <cdr:spPr>
        <a:xfrm xmlns:a="http://schemas.openxmlformats.org/drawingml/2006/main" flipH="1" flipV="1">
          <a:off x="2319866" y="2605195"/>
          <a:ext cx="27894" cy="578483"/>
        </a:xfrm>
        <a:prstGeom xmlns:a="http://schemas.openxmlformats.org/drawingml/2006/main" prst="line">
          <a:avLst/>
        </a:prstGeom>
        <a:ln xmlns:a="http://schemas.openxmlformats.org/drawingml/2006/main" w="3175">
          <a:solidFill>
            <a:schemeClr val="bg1">
              <a:lumMod val="65000"/>
              <a:alpha val="96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0.29806</cdr:x>
      <cdr:y>0.62671</cdr:y>
    </cdr:from>
    <cdr:to>
      <cdr:x>0.44992</cdr:x>
      <cdr:y>0.68662</cdr:y>
    </cdr:to>
    <cdr:cxnSp macro="">
      <cdr:nvCxnSpPr>
        <cdr:cNvPr id="31" name="Straight Connector 30">
          <a:extLst xmlns:a="http://schemas.openxmlformats.org/drawingml/2006/main">
            <a:ext uri="{FF2B5EF4-FFF2-40B4-BE49-F238E27FC236}">
              <a16:creationId xmlns:a16="http://schemas.microsoft.com/office/drawing/2014/main" id="{ED38F73D-8959-463F-9CD6-FE2DCD7DCD80}"/>
            </a:ext>
          </a:extLst>
        </cdr:cNvPr>
        <cdr:cNvCxnSpPr/>
      </cdr:nvCxnSpPr>
      <cdr:spPr>
        <a:xfrm xmlns:a="http://schemas.openxmlformats.org/drawingml/2006/main" flipH="1">
          <a:off x="1337733" y="2153776"/>
          <a:ext cx="681567" cy="205884"/>
        </a:xfrm>
        <a:prstGeom xmlns:a="http://schemas.openxmlformats.org/drawingml/2006/main" prst="line">
          <a:avLst/>
        </a:prstGeom>
        <a:ln xmlns:a="http://schemas.openxmlformats.org/drawingml/2006/main" w="3175">
          <a:solidFill>
            <a:schemeClr val="bg1">
              <a:lumMod val="65000"/>
              <a:alpha val="96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0.19329</cdr:x>
      <cdr:y>0.43441</cdr:y>
    </cdr:from>
    <cdr:to>
      <cdr:x>0.44021</cdr:x>
      <cdr:y>0.5008</cdr:y>
    </cdr:to>
    <cdr:cxnSp macro="">
      <cdr:nvCxnSpPr>
        <cdr:cNvPr id="34" name="Straight Connector 33">
          <a:extLst xmlns:a="http://schemas.openxmlformats.org/drawingml/2006/main">
            <a:ext uri="{FF2B5EF4-FFF2-40B4-BE49-F238E27FC236}">
              <a16:creationId xmlns:a16="http://schemas.microsoft.com/office/drawing/2014/main" id="{28272541-664B-FA7C-BFBB-4887927EB708}"/>
            </a:ext>
          </a:extLst>
        </cdr:cNvPr>
        <cdr:cNvCxnSpPr/>
      </cdr:nvCxnSpPr>
      <cdr:spPr>
        <a:xfrm xmlns:a="http://schemas.openxmlformats.org/drawingml/2006/main" flipH="1" flipV="1">
          <a:off x="829733" y="1690795"/>
          <a:ext cx="1059927" cy="258369"/>
        </a:xfrm>
        <a:prstGeom xmlns:a="http://schemas.openxmlformats.org/drawingml/2006/main" prst="line">
          <a:avLst/>
        </a:prstGeom>
        <a:ln xmlns:a="http://schemas.openxmlformats.org/drawingml/2006/main" w="3175">
          <a:solidFill>
            <a:schemeClr val="bg1">
              <a:lumMod val="65000"/>
              <a:alpha val="96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46127777779" backgroundQuery="1" createdVersion="8" refreshedVersion="8" minRefreshableVersion="3" recordCount="0" supportSubquery="1" supportAdvancedDrill="1" xr:uid="{42ED7901-5499-474A-B5B9-51080C013511}">
  <cacheSource type="external" connectionId="4"/>
  <cacheFields count="6">
    <cacheField name="[Measures].[Revenue YOY%]" caption="Revenue YOY%" numFmtId="0" hierarchy="31" level="32767"/>
    <cacheField name="[Measures].[Average order value YOY%]" caption="Average order value YOY%" numFmtId="0" hierarchy="32" level="32767"/>
    <cacheField name="[Measures].[Total Discount YOY%]" caption="Total Discount YOY%" numFmtId="0" hierarchy="33" level="32767"/>
    <cacheField name="[Measures].[Total Return YOY%]" caption="Total Return YOY%" numFmtId="0" hierarchy="34" level="32767"/>
    <cacheField name="[Measures].[Total Order YOY%]" caption="Total Order YOY%" numFmtId="0" hierarchy="35" level="32767"/>
    <cacheField name="[product_sales_data__1].[OrderDate (Year)].[OrderDate (Year)]" caption="OrderDate (Year)" numFmtId="0" hierarchy="22" level="1">
      <sharedItems containsSemiMixedTypes="0" containsNonDate="0" containsString="0"/>
    </cacheField>
  </cacheFields>
  <cacheHierarchies count="38">
    <cacheHierarchy uniqueName="[product_sales_data__1].[Date]" caption="Date" attribute="1" defaultMemberUniqueName="[product_sales_data__1].[Date].[All]" allUniqueName="[product_sales_data__1].[Date].[All]" dimensionUniqueName="[product_sales_data__1]" displayFolder="" count="0" memberValueDatatype="130" unbalanced="0"/>
    <cacheHierarchy uniqueName="[product_sales_data__1].[Region]" caption="Region" attribute="1" defaultMemberUniqueName="[product_sales_data__1].[Region].[All]" allUniqueName="[product_sales_data__1].[Region].[All]" dimensionUniqueName="[product_sales_data__1]" displayFolder="" count="0" memberValueDatatype="130" unbalanced="0"/>
    <cacheHierarchy uniqueName="[product_sales_data__1].[Product]" caption="Product" attribute="1" defaultMemberUniqueName="[product_sales_data__1].[Product].[All]" allUniqueName="[product_sales_data__1].[Product].[All]" dimensionUniqueName="[product_sales_data__1]" displayFolder="" count="0" memberValueDatatype="130" unbalanced="0"/>
    <cacheHierarchy uniqueName="[product_sales_data__1].[Quantity]" caption="Quantity" attribute="1" defaultMemberUniqueName="[product_sales_data__1].[Quantity].[All]" allUniqueName="[product_sales_data__1].[Quantity].[All]" dimensionUniqueName="[product_sales_data__1]" displayFolder="" count="0"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0"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2" memberValueDatatype="130" unbalanced="0"/>
    <cacheHierarchy uniqueName="[product_sales_data__1].[CustomerType]" caption="CustomerType" attribute="1" defaultMemberUniqueName="[product_sales_data__1].[CustomerType].[All]" allUniqueName="[product_sales_data__1].[CustomerType].[All]" dimensionUniqueName="[product_sales_data__1]" displayFolder="" count="0" memberValueDatatype="130" unbalanced="0"/>
    <cacheHierarchy uniqueName="[product_sales_data__1].[Discount]" caption="Discount" attribute="1" defaultMemberUniqueName="[product_sales_data__1].[Discount].[All]" allUniqueName="[product_sales_data__1].[Discount].[All]" dimensionUniqueName="[product_sales_data__1]" displayFolder="" count="0"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0" memberValueDatatype="130" unbalanced="0"/>
    <cacheHierarchy uniqueName="[product_sales_data__1].[TotalPrice]" caption="TotalPrice" attribute="1" defaultMemberUniqueName="[product_sales_data__1].[TotalPrice].[All]" allUniqueName="[product_sales_data__1].[TotalPrice].[All]" dimensionUniqueName="[product_sales_data__1]" displayFolder="" count="0"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0" memberValueDatatype="130" unbalanced="0"/>
    <cacheHierarchy uniqueName="[product_sales_data__1].[Promotion]" caption="Promotion" attribute="1" defaultMemberUniqueName="[product_sales_data__1].[Promotion].[All]" allUniqueName="[product_sales_data__1].[Promotion].[All]" dimensionUniqueName="[product_sales_data__1]" displayFolder="" count="0"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0" memberValueDatatype="20" unbalanced="0"/>
    <cacheHierarchy uniqueName="[product_sales_data__1].[OrderID]" caption="OrderID" attribute="1" defaultMemberUniqueName="[product_sales_data__1].[OrderID].[All]" allUniqueName="[product_sales_data__1].[OrderID].[All]" dimensionUniqueName="[product_sales_data__1]" displayFolder="" count="0"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0"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0"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2"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0"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0" memberValueDatatype="130" unbalanced="0"/>
    <cacheHierarchy uniqueName="[product_sales_data__1].[Order Month]" caption="Order Month" attribute="1" defaultMemberUniqueName="[product_sales_data__1].[Order Month].[All]" allUniqueName="[product_sales_data__1].[Order Month].[All]" dimensionUniqueName="[product_sales_data__1]" displayFolder="" count="0" memberValueDatatype="130" unbalanced="0"/>
    <cacheHierarchy uniqueName="[product_sales_data__1].[Gross Revenue]" caption="Gross Revenue" attribute="1" defaultMemberUniqueName="[product_sales_data__1].[Gross Revenue].[All]" allUniqueName="[product_sales_data__1].[Gross Revenue].[All]" dimensionUniqueName="[product_sales_data__1]" displayFolder="" count="0"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0"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2" memberValueDatatype="130" unbalanced="0">
      <fieldsUsage count="2">
        <fieldUsage x="-1"/>
        <fieldUsage x="5"/>
      </fieldsUsage>
    </cacheHierarchy>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0"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0"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0" memberValueDatatype="20" unbalanced="0" hidden="1"/>
    <cacheHierarchy uniqueName="[Measures].[Revennue]" caption="Revennue" measure="1" displayFolder="" measureGroup="product_sales_data__1" count="0"/>
    <cacheHierarchy uniqueName="[Measures].[Total Orders]" caption="Total Orders" measure="1" displayFolder="" measureGroup="product_sales_data__1" count="0"/>
    <cacheHierarchy uniqueName="[Measures].[Total Discount offered]" caption="Total Discount offered" measure="1" displayFolder="" measureGroup="product_sales_data__1" count="0"/>
    <cacheHierarchy uniqueName="[Measures].[Total Returns]" caption="Total Returns" measure="1" displayFolder="" measureGroup="product_sales_data__1" count="0"/>
    <cacheHierarchy uniqueName="[Measures].[Average Order Value]" caption="Average Order Value" measure="1" displayFolder="" measureGroup="product_sales_data__1" count="0"/>
    <cacheHierarchy uniqueName="[Measures].[Revenue YOY%]" caption="Revenue YOY%" measure="1" displayFolder="" measureGroup="product_sales_data__1" count="0" oneField="1">
      <fieldsUsage count="1">
        <fieldUsage x="0"/>
      </fieldsUsage>
    </cacheHierarchy>
    <cacheHierarchy uniqueName="[Measures].[Average order value YOY%]" caption="Average order value YOY%" measure="1" displayFolder="" measureGroup="product_sales_data__1" count="0" oneField="1">
      <fieldsUsage count="1">
        <fieldUsage x="1"/>
      </fieldsUsage>
    </cacheHierarchy>
    <cacheHierarchy uniqueName="[Measures].[Total Discount YOY%]" caption="Total Discount YOY%" measure="1" displayFolder="" measureGroup="product_sales_data__1" count="0" oneField="1">
      <fieldsUsage count="1">
        <fieldUsage x="2"/>
      </fieldsUsage>
    </cacheHierarchy>
    <cacheHierarchy uniqueName="[Measures].[Total Return YOY%]" caption="Total Return YOY%" measure="1" displayFolder="" measureGroup="product_sales_data__1" count="0" oneField="1">
      <fieldsUsage count="1">
        <fieldUsage x="3"/>
      </fieldsUsage>
    </cacheHierarchy>
    <cacheHierarchy uniqueName="[Measures].[Total Order YOY%]" caption="Total Order YOY%" measure="1" displayFolder="" measureGroup="product_sales_data__1" count="0" oneField="1">
      <fieldsUsage count="1">
        <fieldUsage x="4"/>
      </fieldsUsage>
    </cacheHierarchy>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ies>
  <kpis count="0"/>
  <dimensions count="2">
    <dimension measure="1" name="Measures" uniqueName="[Measures]" caption="Measures"/>
    <dimension name="product_sales_data__1" uniqueName="[product_sales_data__1]" caption="product_sales_data__1"/>
  </dimensions>
  <measureGroups count="1">
    <measureGroup name="product_sales_data__1" caption="product_sales_dat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47733449072" backgroundQuery="1" createdVersion="8" refreshedVersion="8" minRefreshableVersion="3" recordCount="0" supportSubquery="1" supportAdvancedDrill="1" xr:uid="{89A11C52-46D1-4657-917E-5A135F8EFB76}">
  <cacheSource type="external" connectionId="4"/>
  <cacheFields count="1">
    <cacheField name="[product_sales_data__1].[StoreLocation].[StoreLocation]" caption="StoreLocation" numFmtId="0" hierarchy="5" level="1">
      <sharedItems count="4">
        <s v="Store A"/>
        <s v="Store B"/>
        <s v="Store C"/>
        <s v="Store D"/>
      </sharedItems>
    </cacheField>
  </cacheFields>
  <cacheHierarchies count="38">
    <cacheHierarchy uniqueName="[product_sales_data__1].[Date]" caption="Date" attribute="1" defaultMemberUniqueName="[product_sales_data__1].[Date].[All]" allUniqueName="[product_sales_data__1].[Date].[All]" dimensionUniqueName="[product_sales_data__1]" displayFolder="" count="0" memberValueDatatype="130" unbalanced="0"/>
    <cacheHierarchy uniqueName="[product_sales_data__1].[Region]" caption="Region" attribute="1" defaultMemberUniqueName="[product_sales_data__1].[Region].[All]" allUniqueName="[product_sales_data__1].[Region].[All]" dimensionUniqueName="[product_sales_data__1]" displayFolder="" count="0" memberValueDatatype="130" unbalanced="0"/>
    <cacheHierarchy uniqueName="[product_sales_data__1].[Product]" caption="Product" attribute="1" defaultMemberUniqueName="[product_sales_data__1].[Product].[All]" allUniqueName="[product_sales_data__1].[Product].[All]" dimensionUniqueName="[product_sales_data__1]" displayFolder="" count="0" memberValueDatatype="130" unbalanced="0"/>
    <cacheHierarchy uniqueName="[product_sales_data__1].[Quantity]" caption="Quantity" attribute="1" defaultMemberUniqueName="[product_sales_data__1].[Quantity].[All]" allUniqueName="[product_sales_data__1].[Quantity].[All]" dimensionUniqueName="[product_sales_data__1]" displayFolder="" count="0"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0"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2" memberValueDatatype="130" unbalanced="0">
      <fieldsUsage count="2">
        <fieldUsage x="-1"/>
        <fieldUsage x="0"/>
      </fieldsUsage>
    </cacheHierarchy>
    <cacheHierarchy uniqueName="[product_sales_data__1].[CustomerType]" caption="CustomerType" attribute="1" defaultMemberUniqueName="[product_sales_data__1].[CustomerType].[All]" allUniqueName="[product_sales_data__1].[CustomerType].[All]" dimensionUniqueName="[product_sales_data__1]" displayFolder="" count="0" memberValueDatatype="130" unbalanced="0"/>
    <cacheHierarchy uniqueName="[product_sales_data__1].[Discount]" caption="Discount" attribute="1" defaultMemberUniqueName="[product_sales_data__1].[Discount].[All]" allUniqueName="[product_sales_data__1].[Discount].[All]" dimensionUniqueName="[product_sales_data__1]" displayFolder="" count="0"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0" memberValueDatatype="130" unbalanced="0"/>
    <cacheHierarchy uniqueName="[product_sales_data__1].[TotalPrice]" caption="TotalPrice" attribute="1" defaultMemberUniqueName="[product_sales_data__1].[TotalPrice].[All]" allUniqueName="[product_sales_data__1].[TotalPrice].[All]" dimensionUniqueName="[product_sales_data__1]" displayFolder="" count="0"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0" memberValueDatatype="130" unbalanced="0"/>
    <cacheHierarchy uniqueName="[product_sales_data__1].[Promotion]" caption="Promotion" attribute="1" defaultMemberUniqueName="[product_sales_data__1].[Promotion].[All]" allUniqueName="[product_sales_data__1].[Promotion].[All]" dimensionUniqueName="[product_sales_data__1]" displayFolder="" count="0"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0" memberValueDatatype="20" unbalanced="0"/>
    <cacheHierarchy uniqueName="[product_sales_data__1].[OrderID]" caption="OrderID" attribute="1" defaultMemberUniqueName="[product_sales_data__1].[OrderID].[All]" allUniqueName="[product_sales_data__1].[OrderID].[All]" dimensionUniqueName="[product_sales_data__1]" displayFolder="" count="0"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0"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0"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2"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0"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0" memberValueDatatype="130" unbalanced="0"/>
    <cacheHierarchy uniqueName="[product_sales_data__1].[Order Month]" caption="Order Month" attribute="1" defaultMemberUniqueName="[product_sales_data__1].[Order Month].[All]" allUniqueName="[product_sales_data__1].[Order Month].[All]" dimensionUniqueName="[product_sales_data__1]" displayFolder="" count="0" memberValueDatatype="130" unbalanced="0"/>
    <cacheHierarchy uniqueName="[product_sales_data__1].[Gross Revenue]" caption="Gross Revenue" attribute="1" defaultMemberUniqueName="[product_sales_data__1].[Gross Revenue].[All]" allUniqueName="[product_sales_data__1].[Gross Revenue].[All]" dimensionUniqueName="[product_sales_data__1]" displayFolder="" count="0"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0"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2" memberValueDatatype="130" unbalanced="0"/>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0"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0"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0" memberValueDatatype="20" unbalanced="0" hidden="1"/>
    <cacheHierarchy uniqueName="[Measures].[Revennue]" caption="Revennue" measure="1" displayFolder="" measureGroup="product_sales_data__1" count="0"/>
    <cacheHierarchy uniqueName="[Measures].[Total Orders]" caption="Total Orders" measure="1" displayFolder="" measureGroup="product_sales_data__1" count="0"/>
    <cacheHierarchy uniqueName="[Measures].[Total Discount offered]" caption="Total Discount offered" measure="1" displayFolder="" measureGroup="product_sales_data__1" count="0"/>
    <cacheHierarchy uniqueName="[Measures].[Total Returns]" caption="Total Returns" measure="1" displayFolder="" measureGroup="product_sales_data__1" count="0"/>
    <cacheHierarchy uniqueName="[Measures].[Average Order Value]" caption="Average Order Value" measure="1" displayFolder="" measureGroup="product_sales_data__1" count="0"/>
    <cacheHierarchy uniqueName="[Measures].[Revenue YOY%]" caption="Revenue YOY%" measure="1" displayFolder="" measureGroup="product_sales_data__1" count="0"/>
    <cacheHierarchy uniqueName="[Measures].[Average order value YOY%]" caption="Average order value YOY%" measure="1" displayFolder="" measureGroup="product_sales_data__1" count="0"/>
    <cacheHierarchy uniqueName="[Measures].[Total Discount YOY%]" caption="Total Discount YOY%" measure="1" displayFolder="" measureGroup="product_sales_data__1" count="0"/>
    <cacheHierarchy uniqueName="[Measures].[Total Return YOY%]" caption="Total Return YOY%" measure="1" displayFolder="" measureGroup="product_sales_data__1" count="0"/>
    <cacheHierarchy uniqueName="[Measures].[Total Order YOY%]" caption="Total Order YOY%" measure="1" displayFolder="" measureGroup="product_sales_data__1" count="0"/>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ies>
  <kpis count="0"/>
  <dimensions count="2">
    <dimension measure="1" name="Measures" uniqueName="[Measures]" caption="Measures"/>
    <dimension name="product_sales_data__1" uniqueName="[product_sales_data__1]" caption="product_sales_data__1"/>
  </dimensions>
  <measureGroups count="1">
    <measureGroup name="product_sales_data__1" caption="product_sales_dat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47739236114" backgroundQuery="1" createdVersion="8" refreshedVersion="8" minRefreshableVersion="3" recordCount="0" supportSubquery="1" supportAdvancedDrill="1" xr:uid="{45243C53-091E-4826-84E2-D7D1F039E732}">
  <cacheSource type="external" connectionId="4"/>
  <cacheFields count="2">
    <cacheField name="[product_sales_data__1].[OrderDate (Year)].[OrderDate (Year)]" caption="OrderDate (Year)" numFmtId="0" hierarchy="22" level="1">
      <sharedItems count="3">
        <s v="2023"/>
        <s v="2024"/>
        <s v="2025"/>
      </sharedItems>
    </cacheField>
    <cacheField name="[product_sales_data__1].[StoreLocation].[StoreLocation]" caption="StoreLocation" numFmtId="0" hierarchy="5" level="1">
      <sharedItems containsSemiMixedTypes="0" containsNonDate="0" containsString="0"/>
    </cacheField>
  </cacheFields>
  <cacheHierarchies count="38">
    <cacheHierarchy uniqueName="[product_sales_data__1].[Date]" caption="Date" attribute="1" defaultMemberUniqueName="[product_sales_data__1].[Date].[All]" allUniqueName="[product_sales_data__1].[Date].[All]" dimensionUniqueName="[product_sales_data__1]" displayFolder="" count="2" memberValueDatatype="130" unbalanced="0"/>
    <cacheHierarchy uniqueName="[product_sales_data__1].[Region]" caption="Region" attribute="1" defaultMemberUniqueName="[product_sales_data__1].[Region].[All]" allUniqueName="[product_sales_data__1].[Region].[All]" dimensionUniqueName="[product_sales_data__1]" displayFolder="" count="2" memberValueDatatype="130" unbalanced="0"/>
    <cacheHierarchy uniqueName="[product_sales_data__1].[Product]" caption="Product" attribute="1" defaultMemberUniqueName="[product_sales_data__1].[Product].[All]" allUniqueName="[product_sales_data__1].[Product].[All]" dimensionUniqueName="[product_sales_data__1]" displayFolder="" count="2" memberValueDatatype="130" unbalanced="0"/>
    <cacheHierarchy uniqueName="[product_sales_data__1].[Quantity]" caption="Quantity" attribute="1" defaultMemberUniqueName="[product_sales_data__1].[Quantity].[All]" allUniqueName="[product_sales_data__1].[Quantity].[All]" dimensionUniqueName="[product_sales_data__1]" displayFolder="" count="2"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2"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2" memberValueDatatype="130" unbalanced="0">
      <fieldsUsage count="2">
        <fieldUsage x="-1"/>
        <fieldUsage x="1"/>
      </fieldsUsage>
    </cacheHierarchy>
    <cacheHierarchy uniqueName="[product_sales_data__1].[CustomerType]" caption="CustomerType" attribute="1" defaultMemberUniqueName="[product_sales_data__1].[CustomerType].[All]" allUniqueName="[product_sales_data__1].[CustomerType].[All]" dimensionUniqueName="[product_sales_data__1]" displayFolder="" count="2" memberValueDatatype="130" unbalanced="0"/>
    <cacheHierarchy uniqueName="[product_sales_data__1].[Discount]" caption="Discount" attribute="1" defaultMemberUniqueName="[product_sales_data__1].[Discount].[All]" allUniqueName="[product_sales_data__1].[Discount].[All]" dimensionUniqueName="[product_sales_data__1]" displayFolder="" count="2"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2" memberValueDatatype="130" unbalanced="0"/>
    <cacheHierarchy uniqueName="[product_sales_data__1].[TotalPrice]" caption="TotalPrice" attribute="1" defaultMemberUniqueName="[product_sales_data__1].[TotalPrice].[All]" allUniqueName="[product_sales_data__1].[TotalPrice].[All]" dimensionUniqueName="[product_sales_data__1]" displayFolder="" count="2"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2" memberValueDatatype="130" unbalanced="0"/>
    <cacheHierarchy uniqueName="[product_sales_data__1].[Promotion]" caption="Promotion" attribute="1" defaultMemberUniqueName="[product_sales_data__1].[Promotion].[All]" allUniqueName="[product_sales_data__1].[Promotion].[All]" dimensionUniqueName="[product_sales_data__1]" displayFolder="" count="2"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2" memberValueDatatype="20" unbalanced="0"/>
    <cacheHierarchy uniqueName="[product_sales_data__1].[OrderID]" caption="OrderID" attribute="1" defaultMemberUniqueName="[product_sales_data__1].[OrderID].[All]" allUniqueName="[product_sales_data__1].[OrderID].[All]" dimensionUniqueName="[product_sales_data__1]" displayFolder="" count="2"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2"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2"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2"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2"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2" memberValueDatatype="130" unbalanced="0"/>
    <cacheHierarchy uniqueName="[product_sales_data__1].[Order Month]" caption="Order Month" attribute="1" defaultMemberUniqueName="[product_sales_data__1].[Order Month].[All]" allUniqueName="[product_sales_data__1].[Order Month].[All]" dimensionUniqueName="[product_sales_data__1]" displayFolder="" count="2" memberValueDatatype="130" unbalanced="0"/>
    <cacheHierarchy uniqueName="[product_sales_data__1].[Gross Revenue]" caption="Gross Revenue" attribute="1" defaultMemberUniqueName="[product_sales_data__1].[Gross Revenue].[All]" allUniqueName="[product_sales_data__1].[Gross Revenue].[All]" dimensionUniqueName="[product_sales_data__1]" displayFolder="" count="2"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2"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2" memberValueDatatype="130" unbalanced="0">
      <fieldsUsage count="2">
        <fieldUsage x="-1"/>
        <fieldUsage x="0"/>
      </fieldsUsage>
    </cacheHierarchy>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2"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2"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2" memberValueDatatype="20" unbalanced="0" hidden="1"/>
    <cacheHierarchy uniqueName="[Measures].[Revennue]" caption="Revennue" measure="1" displayFolder="" measureGroup="product_sales_data__1" count="0"/>
    <cacheHierarchy uniqueName="[Measures].[Total Orders]" caption="Total Orders" measure="1" displayFolder="" measureGroup="product_sales_data__1" count="0"/>
    <cacheHierarchy uniqueName="[Measures].[Total Discount offered]" caption="Total Discount offered" measure="1" displayFolder="" measureGroup="product_sales_data__1" count="0"/>
    <cacheHierarchy uniqueName="[Measures].[Total Returns]" caption="Total Returns" measure="1" displayFolder="" measureGroup="product_sales_data__1" count="0"/>
    <cacheHierarchy uniqueName="[Measures].[Average Order Value]" caption="Average Order Value" measure="1" displayFolder="" measureGroup="product_sales_data__1" count="0"/>
    <cacheHierarchy uniqueName="[Measures].[Revenue YOY%]" caption="Revenue YOY%" measure="1" displayFolder="" measureGroup="product_sales_data__1" count="0"/>
    <cacheHierarchy uniqueName="[Measures].[Average order value YOY%]" caption="Average order value YOY%" measure="1" displayFolder="" measureGroup="product_sales_data__1" count="0"/>
    <cacheHierarchy uniqueName="[Measures].[Total Discount YOY%]" caption="Total Discount YOY%" measure="1" displayFolder="" measureGroup="product_sales_data__1" count="0"/>
    <cacheHierarchy uniqueName="[Measures].[Total Return YOY%]" caption="Total Return YOY%" measure="1" displayFolder="" measureGroup="product_sales_data__1" count="0"/>
    <cacheHierarchy uniqueName="[Measures].[Total Order YOY%]" caption="Total Order YOY%" measure="1" displayFolder="" measureGroup="product_sales_data__1" count="0"/>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ies>
  <kpis count="0"/>
  <dimensions count="2">
    <dimension measure="1" name="Measures" uniqueName="[Measures]" caption="Measures"/>
    <dimension name="product_sales_data__1" uniqueName="[product_sales_data__1]" caption="product_sales_data__1"/>
  </dimensions>
  <measureGroups count="1">
    <measureGroup name="product_sales_data__1" caption="product_sales_dat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47745138887" backgroundQuery="1" createdVersion="8" refreshedVersion="8" minRefreshableVersion="3" recordCount="0" supportSubquery="1" supportAdvancedDrill="1" xr:uid="{B209A564-185F-44A7-A8B3-50F3EFE6D6E6}">
  <cacheSource type="external" connectionId="4"/>
  <cacheFields count="6">
    <cacheField name="[Measures].[Revennue]" caption="Revennue" numFmtId="0" hierarchy="26" level="32767"/>
    <cacheField name="[Measures].[Average Order Value]" caption="Average Order Value" numFmtId="0" hierarchy="30" level="32767"/>
    <cacheField name="[Measures].[Total Discount offered]" caption="Total Discount offered" numFmtId="0" hierarchy="28" level="32767"/>
    <cacheField name="[Measures].[Total Returns]" caption="Total Returns" numFmtId="0" hierarchy="29" level="32767"/>
    <cacheField name="[Measures].[Total Orders]" caption="Total Orders" numFmtId="0" hierarchy="27" level="32767"/>
    <cacheField name="[product_sales_data__1].[StoreLocation].[StoreLocation]" caption="StoreLocation" numFmtId="0" hierarchy="5" level="1">
      <sharedItems containsSemiMixedTypes="0" containsNonDate="0" containsString="0"/>
    </cacheField>
  </cacheFields>
  <cacheHierarchies count="38">
    <cacheHierarchy uniqueName="[product_sales_data__1].[Date]" caption="Date" attribute="1" defaultMemberUniqueName="[product_sales_data__1].[Date].[All]" allUniqueName="[product_sales_data__1].[Date].[All]" dimensionUniqueName="[product_sales_data__1]" displayFolder="" count="0" memberValueDatatype="130" unbalanced="0"/>
    <cacheHierarchy uniqueName="[product_sales_data__1].[Region]" caption="Region" attribute="1" defaultMemberUniqueName="[product_sales_data__1].[Region].[All]" allUniqueName="[product_sales_data__1].[Region].[All]" dimensionUniqueName="[product_sales_data__1]" displayFolder="" count="0" memberValueDatatype="130" unbalanced="0"/>
    <cacheHierarchy uniqueName="[product_sales_data__1].[Product]" caption="Product" attribute="1" defaultMemberUniqueName="[product_sales_data__1].[Product].[All]" allUniqueName="[product_sales_data__1].[Product].[All]" dimensionUniqueName="[product_sales_data__1]" displayFolder="" count="0" memberValueDatatype="130" unbalanced="0"/>
    <cacheHierarchy uniqueName="[product_sales_data__1].[Quantity]" caption="Quantity" attribute="1" defaultMemberUniqueName="[product_sales_data__1].[Quantity].[All]" allUniqueName="[product_sales_data__1].[Quantity].[All]" dimensionUniqueName="[product_sales_data__1]" displayFolder="" count="0"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0"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2" memberValueDatatype="130" unbalanced="0">
      <fieldsUsage count="2">
        <fieldUsage x="-1"/>
        <fieldUsage x="5"/>
      </fieldsUsage>
    </cacheHierarchy>
    <cacheHierarchy uniqueName="[product_sales_data__1].[CustomerType]" caption="CustomerType" attribute="1" defaultMemberUniqueName="[product_sales_data__1].[CustomerType].[All]" allUniqueName="[product_sales_data__1].[CustomerType].[All]" dimensionUniqueName="[product_sales_data__1]" displayFolder="" count="0" memberValueDatatype="130" unbalanced="0"/>
    <cacheHierarchy uniqueName="[product_sales_data__1].[Discount]" caption="Discount" attribute="1" defaultMemberUniqueName="[product_sales_data__1].[Discount].[All]" allUniqueName="[product_sales_data__1].[Discount].[All]" dimensionUniqueName="[product_sales_data__1]" displayFolder="" count="0"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0" memberValueDatatype="130" unbalanced="0"/>
    <cacheHierarchy uniqueName="[product_sales_data__1].[TotalPrice]" caption="TotalPrice" attribute="1" defaultMemberUniqueName="[product_sales_data__1].[TotalPrice].[All]" allUniqueName="[product_sales_data__1].[TotalPrice].[All]" dimensionUniqueName="[product_sales_data__1]" displayFolder="" count="0"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0" memberValueDatatype="130" unbalanced="0"/>
    <cacheHierarchy uniqueName="[product_sales_data__1].[Promotion]" caption="Promotion" attribute="1" defaultMemberUniqueName="[product_sales_data__1].[Promotion].[All]" allUniqueName="[product_sales_data__1].[Promotion].[All]" dimensionUniqueName="[product_sales_data__1]" displayFolder="" count="0"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0" memberValueDatatype="20" unbalanced="0"/>
    <cacheHierarchy uniqueName="[product_sales_data__1].[OrderID]" caption="OrderID" attribute="1" defaultMemberUniqueName="[product_sales_data__1].[OrderID].[All]" allUniqueName="[product_sales_data__1].[OrderID].[All]" dimensionUniqueName="[product_sales_data__1]" displayFolder="" count="0"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0"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0"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2"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0"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0" memberValueDatatype="130" unbalanced="0"/>
    <cacheHierarchy uniqueName="[product_sales_data__1].[Order Month]" caption="Order Month" attribute="1" defaultMemberUniqueName="[product_sales_data__1].[Order Month].[All]" allUniqueName="[product_sales_data__1].[Order Month].[All]" dimensionUniqueName="[product_sales_data__1]" displayFolder="" count="0" memberValueDatatype="130" unbalanced="0"/>
    <cacheHierarchy uniqueName="[product_sales_data__1].[Gross Revenue]" caption="Gross Revenue" attribute="1" defaultMemberUniqueName="[product_sales_data__1].[Gross Revenue].[All]" allUniqueName="[product_sales_data__1].[Gross Revenue].[All]" dimensionUniqueName="[product_sales_data__1]" displayFolder="" count="0"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0"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2" memberValueDatatype="130" unbalanced="0"/>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0"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0"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0" memberValueDatatype="20" unbalanced="0" hidden="1"/>
    <cacheHierarchy uniqueName="[Measures].[Revennue]" caption="Revennue" measure="1" displayFolder="" measureGroup="product_sales_data__1" count="0" oneField="1">
      <fieldsUsage count="1">
        <fieldUsage x="0"/>
      </fieldsUsage>
    </cacheHierarchy>
    <cacheHierarchy uniqueName="[Measures].[Total Orders]" caption="Total Orders" measure="1" displayFolder="" measureGroup="product_sales_data__1" count="0" oneField="1">
      <fieldsUsage count="1">
        <fieldUsage x="4"/>
      </fieldsUsage>
    </cacheHierarchy>
    <cacheHierarchy uniqueName="[Measures].[Total Discount offered]" caption="Total Discount offered" measure="1" displayFolder="" measureGroup="product_sales_data__1" count="0" oneField="1">
      <fieldsUsage count="1">
        <fieldUsage x="2"/>
      </fieldsUsage>
    </cacheHierarchy>
    <cacheHierarchy uniqueName="[Measures].[Total Returns]" caption="Total Returns" measure="1" displayFolder="" measureGroup="product_sales_data__1" count="0" oneField="1">
      <fieldsUsage count="1">
        <fieldUsage x="3"/>
      </fieldsUsage>
    </cacheHierarchy>
    <cacheHierarchy uniqueName="[Measures].[Average Order Value]" caption="Average Order Value" measure="1" displayFolder="" measureGroup="product_sales_data__1" count="0" oneField="1">
      <fieldsUsage count="1">
        <fieldUsage x="1"/>
      </fieldsUsage>
    </cacheHierarchy>
    <cacheHierarchy uniqueName="[Measures].[Revenue YOY%]" caption="Revenue YOY%" measure="1" displayFolder="" measureGroup="product_sales_data__1" count="0"/>
    <cacheHierarchy uniqueName="[Measures].[Average order value YOY%]" caption="Average order value YOY%" measure="1" displayFolder="" measureGroup="product_sales_data__1" count="0"/>
    <cacheHierarchy uniqueName="[Measures].[Total Discount YOY%]" caption="Total Discount YOY%" measure="1" displayFolder="" measureGroup="product_sales_data__1" count="0"/>
    <cacheHierarchy uniqueName="[Measures].[Total Return YOY%]" caption="Total Return YOY%" measure="1" displayFolder="" measureGroup="product_sales_data__1" count="0"/>
    <cacheHierarchy uniqueName="[Measures].[Total Order YOY%]" caption="Total Order YOY%" measure="1" displayFolder="" measureGroup="product_sales_data__1" count="0"/>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ies>
  <kpis count="0"/>
  <dimensions count="2">
    <dimension measure="1" name="Measures" uniqueName="[Measures]" caption="Measures"/>
    <dimension name="product_sales_data__1" uniqueName="[product_sales_data__1]" caption="product_sales_data__1"/>
  </dimensions>
  <measureGroups count="1">
    <measureGroup name="product_sales_data__1" caption="product_sales_dat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47751041668" backgroundQuery="1" createdVersion="8" refreshedVersion="8" minRefreshableVersion="3" recordCount="0" supportSubquery="1" supportAdvancedDrill="1" xr:uid="{84E0BE65-F1CD-4EA9-849E-9D0C1B060D7A}">
  <cacheSource type="external" connectionId="4"/>
  <cacheFields count="3">
    <cacheField name="[Measures].[Revennue]" caption="Revennue" numFmtId="0" hierarchy="26" level="32767"/>
    <cacheField name="[product_sales_data__1].[PaymentMethod].[PaymentMethod]" caption="PaymentMethod" numFmtId="0" hierarchy="10" level="1">
      <sharedItems count="5">
        <s v="Cash"/>
        <s v="Credit Card"/>
        <s v="Debit Card"/>
        <s v="Gift Card"/>
        <s v="Online"/>
      </sharedItems>
    </cacheField>
    <cacheField name="[product_sales_data__1].[StoreLocation].[StoreLocation]" caption="StoreLocation" numFmtId="0" hierarchy="5" level="1">
      <sharedItems containsSemiMixedTypes="0" containsNonDate="0" containsString="0"/>
    </cacheField>
  </cacheFields>
  <cacheHierarchies count="38">
    <cacheHierarchy uniqueName="[product_sales_data__1].[Date]" caption="Date" attribute="1" defaultMemberUniqueName="[product_sales_data__1].[Date].[All]" allUniqueName="[product_sales_data__1].[Date].[All]" dimensionUniqueName="[product_sales_data__1]" displayFolder="" count="0" memberValueDatatype="130" unbalanced="0"/>
    <cacheHierarchy uniqueName="[product_sales_data__1].[Region]" caption="Region" attribute="1" defaultMemberUniqueName="[product_sales_data__1].[Region].[All]" allUniqueName="[product_sales_data__1].[Region].[All]" dimensionUniqueName="[product_sales_data__1]" displayFolder="" count="0" memberValueDatatype="130" unbalanced="0"/>
    <cacheHierarchy uniqueName="[product_sales_data__1].[Product]" caption="Product" attribute="1" defaultMemberUniqueName="[product_sales_data__1].[Product].[All]" allUniqueName="[product_sales_data__1].[Product].[All]" dimensionUniqueName="[product_sales_data__1]" displayFolder="" count="0" memberValueDatatype="130" unbalanced="0"/>
    <cacheHierarchy uniqueName="[product_sales_data__1].[Quantity]" caption="Quantity" attribute="1" defaultMemberUniqueName="[product_sales_data__1].[Quantity].[All]" allUniqueName="[product_sales_data__1].[Quantity].[All]" dimensionUniqueName="[product_sales_data__1]" displayFolder="" count="0"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0"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2" memberValueDatatype="130" unbalanced="0">
      <fieldsUsage count="2">
        <fieldUsage x="-1"/>
        <fieldUsage x="2"/>
      </fieldsUsage>
    </cacheHierarchy>
    <cacheHierarchy uniqueName="[product_sales_data__1].[CustomerType]" caption="CustomerType" attribute="1" defaultMemberUniqueName="[product_sales_data__1].[CustomerType].[All]" allUniqueName="[product_sales_data__1].[CustomerType].[All]" dimensionUniqueName="[product_sales_data__1]" displayFolder="" count="0" memberValueDatatype="130" unbalanced="0"/>
    <cacheHierarchy uniqueName="[product_sales_data__1].[Discount]" caption="Discount" attribute="1" defaultMemberUniqueName="[product_sales_data__1].[Discount].[All]" allUniqueName="[product_sales_data__1].[Discount].[All]" dimensionUniqueName="[product_sales_data__1]" displayFolder="" count="0"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0" memberValueDatatype="130" unbalanced="0"/>
    <cacheHierarchy uniqueName="[product_sales_data__1].[TotalPrice]" caption="TotalPrice" attribute="1" defaultMemberUniqueName="[product_sales_data__1].[TotalPrice].[All]" allUniqueName="[product_sales_data__1].[TotalPrice].[All]" dimensionUniqueName="[product_sales_data__1]" displayFolder="" count="0"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2" memberValueDatatype="130" unbalanced="0">
      <fieldsUsage count="2">
        <fieldUsage x="-1"/>
        <fieldUsage x="1"/>
      </fieldsUsage>
    </cacheHierarchy>
    <cacheHierarchy uniqueName="[product_sales_data__1].[Promotion]" caption="Promotion" attribute="1" defaultMemberUniqueName="[product_sales_data__1].[Promotion].[All]" allUniqueName="[product_sales_data__1].[Promotion].[All]" dimensionUniqueName="[product_sales_data__1]" displayFolder="" count="0"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0" memberValueDatatype="20" unbalanced="0"/>
    <cacheHierarchy uniqueName="[product_sales_data__1].[OrderID]" caption="OrderID" attribute="1" defaultMemberUniqueName="[product_sales_data__1].[OrderID].[All]" allUniqueName="[product_sales_data__1].[OrderID].[All]" dimensionUniqueName="[product_sales_data__1]" displayFolder="" count="0"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0"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0"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2"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0"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0" memberValueDatatype="130" unbalanced="0"/>
    <cacheHierarchy uniqueName="[product_sales_data__1].[Order Month]" caption="Order Month" attribute="1" defaultMemberUniqueName="[product_sales_data__1].[Order Month].[All]" allUniqueName="[product_sales_data__1].[Order Month].[All]" dimensionUniqueName="[product_sales_data__1]" displayFolder="" count="0" memberValueDatatype="130" unbalanced="0"/>
    <cacheHierarchy uniqueName="[product_sales_data__1].[Gross Revenue]" caption="Gross Revenue" attribute="1" defaultMemberUniqueName="[product_sales_data__1].[Gross Revenue].[All]" allUniqueName="[product_sales_data__1].[Gross Revenue].[All]" dimensionUniqueName="[product_sales_data__1]" displayFolder="" count="0"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0"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2" memberValueDatatype="130" unbalanced="0"/>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0"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0"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0" memberValueDatatype="20" unbalanced="0" hidden="1"/>
    <cacheHierarchy uniqueName="[Measures].[Revennue]" caption="Revennue" measure="1" displayFolder="" measureGroup="product_sales_data__1" count="0" oneField="1">
      <fieldsUsage count="1">
        <fieldUsage x="0"/>
      </fieldsUsage>
    </cacheHierarchy>
    <cacheHierarchy uniqueName="[Measures].[Total Orders]" caption="Total Orders" measure="1" displayFolder="" measureGroup="product_sales_data__1" count="0"/>
    <cacheHierarchy uniqueName="[Measures].[Total Discount offered]" caption="Total Discount offered" measure="1" displayFolder="" measureGroup="product_sales_data__1" count="0"/>
    <cacheHierarchy uniqueName="[Measures].[Total Returns]" caption="Total Returns" measure="1" displayFolder="" measureGroup="product_sales_data__1" count="0"/>
    <cacheHierarchy uniqueName="[Measures].[Average Order Value]" caption="Average Order Value" measure="1" displayFolder="" measureGroup="product_sales_data__1" count="0"/>
    <cacheHierarchy uniqueName="[Measures].[Revenue YOY%]" caption="Revenue YOY%" measure="1" displayFolder="" measureGroup="product_sales_data__1" count="0"/>
    <cacheHierarchy uniqueName="[Measures].[Average order value YOY%]" caption="Average order value YOY%" measure="1" displayFolder="" measureGroup="product_sales_data__1" count="0"/>
    <cacheHierarchy uniqueName="[Measures].[Total Discount YOY%]" caption="Total Discount YOY%" measure="1" displayFolder="" measureGroup="product_sales_data__1" count="0"/>
    <cacheHierarchy uniqueName="[Measures].[Total Return YOY%]" caption="Total Return YOY%" measure="1" displayFolder="" measureGroup="product_sales_data__1" count="0"/>
    <cacheHierarchy uniqueName="[Measures].[Total Order YOY%]" caption="Total Order YOY%" measure="1" displayFolder="" measureGroup="product_sales_data__1" count="0"/>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ies>
  <kpis count="0"/>
  <dimensions count="2">
    <dimension measure="1" name="Measures" uniqueName="[Measures]" caption="Measures"/>
    <dimension name="product_sales_data__1" uniqueName="[product_sales_data__1]" caption="product_sales_data__1"/>
  </dimensions>
  <measureGroups count="1">
    <measureGroup name="product_sales_data__1" caption="product_sales_dat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47757060187" backgroundQuery="1" createdVersion="8" refreshedVersion="8" minRefreshableVersion="3" recordCount="0" supportSubquery="1" supportAdvancedDrill="1" xr:uid="{18F7C667-8555-4DC8-A60A-284AF9EED846}">
  <cacheSource type="external" connectionId="4"/>
  <cacheFields count="3">
    <cacheField name="[Measures].[Revennue]" caption="Revennue" numFmtId="0" hierarchy="26" level="32767"/>
    <cacheField name="[product_sales_data__1].[Region].[Region]" caption="Region" numFmtId="0" hierarchy="1" level="1">
      <sharedItems count="5">
        <s v="Central"/>
        <s v="East"/>
        <s v="North"/>
        <s v="South"/>
        <s v="West"/>
      </sharedItems>
    </cacheField>
    <cacheField name="[product_sales_data__1].[StoreLocation].[StoreLocation]" caption="StoreLocation" numFmtId="0" hierarchy="5" level="1">
      <sharedItems containsSemiMixedTypes="0" containsNonDate="0" containsString="0"/>
    </cacheField>
  </cacheFields>
  <cacheHierarchies count="38">
    <cacheHierarchy uniqueName="[product_sales_data__1].[Date]" caption="Date" attribute="1" defaultMemberUniqueName="[product_sales_data__1].[Date].[All]" allUniqueName="[product_sales_data__1].[Date].[All]" dimensionUniqueName="[product_sales_data__1]" displayFolder="" count="0" memberValueDatatype="130" unbalanced="0"/>
    <cacheHierarchy uniqueName="[product_sales_data__1].[Region]" caption="Region" attribute="1" defaultMemberUniqueName="[product_sales_data__1].[Region].[All]" allUniqueName="[product_sales_data__1].[Region].[All]" dimensionUniqueName="[product_sales_data__1]" displayFolder="" count="2" memberValueDatatype="130" unbalanced="0">
      <fieldsUsage count="2">
        <fieldUsage x="-1"/>
        <fieldUsage x="1"/>
      </fieldsUsage>
    </cacheHierarchy>
    <cacheHierarchy uniqueName="[product_sales_data__1].[Product]" caption="Product" attribute="1" defaultMemberUniqueName="[product_sales_data__1].[Product].[All]" allUniqueName="[product_sales_data__1].[Product].[All]" dimensionUniqueName="[product_sales_data__1]" displayFolder="" count="0" memberValueDatatype="130" unbalanced="0"/>
    <cacheHierarchy uniqueName="[product_sales_data__1].[Quantity]" caption="Quantity" attribute="1" defaultMemberUniqueName="[product_sales_data__1].[Quantity].[All]" allUniqueName="[product_sales_data__1].[Quantity].[All]" dimensionUniqueName="[product_sales_data__1]" displayFolder="" count="0"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0"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2" memberValueDatatype="130" unbalanced="0">
      <fieldsUsage count="2">
        <fieldUsage x="-1"/>
        <fieldUsage x="2"/>
      </fieldsUsage>
    </cacheHierarchy>
    <cacheHierarchy uniqueName="[product_sales_data__1].[CustomerType]" caption="CustomerType" attribute="1" defaultMemberUniqueName="[product_sales_data__1].[CustomerType].[All]" allUniqueName="[product_sales_data__1].[CustomerType].[All]" dimensionUniqueName="[product_sales_data__1]" displayFolder="" count="0" memberValueDatatype="130" unbalanced="0"/>
    <cacheHierarchy uniqueName="[product_sales_data__1].[Discount]" caption="Discount" attribute="1" defaultMemberUniqueName="[product_sales_data__1].[Discount].[All]" allUniqueName="[product_sales_data__1].[Discount].[All]" dimensionUniqueName="[product_sales_data__1]" displayFolder="" count="0"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0" memberValueDatatype="130" unbalanced="0"/>
    <cacheHierarchy uniqueName="[product_sales_data__1].[TotalPrice]" caption="TotalPrice" attribute="1" defaultMemberUniqueName="[product_sales_data__1].[TotalPrice].[All]" allUniqueName="[product_sales_data__1].[TotalPrice].[All]" dimensionUniqueName="[product_sales_data__1]" displayFolder="" count="0"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0" memberValueDatatype="130" unbalanced="0"/>
    <cacheHierarchy uniqueName="[product_sales_data__1].[Promotion]" caption="Promotion" attribute="1" defaultMemberUniqueName="[product_sales_data__1].[Promotion].[All]" allUniqueName="[product_sales_data__1].[Promotion].[All]" dimensionUniqueName="[product_sales_data__1]" displayFolder="" count="0"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0" memberValueDatatype="20" unbalanced="0"/>
    <cacheHierarchy uniqueName="[product_sales_data__1].[OrderID]" caption="OrderID" attribute="1" defaultMemberUniqueName="[product_sales_data__1].[OrderID].[All]" allUniqueName="[product_sales_data__1].[OrderID].[All]" dimensionUniqueName="[product_sales_data__1]" displayFolder="" count="0"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0"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0"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2"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0"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0" memberValueDatatype="130" unbalanced="0"/>
    <cacheHierarchy uniqueName="[product_sales_data__1].[Order Month]" caption="Order Month" attribute="1" defaultMemberUniqueName="[product_sales_data__1].[Order Month].[All]" allUniqueName="[product_sales_data__1].[Order Month].[All]" dimensionUniqueName="[product_sales_data__1]" displayFolder="" count="0" memberValueDatatype="130" unbalanced="0"/>
    <cacheHierarchy uniqueName="[product_sales_data__1].[Gross Revenue]" caption="Gross Revenue" attribute="1" defaultMemberUniqueName="[product_sales_data__1].[Gross Revenue].[All]" allUniqueName="[product_sales_data__1].[Gross Revenue].[All]" dimensionUniqueName="[product_sales_data__1]" displayFolder="" count="0"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0"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2" memberValueDatatype="130" unbalanced="0"/>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0"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0"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0" memberValueDatatype="20" unbalanced="0" hidden="1"/>
    <cacheHierarchy uniqueName="[Measures].[Revennue]" caption="Revennue" measure="1" displayFolder="" measureGroup="product_sales_data__1" count="0" oneField="1">
      <fieldsUsage count="1">
        <fieldUsage x="0"/>
      </fieldsUsage>
    </cacheHierarchy>
    <cacheHierarchy uniqueName="[Measures].[Total Orders]" caption="Total Orders" measure="1" displayFolder="" measureGroup="product_sales_data__1" count="0"/>
    <cacheHierarchy uniqueName="[Measures].[Total Discount offered]" caption="Total Discount offered" measure="1" displayFolder="" measureGroup="product_sales_data__1" count="0"/>
    <cacheHierarchy uniqueName="[Measures].[Total Returns]" caption="Total Returns" measure="1" displayFolder="" measureGroup="product_sales_data__1" count="0"/>
    <cacheHierarchy uniqueName="[Measures].[Average Order Value]" caption="Average Order Value" measure="1" displayFolder="" measureGroup="product_sales_data__1" count="0"/>
    <cacheHierarchy uniqueName="[Measures].[Revenue YOY%]" caption="Revenue YOY%" measure="1" displayFolder="" measureGroup="product_sales_data__1" count="0"/>
    <cacheHierarchy uniqueName="[Measures].[Average order value YOY%]" caption="Average order value YOY%" measure="1" displayFolder="" measureGroup="product_sales_data__1" count="0"/>
    <cacheHierarchy uniqueName="[Measures].[Total Discount YOY%]" caption="Total Discount YOY%" measure="1" displayFolder="" measureGroup="product_sales_data__1" count="0"/>
    <cacheHierarchy uniqueName="[Measures].[Total Return YOY%]" caption="Total Return YOY%" measure="1" displayFolder="" measureGroup="product_sales_data__1" count="0"/>
    <cacheHierarchy uniqueName="[Measures].[Total Order YOY%]" caption="Total Order YOY%" measure="1" displayFolder="" measureGroup="product_sales_data__1" count="0"/>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ies>
  <kpis count="0"/>
  <dimensions count="2">
    <dimension measure="1" name="Measures" uniqueName="[Measures]" caption="Measures"/>
    <dimension name="product_sales_data__1" uniqueName="[product_sales_data__1]" caption="product_sales_data__1"/>
  </dimensions>
  <measureGroups count="1">
    <measureGroup name="product_sales_data__1" caption="product_sales_dat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47763773146" backgroundQuery="1" createdVersion="8" refreshedVersion="8" minRefreshableVersion="3" recordCount="0" supportSubquery="1" supportAdvancedDrill="1" xr:uid="{C38B59AD-E518-4715-95CA-BC40A48F0006}">
  <cacheSource type="external" connectionId="4"/>
  <cacheFields count="3">
    <cacheField name="[Measures].[Revennue]" caption="Revennue" numFmtId="0" hierarchy="26" level="32767"/>
    <cacheField name="[product_sales_data__1].[Salesperson].[Salesperson]" caption="Salesperson" numFmtId="0" hierarchy="8" level="1">
      <sharedItems count="6">
        <s v="Alice"/>
        <s v="Bob"/>
        <s v="Carlos"/>
        <s v="Diana"/>
        <s v="Eva"/>
        <s v="Frank"/>
      </sharedItems>
    </cacheField>
    <cacheField name="[product_sales_data__1].[StoreLocation].[StoreLocation]" caption="StoreLocation" numFmtId="0" hierarchy="5" level="1">
      <sharedItems containsSemiMixedTypes="0" containsNonDate="0" containsString="0"/>
    </cacheField>
  </cacheFields>
  <cacheHierarchies count="38">
    <cacheHierarchy uniqueName="[product_sales_data__1].[Date]" caption="Date" attribute="1" defaultMemberUniqueName="[product_sales_data__1].[Date].[All]" allUniqueName="[product_sales_data__1].[Date].[All]" dimensionUniqueName="[product_sales_data__1]" displayFolder="" count="0" memberValueDatatype="130" unbalanced="0"/>
    <cacheHierarchy uniqueName="[product_sales_data__1].[Region]" caption="Region" attribute="1" defaultMemberUniqueName="[product_sales_data__1].[Region].[All]" allUniqueName="[product_sales_data__1].[Region].[All]" dimensionUniqueName="[product_sales_data__1]" displayFolder="" count="0" memberValueDatatype="130" unbalanced="0"/>
    <cacheHierarchy uniqueName="[product_sales_data__1].[Product]" caption="Product" attribute="1" defaultMemberUniqueName="[product_sales_data__1].[Product].[All]" allUniqueName="[product_sales_data__1].[Product].[All]" dimensionUniqueName="[product_sales_data__1]" displayFolder="" count="0" memberValueDatatype="130" unbalanced="0"/>
    <cacheHierarchy uniqueName="[product_sales_data__1].[Quantity]" caption="Quantity" attribute="1" defaultMemberUniqueName="[product_sales_data__1].[Quantity].[All]" allUniqueName="[product_sales_data__1].[Quantity].[All]" dimensionUniqueName="[product_sales_data__1]" displayFolder="" count="0"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0"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2" memberValueDatatype="130" unbalanced="0">
      <fieldsUsage count="2">
        <fieldUsage x="-1"/>
        <fieldUsage x="2"/>
      </fieldsUsage>
    </cacheHierarchy>
    <cacheHierarchy uniqueName="[product_sales_data__1].[CustomerType]" caption="CustomerType" attribute="1" defaultMemberUniqueName="[product_sales_data__1].[CustomerType].[All]" allUniqueName="[product_sales_data__1].[CustomerType].[All]" dimensionUniqueName="[product_sales_data__1]" displayFolder="" count="0" memberValueDatatype="130" unbalanced="0"/>
    <cacheHierarchy uniqueName="[product_sales_data__1].[Discount]" caption="Discount" attribute="1" defaultMemberUniqueName="[product_sales_data__1].[Discount].[All]" allUniqueName="[product_sales_data__1].[Discount].[All]" dimensionUniqueName="[product_sales_data__1]" displayFolder="" count="0"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2" memberValueDatatype="130" unbalanced="0">
      <fieldsUsage count="2">
        <fieldUsage x="-1"/>
        <fieldUsage x="1"/>
      </fieldsUsage>
    </cacheHierarchy>
    <cacheHierarchy uniqueName="[product_sales_data__1].[TotalPrice]" caption="TotalPrice" attribute="1" defaultMemberUniqueName="[product_sales_data__1].[TotalPrice].[All]" allUniqueName="[product_sales_data__1].[TotalPrice].[All]" dimensionUniqueName="[product_sales_data__1]" displayFolder="" count="0"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0" memberValueDatatype="130" unbalanced="0"/>
    <cacheHierarchy uniqueName="[product_sales_data__1].[Promotion]" caption="Promotion" attribute="1" defaultMemberUniqueName="[product_sales_data__1].[Promotion].[All]" allUniqueName="[product_sales_data__1].[Promotion].[All]" dimensionUniqueName="[product_sales_data__1]" displayFolder="" count="0"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0" memberValueDatatype="20" unbalanced="0"/>
    <cacheHierarchy uniqueName="[product_sales_data__1].[OrderID]" caption="OrderID" attribute="1" defaultMemberUniqueName="[product_sales_data__1].[OrderID].[All]" allUniqueName="[product_sales_data__1].[OrderID].[All]" dimensionUniqueName="[product_sales_data__1]" displayFolder="" count="0"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0"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0"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2"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0"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0" memberValueDatatype="130" unbalanced="0"/>
    <cacheHierarchy uniqueName="[product_sales_data__1].[Order Month]" caption="Order Month" attribute="1" defaultMemberUniqueName="[product_sales_data__1].[Order Month].[All]" allUniqueName="[product_sales_data__1].[Order Month].[All]" dimensionUniqueName="[product_sales_data__1]" displayFolder="" count="0" memberValueDatatype="130" unbalanced="0"/>
    <cacheHierarchy uniqueName="[product_sales_data__1].[Gross Revenue]" caption="Gross Revenue" attribute="1" defaultMemberUniqueName="[product_sales_data__1].[Gross Revenue].[All]" allUniqueName="[product_sales_data__1].[Gross Revenue].[All]" dimensionUniqueName="[product_sales_data__1]" displayFolder="" count="0"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0"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2" memberValueDatatype="130" unbalanced="0"/>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0"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0"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0" memberValueDatatype="20" unbalanced="0" hidden="1"/>
    <cacheHierarchy uniqueName="[Measures].[Revennue]" caption="Revennue" measure="1" displayFolder="" measureGroup="product_sales_data__1" count="0" oneField="1">
      <fieldsUsage count="1">
        <fieldUsage x="0"/>
      </fieldsUsage>
    </cacheHierarchy>
    <cacheHierarchy uniqueName="[Measures].[Total Orders]" caption="Total Orders" measure="1" displayFolder="" measureGroup="product_sales_data__1" count="0"/>
    <cacheHierarchy uniqueName="[Measures].[Total Discount offered]" caption="Total Discount offered" measure="1" displayFolder="" measureGroup="product_sales_data__1" count="0"/>
    <cacheHierarchy uniqueName="[Measures].[Total Returns]" caption="Total Returns" measure="1" displayFolder="" measureGroup="product_sales_data__1" count="0"/>
    <cacheHierarchy uniqueName="[Measures].[Average Order Value]" caption="Average Order Value" measure="1" displayFolder="" measureGroup="product_sales_data__1" count="0"/>
    <cacheHierarchy uniqueName="[Measures].[Revenue YOY%]" caption="Revenue YOY%" measure="1" displayFolder="" measureGroup="product_sales_data__1" count="0"/>
    <cacheHierarchy uniqueName="[Measures].[Average order value YOY%]" caption="Average order value YOY%" measure="1" displayFolder="" measureGroup="product_sales_data__1" count="0"/>
    <cacheHierarchy uniqueName="[Measures].[Total Discount YOY%]" caption="Total Discount YOY%" measure="1" displayFolder="" measureGroup="product_sales_data__1" count="0"/>
    <cacheHierarchy uniqueName="[Measures].[Total Return YOY%]" caption="Total Return YOY%" measure="1" displayFolder="" measureGroup="product_sales_data__1" count="0"/>
    <cacheHierarchy uniqueName="[Measures].[Total Order YOY%]" caption="Total Order YOY%" measure="1" displayFolder="" measureGroup="product_sales_data__1" count="0"/>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ies>
  <kpis count="0"/>
  <dimensions count="2">
    <dimension measure="1" name="Measures" uniqueName="[Measures]" caption="Measures"/>
    <dimension name="product_sales_data__1" uniqueName="[product_sales_data__1]" caption="product_sales_data__1"/>
  </dimensions>
  <measureGroups count="1">
    <measureGroup name="product_sales_data__1" caption="product_sales_dat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47771180558" backgroundQuery="1" createdVersion="8" refreshedVersion="8" minRefreshableVersion="3" recordCount="0" supportSubquery="1" supportAdvancedDrill="1" xr:uid="{7157F325-0D2E-4690-9906-FA480B0329A9}">
  <cacheSource type="external" connectionId="4"/>
  <cacheFields count="3">
    <cacheField name="[Measures].[Revennue]" caption="Revennue" numFmtId="0" hierarchy="26" level="32767"/>
    <cacheField name="[product_sales_data__1].[RegionManager].[RegionManager]" caption="RegionManager" numFmtId="0" hierarchy="18" level="1">
      <sharedItems count="5">
        <s v="Cameron"/>
        <s v="Eric"/>
        <s v="Ryan"/>
        <s v="Sophie"/>
        <s v="Wendy"/>
      </sharedItems>
    </cacheField>
    <cacheField name="[product_sales_data__1].[StoreLocation].[StoreLocation]" caption="StoreLocation" numFmtId="0" hierarchy="5" level="1">
      <sharedItems containsSemiMixedTypes="0" containsNonDate="0" containsString="0"/>
    </cacheField>
  </cacheFields>
  <cacheHierarchies count="38">
    <cacheHierarchy uniqueName="[product_sales_data__1].[Date]" caption="Date" attribute="1" defaultMemberUniqueName="[product_sales_data__1].[Date].[All]" allUniqueName="[product_sales_data__1].[Date].[All]" dimensionUniqueName="[product_sales_data__1]" displayFolder="" count="0" memberValueDatatype="130" unbalanced="0"/>
    <cacheHierarchy uniqueName="[product_sales_data__1].[Region]" caption="Region" attribute="1" defaultMemberUniqueName="[product_sales_data__1].[Region].[All]" allUniqueName="[product_sales_data__1].[Region].[All]" dimensionUniqueName="[product_sales_data__1]" displayFolder="" count="0" memberValueDatatype="130" unbalanced="0"/>
    <cacheHierarchy uniqueName="[product_sales_data__1].[Product]" caption="Product" attribute="1" defaultMemberUniqueName="[product_sales_data__1].[Product].[All]" allUniqueName="[product_sales_data__1].[Product].[All]" dimensionUniqueName="[product_sales_data__1]" displayFolder="" count="0" memberValueDatatype="130" unbalanced="0"/>
    <cacheHierarchy uniqueName="[product_sales_data__1].[Quantity]" caption="Quantity" attribute="1" defaultMemberUniqueName="[product_sales_data__1].[Quantity].[All]" allUniqueName="[product_sales_data__1].[Quantity].[All]" dimensionUniqueName="[product_sales_data__1]" displayFolder="" count="0"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0"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2" memberValueDatatype="130" unbalanced="0">
      <fieldsUsage count="2">
        <fieldUsage x="-1"/>
        <fieldUsage x="2"/>
      </fieldsUsage>
    </cacheHierarchy>
    <cacheHierarchy uniqueName="[product_sales_data__1].[CustomerType]" caption="CustomerType" attribute="1" defaultMemberUniqueName="[product_sales_data__1].[CustomerType].[All]" allUniqueName="[product_sales_data__1].[CustomerType].[All]" dimensionUniqueName="[product_sales_data__1]" displayFolder="" count="0" memberValueDatatype="130" unbalanced="0"/>
    <cacheHierarchy uniqueName="[product_sales_data__1].[Discount]" caption="Discount" attribute="1" defaultMemberUniqueName="[product_sales_data__1].[Discount].[All]" allUniqueName="[product_sales_data__1].[Discount].[All]" dimensionUniqueName="[product_sales_data__1]" displayFolder="" count="0"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0" memberValueDatatype="130" unbalanced="0"/>
    <cacheHierarchy uniqueName="[product_sales_data__1].[TotalPrice]" caption="TotalPrice" attribute="1" defaultMemberUniqueName="[product_sales_data__1].[TotalPrice].[All]" allUniqueName="[product_sales_data__1].[TotalPrice].[All]" dimensionUniqueName="[product_sales_data__1]" displayFolder="" count="0"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0" memberValueDatatype="130" unbalanced="0"/>
    <cacheHierarchy uniqueName="[product_sales_data__1].[Promotion]" caption="Promotion" attribute="1" defaultMemberUniqueName="[product_sales_data__1].[Promotion].[All]" allUniqueName="[product_sales_data__1].[Promotion].[All]" dimensionUniqueName="[product_sales_data__1]" displayFolder="" count="0"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0" memberValueDatatype="20" unbalanced="0"/>
    <cacheHierarchy uniqueName="[product_sales_data__1].[OrderID]" caption="OrderID" attribute="1" defaultMemberUniqueName="[product_sales_data__1].[OrderID].[All]" allUniqueName="[product_sales_data__1].[OrderID].[All]" dimensionUniqueName="[product_sales_data__1]" displayFolder="" count="0"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0"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0"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2"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0"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2" memberValueDatatype="130" unbalanced="0">
      <fieldsUsage count="2">
        <fieldUsage x="-1"/>
        <fieldUsage x="1"/>
      </fieldsUsage>
    </cacheHierarchy>
    <cacheHierarchy uniqueName="[product_sales_data__1].[Order Month]" caption="Order Month" attribute="1" defaultMemberUniqueName="[product_sales_data__1].[Order Month].[All]" allUniqueName="[product_sales_data__1].[Order Month].[All]" dimensionUniqueName="[product_sales_data__1]" displayFolder="" count="0" memberValueDatatype="130" unbalanced="0"/>
    <cacheHierarchy uniqueName="[product_sales_data__1].[Gross Revenue]" caption="Gross Revenue" attribute="1" defaultMemberUniqueName="[product_sales_data__1].[Gross Revenue].[All]" allUniqueName="[product_sales_data__1].[Gross Revenue].[All]" dimensionUniqueName="[product_sales_data__1]" displayFolder="" count="0"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0"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2" memberValueDatatype="130" unbalanced="0"/>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0"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0"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0" memberValueDatatype="20" unbalanced="0" hidden="1"/>
    <cacheHierarchy uniqueName="[Measures].[Revennue]" caption="Revennue" measure="1" displayFolder="" measureGroup="product_sales_data__1" count="0" oneField="1">
      <fieldsUsage count="1">
        <fieldUsage x="0"/>
      </fieldsUsage>
    </cacheHierarchy>
    <cacheHierarchy uniqueName="[Measures].[Total Orders]" caption="Total Orders" measure="1" displayFolder="" measureGroup="product_sales_data__1" count="0"/>
    <cacheHierarchy uniqueName="[Measures].[Total Discount offered]" caption="Total Discount offered" measure="1" displayFolder="" measureGroup="product_sales_data__1" count="0"/>
    <cacheHierarchy uniqueName="[Measures].[Total Returns]" caption="Total Returns" measure="1" displayFolder="" measureGroup="product_sales_data__1" count="0"/>
    <cacheHierarchy uniqueName="[Measures].[Average Order Value]" caption="Average Order Value" measure="1" displayFolder="" measureGroup="product_sales_data__1" count="0"/>
    <cacheHierarchy uniqueName="[Measures].[Revenue YOY%]" caption="Revenue YOY%" measure="1" displayFolder="" measureGroup="product_sales_data__1" count="0"/>
    <cacheHierarchy uniqueName="[Measures].[Average order value YOY%]" caption="Average order value YOY%" measure="1" displayFolder="" measureGroup="product_sales_data__1" count="0"/>
    <cacheHierarchy uniqueName="[Measures].[Total Discount YOY%]" caption="Total Discount YOY%" measure="1" displayFolder="" measureGroup="product_sales_data__1" count="0"/>
    <cacheHierarchy uniqueName="[Measures].[Total Return YOY%]" caption="Total Return YOY%" measure="1" displayFolder="" measureGroup="product_sales_data__1" count="0"/>
    <cacheHierarchy uniqueName="[Measures].[Total Order YOY%]" caption="Total Order YOY%" measure="1" displayFolder="" measureGroup="product_sales_data__1" count="0"/>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ies>
  <kpis count="0"/>
  <dimensions count="2">
    <dimension measure="1" name="Measures" uniqueName="[Measures]" caption="Measures"/>
    <dimension name="product_sales_data__1" uniqueName="[product_sales_data__1]" caption="product_sales_data__1"/>
  </dimensions>
  <measureGroups count="1">
    <measureGroup name="product_sales_data__1" caption="product_sales_dat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47781134257" backgroundQuery="1" createdVersion="8" refreshedVersion="8" minRefreshableVersion="3" recordCount="0" supportSubquery="1" supportAdvancedDrill="1" xr:uid="{6D042432-BCDD-45E4-BBD7-AFDC5B56EF96}">
  <cacheSource type="external" connectionId="4"/>
  <cacheFields count="3">
    <cacheField name="[Measures].[Revennue]" caption="Revennue" numFmtId="0" hierarchy="26" level="32767"/>
    <cacheField name="[product_sales_data__1].[Order Month].[Order Month]" caption="Order Month" numFmtId="0" hierarchy="19" level="1">
      <sharedItems count="12">
        <s v="Apr"/>
        <s v="Aug"/>
        <s v="Dec"/>
        <s v="Feb"/>
        <s v="Jan"/>
        <s v="Jul"/>
        <s v="Jun"/>
        <s v="Mar"/>
        <s v="May"/>
        <s v="Nov"/>
        <s v="Oct"/>
        <s v="Sep"/>
      </sharedItems>
    </cacheField>
    <cacheField name="[product_sales_data__1].[StoreLocation].[StoreLocation]" caption="StoreLocation" numFmtId="0" hierarchy="5" level="1">
      <sharedItems containsSemiMixedTypes="0" containsNonDate="0" containsString="0"/>
    </cacheField>
  </cacheFields>
  <cacheHierarchies count="38">
    <cacheHierarchy uniqueName="[product_sales_data__1].[Date]" caption="Date" attribute="1" defaultMemberUniqueName="[product_sales_data__1].[Date].[All]" allUniqueName="[product_sales_data__1].[Date].[All]" dimensionUniqueName="[product_sales_data__1]" displayFolder="" count="0" memberValueDatatype="130" unbalanced="0"/>
    <cacheHierarchy uniqueName="[product_sales_data__1].[Region]" caption="Region" attribute="1" defaultMemberUniqueName="[product_sales_data__1].[Region].[All]" allUniqueName="[product_sales_data__1].[Region].[All]" dimensionUniqueName="[product_sales_data__1]" displayFolder="" count="0" memberValueDatatype="130" unbalanced="0"/>
    <cacheHierarchy uniqueName="[product_sales_data__1].[Product]" caption="Product" attribute="1" defaultMemberUniqueName="[product_sales_data__1].[Product].[All]" allUniqueName="[product_sales_data__1].[Product].[All]" dimensionUniqueName="[product_sales_data__1]" displayFolder="" count="0" memberValueDatatype="130" unbalanced="0"/>
    <cacheHierarchy uniqueName="[product_sales_data__1].[Quantity]" caption="Quantity" attribute="1" defaultMemberUniqueName="[product_sales_data__1].[Quantity].[All]" allUniqueName="[product_sales_data__1].[Quantity].[All]" dimensionUniqueName="[product_sales_data__1]" displayFolder="" count="0"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0"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2" memberValueDatatype="130" unbalanced="0">
      <fieldsUsage count="2">
        <fieldUsage x="-1"/>
        <fieldUsage x="2"/>
      </fieldsUsage>
    </cacheHierarchy>
    <cacheHierarchy uniqueName="[product_sales_data__1].[CustomerType]" caption="CustomerType" attribute="1" defaultMemberUniqueName="[product_sales_data__1].[CustomerType].[All]" allUniqueName="[product_sales_data__1].[CustomerType].[All]" dimensionUniqueName="[product_sales_data__1]" displayFolder="" count="0" memberValueDatatype="130" unbalanced="0"/>
    <cacheHierarchy uniqueName="[product_sales_data__1].[Discount]" caption="Discount" attribute="1" defaultMemberUniqueName="[product_sales_data__1].[Discount].[All]" allUniqueName="[product_sales_data__1].[Discount].[All]" dimensionUniqueName="[product_sales_data__1]" displayFolder="" count="0"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0" memberValueDatatype="130" unbalanced="0"/>
    <cacheHierarchy uniqueName="[product_sales_data__1].[TotalPrice]" caption="TotalPrice" attribute="1" defaultMemberUniqueName="[product_sales_data__1].[TotalPrice].[All]" allUniqueName="[product_sales_data__1].[TotalPrice].[All]" dimensionUniqueName="[product_sales_data__1]" displayFolder="" count="0"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0" memberValueDatatype="130" unbalanced="0"/>
    <cacheHierarchy uniqueName="[product_sales_data__1].[Promotion]" caption="Promotion" attribute="1" defaultMemberUniqueName="[product_sales_data__1].[Promotion].[All]" allUniqueName="[product_sales_data__1].[Promotion].[All]" dimensionUniqueName="[product_sales_data__1]" displayFolder="" count="0"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0" memberValueDatatype="20" unbalanced="0"/>
    <cacheHierarchy uniqueName="[product_sales_data__1].[OrderID]" caption="OrderID" attribute="1" defaultMemberUniqueName="[product_sales_data__1].[OrderID].[All]" allUniqueName="[product_sales_data__1].[OrderID].[All]" dimensionUniqueName="[product_sales_data__1]" displayFolder="" count="0"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0"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0"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2"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0"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0" memberValueDatatype="130" unbalanced="0"/>
    <cacheHierarchy uniqueName="[product_sales_data__1].[Order Month]" caption="Order Month" attribute="1" defaultMemberUniqueName="[product_sales_data__1].[Order Month].[All]" allUniqueName="[product_sales_data__1].[Order Month].[All]" dimensionUniqueName="[product_sales_data__1]" displayFolder="" count="2" memberValueDatatype="130" unbalanced="0">
      <fieldsUsage count="2">
        <fieldUsage x="-1"/>
        <fieldUsage x="1"/>
      </fieldsUsage>
    </cacheHierarchy>
    <cacheHierarchy uniqueName="[product_sales_data__1].[Gross Revenue]" caption="Gross Revenue" attribute="1" defaultMemberUniqueName="[product_sales_data__1].[Gross Revenue].[All]" allUniqueName="[product_sales_data__1].[Gross Revenue].[All]" dimensionUniqueName="[product_sales_data__1]" displayFolder="" count="0"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0"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2" memberValueDatatype="130" unbalanced="0"/>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0"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0"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0" memberValueDatatype="20" unbalanced="0" hidden="1"/>
    <cacheHierarchy uniqueName="[Measures].[Revennue]" caption="Revennue" measure="1" displayFolder="" measureGroup="product_sales_data__1" count="0" oneField="1">
      <fieldsUsage count="1">
        <fieldUsage x="0"/>
      </fieldsUsage>
    </cacheHierarchy>
    <cacheHierarchy uniqueName="[Measures].[Total Orders]" caption="Total Orders" measure="1" displayFolder="" measureGroup="product_sales_data__1" count="0"/>
    <cacheHierarchy uniqueName="[Measures].[Total Discount offered]" caption="Total Discount offered" measure="1" displayFolder="" measureGroup="product_sales_data__1" count="0"/>
    <cacheHierarchy uniqueName="[Measures].[Total Returns]" caption="Total Returns" measure="1" displayFolder="" measureGroup="product_sales_data__1" count="0"/>
    <cacheHierarchy uniqueName="[Measures].[Average Order Value]" caption="Average Order Value" measure="1" displayFolder="" measureGroup="product_sales_data__1" count="0"/>
    <cacheHierarchy uniqueName="[Measures].[Revenue YOY%]" caption="Revenue YOY%" measure="1" displayFolder="" measureGroup="product_sales_data__1" count="0"/>
    <cacheHierarchy uniqueName="[Measures].[Average order value YOY%]" caption="Average order value YOY%" measure="1" displayFolder="" measureGroup="product_sales_data__1" count="0"/>
    <cacheHierarchy uniqueName="[Measures].[Total Discount YOY%]" caption="Total Discount YOY%" measure="1" displayFolder="" measureGroup="product_sales_data__1" count="0"/>
    <cacheHierarchy uniqueName="[Measures].[Total Return YOY%]" caption="Total Return YOY%" measure="1" displayFolder="" measureGroup="product_sales_data__1" count="0"/>
    <cacheHierarchy uniqueName="[Measures].[Total Order YOY%]" caption="Total Order YOY%" measure="1" displayFolder="" measureGroup="product_sales_data__1" count="0"/>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ies>
  <kpis count="0"/>
  <dimensions count="2">
    <dimension measure="1" name="Measures" uniqueName="[Measures]" caption="Measures"/>
    <dimension name="product_sales_data__1" uniqueName="[product_sales_data__1]" caption="product_sales_data__1"/>
  </dimensions>
  <measureGroups count="1">
    <measureGroup name="product_sales_data__1" caption="product_sales_dat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47790046294" backgroundQuery="1" createdVersion="8" refreshedVersion="8" minRefreshableVersion="3" recordCount="0" supportSubquery="1" supportAdvancedDrill="1" xr:uid="{74FCA7A8-D108-45D7-86D7-4CBA75B83F6A}">
  <cacheSource type="external" connectionId="4"/>
  <cacheFields count="3">
    <cacheField name="[product_sales_data__1].[Order Month].[Order Month]" caption="Order Month" numFmtId="0" hierarchy="19" level="1">
      <sharedItems count="12">
        <s v="Apr"/>
        <s v="Aug"/>
        <s v="Dec"/>
        <s v="Feb"/>
        <s v="Jan"/>
        <s v="Jul"/>
        <s v="Jun"/>
        <s v="Mar"/>
        <s v="May"/>
        <s v="Nov"/>
        <s v="Oct"/>
        <s v="Sep"/>
      </sharedItems>
    </cacheField>
    <cacheField name="[Measures].[Average Order Value]" caption="Average Order Value" numFmtId="0" hierarchy="30" level="32767"/>
    <cacheField name="[product_sales_data__1].[StoreLocation].[StoreLocation]" caption="StoreLocation" numFmtId="0" hierarchy="5" level="1">
      <sharedItems containsSemiMixedTypes="0" containsNonDate="0" containsString="0"/>
    </cacheField>
  </cacheFields>
  <cacheHierarchies count="38">
    <cacheHierarchy uniqueName="[product_sales_data__1].[Date]" caption="Date" attribute="1" defaultMemberUniqueName="[product_sales_data__1].[Date].[All]" allUniqueName="[product_sales_data__1].[Date].[All]" dimensionUniqueName="[product_sales_data__1]" displayFolder="" count="0" memberValueDatatype="130" unbalanced="0"/>
    <cacheHierarchy uniqueName="[product_sales_data__1].[Region]" caption="Region" attribute="1" defaultMemberUniqueName="[product_sales_data__1].[Region].[All]" allUniqueName="[product_sales_data__1].[Region].[All]" dimensionUniqueName="[product_sales_data__1]" displayFolder="" count="0" memberValueDatatype="130" unbalanced="0"/>
    <cacheHierarchy uniqueName="[product_sales_data__1].[Product]" caption="Product" attribute="1" defaultMemberUniqueName="[product_sales_data__1].[Product].[All]" allUniqueName="[product_sales_data__1].[Product].[All]" dimensionUniqueName="[product_sales_data__1]" displayFolder="" count="0" memberValueDatatype="130" unbalanced="0"/>
    <cacheHierarchy uniqueName="[product_sales_data__1].[Quantity]" caption="Quantity" attribute="1" defaultMemberUniqueName="[product_sales_data__1].[Quantity].[All]" allUniqueName="[product_sales_data__1].[Quantity].[All]" dimensionUniqueName="[product_sales_data__1]" displayFolder="" count="0"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0"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2" memberValueDatatype="130" unbalanced="0">
      <fieldsUsage count="2">
        <fieldUsage x="-1"/>
        <fieldUsage x="2"/>
      </fieldsUsage>
    </cacheHierarchy>
    <cacheHierarchy uniqueName="[product_sales_data__1].[CustomerType]" caption="CustomerType" attribute="1" defaultMemberUniqueName="[product_sales_data__1].[CustomerType].[All]" allUniqueName="[product_sales_data__1].[CustomerType].[All]" dimensionUniqueName="[product_sales_data__1]" displayFolder="" count="0" memberValueDatatype="130" unbalanced="0"/>
    <cacheHierarchy uniqueName="[product_sales_data__1].[Discount]" caption="Discount" attribute="1" defaultMemberUniqueName="[product_sales_data__1].[Discount].[All]" allUniqueName="[product_sales_data__1].[Discount].[All]" dimensionUniqueName="[product_sales_data__1]" displayFolder="" count="0"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0" memberValueDatatype="130" unbalanced="0"/>
    <cacheHierarchy uniqueName="[product_sales_data__1].[TotalPrice]" caption="TotalPrice" attribute="1" defaultMemberUniqueName="[product_sales_data__1].[TotalPrice].[All]" allUniqueName="[product_sales_data__1].[TotalPrice].[All]" dimensionUniqueName="[product_sales_data__1]" displayFolder="" count="0"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0" memberValueDatatype="130" unbalanced="0"/>
    <cacheHierarchy uniqueName="[product_sales_data__1].[Promotion]" caption="Promotion" attribute="1" defaultMemberUniqueName="[product_sales_data__1].[Promotion].[All]" allUniqueName="[product_sales_data__1].[Promotion].[All]" dimensionUniqueName="[product_sales_data__1]" displayFolder="" count="0"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0" memberValueDatatype="20" unbalanced="0"/>
    <cacheHierarchy uniqueName="[product_sales_data__1].[OrderID]" caption="OrderID" attribute="1" defaultMemberUniqueName="[product_sales_data__1].[OrderID].[All]" allUniqueName="[product_sales_data__1].[OrderID].[All]" dimensionUniqueName="[product_sales_data__1]" displayFolder="" count="0"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0"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0"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2"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0"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0" memberValueDatatype="130" unbalanced="0"/>
    <cacheHierarchy uniqueName="[product_sales_data__1].[Order Month]" caption="Order Month" attribute="1" defaultMemberUniqueName="[product_sales_data__1].[Order Month].[All]" allUniqueName="[product_sales_data__1].[Order Month].[All]" dimensionUniqueName="[product_sales_data__1]" displayFolder="" count="2" memberValueDatatype="130" unbalanced="0">
      <fieldsUsage count="2">
        <fieldUsage x="-1"/>
        <fieldUsage x="0"/>
      </fieldsUsage>
    </cacheHierarchy>
    <cacheHierarchy uniqueName="[product_sales_data__1].[Gross Revenue]" caption="Gross Revenue" attribute="1" defaultMemberUniqueName="[product_sales_data__1].[Gross Revenue].[All]" allUniqueName="[product_sales_data__1].[Gross Revenue].[All]" dimensionUniqueName="[product_sales_data__1]" displayFolder="" count="0"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0"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2" memberValueDatatype="130" unbalanced="0"/>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0"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0"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0" memberValueDatatype="20" unbalanced="0" hidden="1"/>
    <cacheHierarchy uniqueName="[Measures].[Revennue]" caption="Revennue" measure="1" displayFolder="" measureGroup="product_sales_data__1" count="0"/>
    <cacheHierarchy uniqueName="[Measures].[Total Orders]" caption="Total Orders" measure="1" displayFolder="" measureGroup="product_sales_data__1" count="0"/>
    <cacheHierarchy uniqueName="[Measures].[Total Discount offered]" caption="Total Discount offered" measure="1" displayFolder="" measureGroup="product_sales_data__1" count="0"/>
    <cacheHierarchy uniqueName="[Measures].[Total Returns]" caption="Total Returns" measure="1" displayFolder="" measureGroup="product_sales_data__1" count="0"/>
    <cacheHierarchy uniqueName="[Measures].[Average Order Value]" caption="Average Order Value" measure="1" displayFolder="" measureGroup="product_sales_data__1" count="0" oneField="1">
      <fieldsUsage count="1">
        <fieldUsage x="1"/>
      </fieldsUsage>
    </cacheHierarchy>
    <cacheHierarchy uniqueName="[Measures].[Revenue YOY%]" caption="Revenue YOY%" measure="1" displayFolder="" measureGroup="product_sales_data__1" count="0"/>
    <cacheHierarchy uniqueName="[Measures].[Average order value YOY%]" caption="Average order value YOY%" measure="1" displayFolder="" measureGroup="product_sales_data__1" count="0"/>
    <cacheHierarchy uniqueName="[Measures].[Total Discount YOY%]" caption="Total Discount YOY%" measure="1" displayFolder="" measureGroup="product_sales_data__1" count="0"/>
    <cacheHierarchy uniqueName="[Measures].[Total Return YOY%]" caption="Total Return YOY%" measure="1" displayFolder="" measureGroup="product_sales_data__1" count="0"/>
    <cacheHierarchy uniqueName="[Measures].[Total Order YOY%]" caption="Total Order YOY%" measure="1" displayFolder="" measureGroup="product_sales_data__1" count="0"/>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ies>
  <kpis count="0"/>
  <dimensions count="2">
    <dimension measure="1" name="Measures" uniqueName="[Measures]" caption="Measures"/>
    <dimension name="product_sales_data__1" uniqueName="[product_sales_data__1]" caption="product_sales_data__1"/>
  </dimensions>
  <measureGroups count="1">
    <measureGroup name="product_sales_data__1" caption="product_sales_dat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47796412036" backgroundQuery="1" createdVersion="8" refreshedVersion="8" minRefreshableVersion="3" recordCount="0" supportSubquery="1" supportAdvancedDrill="1" xr:uid="{F1834604-2C75-4A22-9F49-D89D6E003D7C}">
  <cacheSource type="external" connectionId="4"/>
  <cacheFields count="3">
    <cacheField name="[product_sales_data__1].[Order Month].[Order Month]" caption="Order Month" numFmtId="0" hierarchy="19" level="1">
      <sharedItems count="12">
        <s v="Apr"/>
        <s v="Aug"/>
        <s v="Dec"/>
        <s v="Feb"/>
        <s v="Jan"/>
        <s v="Jul"/>
        <s v="Jun"/>
        <s v="Mar"/>
        <s v="May"/>
        <s v="Nov"/>
        <s v="Oct"/>
        <s v="Sep"/>
      </sharedItems>
    </cacheField>
    <cacheField name="[Measures].[Total Discount offered]" caption="Total Discount offered" numFmtId="0" hierarchy="28" level="32767"/>
    <cacheField name="[product_sales_data__1].[StoreLocation].[StoreLocation]" caption="StoreLocation" numFmtId="0" hierarchy="5" level="1">
      <sharedItems containsSemiMixedTypes="0" containsNonDate="0" containsString="0"/>
    </cacheField>
  </cacheFields>
  <cacheHierarchies count="38">
    <cacheHierarchy uniqueName="[product_sales_data__1].[Date]" caption="Date" attribute="1" defaultMemberUniqueName="[product_sales_data__1].[Date].[All]" allUniqueName="[product_sales_data__1].[Date].[All]" dimensionUniqueName="[product_sales_data__1]" displayFolder="" count="0" memberValueDatatype="130" unbalanced="0"/>
    <cacheHierarchy uniqueName="[product_sales_data__1].[Region]" caption="Region" attribute="1" defaultMemberUniqueName="[product_sales_data__1].[Region].[All]" allUniqueName="[product_sales_data__1].[Region].[All]" dimensionUniqueName="[product_sales_data__1]" displayFolder="" count="0" memberValueDatatype="130" unbalanced="0"/>
    <cacheHierarchy uniqueName="[product_sales_data__1].[Product]" caption="Product" attribute="1" defaultMemberUniqueName="[product_sales_data__1].[Product].[All]" allUniqueName="[product_sales_data__1].[Product].[All]" dimensionUniqueName="[product_sales_data__1]" displayFolder="" count="0" memberValueDatatype="130" unbalanced="0"/>
    <cacheHierarchy uniqueName="[product_sales_data__1].[Quantity]" caption="Quantity" attribute="1" defaultMemberUniqueName="[product_sales_data__1].[Quantity].[All]" allUniqueName="[product_sales_data__1].[Quantity].[All]" dimensionUniqueName="[product_sales_data__1]" displayFolder="" count="0"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0"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2" memberValueDatatype="130" unbalanced="0">
      <fieldsUsage count="2">
        <fieldUsage x="-1"/>
        <fieldUsage x="2"/>
      </fieldsUsage>
    </cacheHierarchy>
    <cacheHierarchy uniqueName="[product_sales_data__1].[CustomerType]" caption="CustomerType" attribute="1" defaultMemberUniqueName="[product_sales_data__1].[CustomerType].[All]" allUniqueName="[product_sales_data__1].[CustomerType].[All]" dimensionUniqueName="[product_sales_data__1]" displayFolder="" count="0" memberValueDatatype="130" unbalanced="0"/>
    <cacheHierarchy uniqueName="[product_sales_data__1].[Discount]" caption="Discount" attribute="1" defaultMemberUniqueName="[product_sales_data__1].[Discount].[All]" allUniqueName="[product_sales_data__1].[Discount].[All]" dimensionUniqueName="[product_sales_data__1]" displayFolder="" count="0"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0" memberValueDatatype="130" unbalanced="0"/>
    <cacheHierarchy uniqueName="[product_sales_data__1].[TotalPrice]" caption="TotalPrice" attribute="1" defaultMemberUniqueName="[product_sales_data__1].[TotalPrice].[All]" allUniqueName="[product_sales_data__1].[TotalPrice].[All]" dimensionUniqueName="[product_sales_data__1]" displayFolder="" count="0"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0" memberValueDatatype="130" unbalanced="0"/>
    <cacheHierarchy uniqueName="[product_sales_data__1].[Promotion]" caption="Promotion" attribute="1" defaultMemberUniqueName="[product_sales_data__1].[Promotion].[All]" allUniqueName="[product_sales_data__1].[Promotion].[All]" dimensionUniqueName="[product_sales_data__1]" displayFolder="" count="0"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0" memberValueDatatype="20" unbalanced="0"/>
    <cacheHierarchy uniqueName="[product_sales_data__1].[OrderID]" caption="OrderID" attribute="1" defaultMemberUniqueName="[product_sales_data__1].[OrderID].[All]" allUniqueName="[product_sales_data__1].[OrderID].[All]" dimensionUniqueName="[product_sales_data__1]" displayFolder="" count="0"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0"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0"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2"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0"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0" memberValueDatatype="130" unbalanced="0"/>
    <cacheHierarchy uniqueName="[product_sales_data__1].[Order Month]" caption="Order Month" attribute="1" defaultMemberUniqueName="[product_sales_data__1].[Order Month].[All]" allUniqueName="[product_sales_data__1].[Order Month].[All]" dimensionUniqueName="[product_sales_data__1]" displayFolder="" count="2" memberValueDatatype="130" unbalanced="0">
      <fieldsUsage count="2">
        <fieldUsage x="-1"/>
        <fieldUsage x="0"/>
      </fieldsUsage>
    </cacheHierarchy>
    <cacheHierarchy uniqueName="[product_sales_data__1].[Gross Revenue]" caption="Gross Revenue" attribute="1" defaultMemberUniqueName="[product_sales_data__1].[Gross Revenue].[All]" allUniqueName="[product_sales_data__1].[Gross Revenue].[All]" dimensionUniqueName="[product_sales_data__1]" displayFolder="" count="0"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0"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2" memberValueDatatype="130" unbalanced="0"/>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0"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0"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0" memberValueDatatype="20" unbalanced="0" hidden="1"/>
    <cacheHierarchy uniqueName="[Measures].[Revennue]" caption="Revennue" measure="1" displayFolder="" measureGroup="product_sales_data__1" count="0"/>
    <cacheHierarchy uniqueName="[Measures].[Total Orders]" caption="Total Orders" measure="1" displayFolder="" measureGroup="product_sales_data__1" count="0"/>
    <cacheHierarchy uniqueName="[Measures].[Total Discount offered]" caption="Total Discount offered" measure="1" displayFolder="" measureGroup="product_sales_data__1" count="0" oneField="1">
      <fieldsUsage count="1">
        <fieldUsage x="1"/>
      </fieldsUsage>
    </cacheHierarchy>
    <cacheHierarchy uniqueName="[Measures].[Total Returns]" caption="Total Returns" measure="1" displayFolder="" measureGroup="product_sales_data__1" count="0"/>
    <cacheHierarchy uniqueName="[Measures].[Average Order Value]" caption="Average Order Value" measure="1" displayFolder="" measureGroup="product_sales_data__1" count="0"/>
    <cacheHierarchy uniqueName="[Measures].[Revenue YOY%]" caption="Revenue YOY%" measure="1" displayFolder="" measureGroup="product_sales_data__1" count="0"/>
    <cacheHierarchy uniqueName="[Measures].[Average order value YOY%]" caption="Average order value YOY%" measure="1" displayFolder="" measureGroup="product_sales_data__1" count="0"/>
    <cacheHierarchy uniqueName="[Measures].[Total Discount YOY%]" caption="Total Discount YOY%" measure="1" displayFolder="" measureGroup="product_sales_data__1" count="0"/>
    <cacheHierarchy uniqueName="[Measures].[Total Return YOY%]" caption="Total Return YOY%" measure="1" displayFolder="" measureGroup="product_sales_data__1" count="0"/>
    <cacheHierarchy uniqueName="[Measures].[Total Order YOY%]" caption="Total Order YOY%" measure="1" displayFolder="" measureGroup="product_sales_data__1" count="0"/>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ies>
  <kpis count="0"/>
  <dimensions count="2">
    <dimension measure="1" name="Measures" uniqueName="[Measures]" caption="Measures"/>
    <dimension name="product_sales_data__1" uniqueName="[product_sales_data__1]" caption="product_sales_data__1"/>
  </dimensions>
  <measureGroups count="1">
    <measureGroup name="product_sales_data__1" caption="product_sales_dat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4780266204" backgroundQuery="1" createdVersion="8" refreshedVersion="8" minRefreshableVersion="3" recordCount="0" supportSubquery="1" supportAdvancedDrill="1" xr:uid="{62C3C294-A9D9-4F8F-A5C4-6A50EEF57C16}">
  <cacheSource type="external" connectionId="4"/>
  <cacheFields count="3">
    <cacheField name="[product_sales_data__1].[Order Month].[Order Month]" caption="Order Month" numFmtId="0" hierarchy="19" level="1">
      <sharedItems count="12">
        <s v="Apr"/>
        <s v="Aug"/>
        <s v="Dec"/>
        <s v="Feb"/>
        <s v="Jan"/>
        <s v="Jul"/>
        <s v="Jun"/>
        <s v="Mar"/>
        <s v="May"/>
        <s v="Nov"/>
        <s v="Oct"/>
        <s v="Sep"/>
      </sharedItems>
    </cacheField>
    <cacheField name="[Measures].[Total Returns]" caption="Total Returns" numFmtId="0" hierarchy="29" level="32767"/>
    <cacheField name="[product_sales_data__1].[StoreLocation].[StoreLocation]" caption="StoreLocation" numFmtId="0" hierarchy="5" level="1">
      <sharedItems containsSemiMixedTypes="0" containsNonDate="0" containsString="0"/>
    </cacheField>
  </cacheFields>
  <cacheHierarchies count="38">
    <cacheHierarchy uniqueName="[product_sales_data__1].[Date]" caption="Date" attribute="1" defaultMemberUniqueName="[product_sales_data__1].[Date].[All]" allUniqueName="[product_sales_data__1].[Date].[All]" dimensionUniqueName="[product_sales_data__1]" displayFolder="" count="0" memberValueDatatype="130" unbalanced="0"/>
    <cacheHierarchy uniqueName="[product_sales_data__1].[Region]" caption="Region" attribute="1" defaultMemberUniqueName="[product_sales_data__1].[Region].[All]" allUniqueName="[product_sales_data__1].[Region].[All]" dimensionUniqueName="[product_sales_data__1]" displayFolder="" count="0" memberValueDatatype="130" unbalanced="0"/>
    <cacheHierarchy uniqueName="[product_sales_data__1].[Product]" caption="Product" attribute="1" defaultMemberUniqueName="[product_sales_data__1].[Product].[All]" allUniqueName="[product_sales_data__1].[Product].[All]" dimensionUniqueName="[product_sales_data__1]" displayFolder="" count="0" memberValueDatatype="130" unbalanced="0"/>
    <cacheHierarchy uniqueName="[product_sales_data__1].[Quantity]" caption="Quantity" attribute="1" defaultMemberUniqueName="[product_sales_data__1].[Quantity].[All]" allUniqueName="[product_sales_data__1].[Quantity].[All]" dimensionUniqueName="[product_sales_data__1]" displayFolder="" count="0"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0"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2" memberValueDatatype="130" unbalanced="0">
      <fieldsUsage count="2">
        <fieldUsage x="-1"/>
        <fieldUsage x="2"/>
      </fieldsUsage>
    </cacheHierarchy>
    <cacheHierarchy uniqueName="[product_sales_data__1].[CustomerType]" caption="CustomerType" attribute="1" defaultMemberUniqueName="[product_sales_data__1].[CustomerType].[All]" allUniqueName="[product_sales_data__1].[CustomerType].[All]" dimensionUniqueName="[product_sales_data__1]" displayFolder="" count="0" memberValueDatatype="130" unbalanced="0"/>
    <cacheHierarchy uniqueName="[product_sales_data__1].[Discount]" caption="Discount" attribute="1" defaultMemberUniqueName="[product_sales_data__1].[Discount].[All]" allUniqueName="[product_sales_data__1].[Discount].[All]" dimensionUniqueName="[product_sales_data__1]" displayFolder="" count="0"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0" memberValueDatatype="130" unbalanced="0"/>
    <cacheHierarchy uniqueName="[product_sales_data__1].[TotalPrice]" caption="TotalPrice" attribute="1" defaultMemberUniqueName="[product_sales_data__1].[TotalPrice].[All]" allUniqueName="[product_sales_data__1].[TotalPrice].[All]" dimensionUniqueName="[product_sales_data__1]" displayFolder="" count="0"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0" memberValueDatatype="130" unbalanced="0"/>
    <cacheHierarchy uniqueName="[product_sales_data__1].[Promotion]" caption="Promotion" attribute="1" defaultMemberUniqueName="[product_sales_data__1].[Promotion].[All]" allUniqueName="[product_sales_data__1].[Promotion].[All]" dimensionUniqueName="[product_sales_data__1]" displayFolder="" count="0"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0" memberValueDatatype="20" unbalanced="0"/>
    <cacheHierarchy uniqueName="[product_sales_data__1].[OrderID]" caption="OrderID" attribute="1" defaultMemberUniqueName="[product_sales_data__1].[OrderID].[All]" allUniqueName="[product_sales_data__1].[OrderID].[All]" dimensionUniqueName="[product_sales_data__1]" displayFolder="" count="0"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0"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0"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2"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0"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0" memberValueDatatype="130" unbalanced="0"/>
    <cacheHierarchy uniqueName="[product_sales_data__1].[Order Month]" caption="Order Month" attribute="1" defaultMemberUniqueName="[product_sales_data__1].[Order Month].[All]" allUniqueName="[product_sales_data__1].[Order Month].[All]" dimensionUniqueName="[product_sales_data__1]" displayFolder="" count="2" memberValueDatatype="130" unbalanced="0">
      <fieldsUsage count="2">
        <fieldUsage x="-1"/>
        <fieldUsage x="0"/>
      </fieldsUsage>
    </cacheHierarchy>
    <cacheHierarchy uniqueName="[product_sales_data__1].[Gross Revenue]" caption="Gross Revenue" attribute="1" defaultMemberUniqueName="[product_sales_data__1].[Gross Revenue].[All]" allUniqueName="[product_sales_data__1].[Gross Revenue].[All]" dimensionUniqueName="[product_sales_data__1]" displayFolder="" count="0"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0"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2" memberValueDatatype="130" unbalanced="0"/>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0"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0"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0" memberValueDatatype="20" unbalanced="0" hidden="1"/>
    <cacheHierarchy uniqueName="[Measures].[Revennue]" caption="Revennue" measure="1" displayFolder="" measureGroup="product_sales_data__1" count="0"/>
    <cacheHierarchy uniqueName="[Measures].[Total Orders]" caption="Total Orders" measure="1" displayFolder="" measureGroup="product_sales_data__1" count="0"/>
    <cacheHierarchy uniqueName="[Measures].[Total Discount offered]" caption="Total Discount offered" measure="1" displayFolder="" measureGroup="product_sales_data__1" count="0"/>
    <cacheHierarchy uniqueName="[Measures].[Total Returns]" caption="Total Returns" measure="1" displayFolder="" measureGroup="product_sales_data__1" count="0" oneField="1">
      <fieldsUsage count="1">
        <fieldUsage x="1"/>
      </fieldsUsage>
    </cacheHierarchy>
    <cacheHierarchy uniqueName="[Measures].[Average Order Value]" caption="Average Order Value" measure="1" displayFolder="" measureGroup="product_sales_data__1" count="0"/>
    <cacheHierarchy uniqueName="[Measures].[Revenue YOY%]" caption="Revenue YOY%" measure="1" displayFolder="" measureGroup="product_sales_data__1" count="0"/>
    <cacheHierarchy uniqueName="[Measures].[Average order value YOY%]" caption="Average order value YOY%" measure="1" displayFolder="" measureGroup="product_sales_data__1" count="0"/>
    <cacheHierarchy uniqueName="[Measures].[Total Discount YOY%]" caption="Total Discount YOY%" measure="1" displayFolder="" measureGroup="product_sales_data__1" count="0"/>
    <cacheHierarchy uniqueName="[Measures].[Total Return YOY%]" caption="Total Return YOY%" measure="1" displayFolder="" measureGroup="product_sales_data__1" count="0"/>
    <cacheHierarchy uniqueName="[Measures].[Total Order YOY%]" caption="Total Order YOY%" measure="1" displayFolder="" measureGroup="product_sales_data__1" count="0"/>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ies>
  <kpis count="0"/>
  <dimensions count="2">
    <dimension measure="1" name="Measures" uniqueName="[Measures]" caption="Measures"/>
    <dimension name="product_sales_data__1" uniqueName="[product_sales_data__1]" caption="product_sales_data__1"/>
  </dimensions>
  <measureGroups count="1">
    <measureGroup name="product_sales_data__1" caption="product_sales_dat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47808796298" backgroundQuery="1" createdVersion="8" refreshedVersion="8" minRefreshableVersion="3" recordCount="0" supportSubquery="1" supportAdvancedDrill="1" xr:uid="{8A547BD3-7DEF-46E9-AC39-DB6BA8A43294}">
  <cacheSource type="external" connectionId="4"/>
  <cacheFields count="3">
    <cacheField name="[product_sales_data__1].[Order Month].[Order Month]" caption="Order Month" numFmtId="0" hierarchy="19" level="1">
      <sharedItems count="12">
        <s v="Apr"/>
        <s v="Aug"/>
        <s v="Dec"/>
        <s v="Feb"/>
        <s v="Jan"/>
        <s v="Jul"/>
        <s v="Jun"/>
        <s v="Mar"/>
        <s v="May"/>
        <s v="Nov"/>
        <s v="Oct"/>
        <s v="Sep"/>
      </sharedItems>
    </cacheField>
    <cacheField name="[Measures].[Total Orders]" caption="Total Orders" numFmtId="0" hierarchy="27" level="32767"/>
    <cacheField name="[product_sales_data__1].[StoreLocation].[StoreLocation]" caption="StoreLocation" numFmtId="0" hierarchy="5" level="1">
      <sharedItems containsSemiMixedTypes="0" containsNonDate="0" containsString="0"/>
    </cacheField>
  </cacheFields>
  <cacheHierarchies count="38">
    <cacheHierarchy uniqueName="[product_sales_data__1].[Date]" caption="Date" attribute="1" defaultMemberUniqueName="[product_sales_data__1].[Date].[All]" allUniqueName="[product_sales_data__1].[Date].[All]" dimensionUniqueName="[product_sales_data__1]" displayFolder="" count="0" memberValueDatatype="130" unbalanced="0"/>
    <cacheHierarchy uniqueName="[product_sales_data__1].[Region]" caption="Region" attribute="1" defaultMemberUniqueName="[product_sales_data__1].[Region].[All]" allUniqueName="[product_sales_data__1].[Region].[All]" dimensionUniqueName="[product_sales_data__1]" displayFolder="" count="0" memberValueDatatype="130" unbalanced="0"/>
    <cacheHierarchy uniqueName="[product_sales_data__1].[Product]" caption="Product" attribute="1" defaultMemberUniqueName="[product_sales_data__1].[Product].[All]" allUniqueName="[product_sales_data__1].[Product].[All]" dimensionUniqueName="[product_sales_data__1]" displayFolder="" count="0" memberValueDatatype="130" unbalanced="0"/>
    <cacheHierarchy uniqueName="[product_sales_data__1].[Quantity]" caption="Quantity" attribute="1" defaultMemberUniqueName="[product_sales_data__1].[Quantity].[All]" allUniqueName="[product_sales_data__1].[Quantity].[All]" dimensionUniqueName="[product_sales_data__1]" displayFolder="" count="0"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0"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2" memberValueDatatype="130" unbalanced="0">
      <fieldsUsage count="2">
        <fieldUsage x="-1"/>
        <fieldUsage x="2"/>
      </fieldsUsage>
    </cacheHierarchy>
    <cacheHierarchy uniqueName="[product_sales_data__1].[CustomerType]" caption="CustomerType" attribute="1" defaultMemberUniqueName="[product_sales_data__1].[CustomerType].[All]" allUniqueName="[product_sales_data__1].[CustomerType].[All]" dimensionUniqueName="[product_sales_data__1]" displayFolder="" count="0" memberValueDatatype="130" unbalanced="0"/>
    <cacheHierarchy uniqueName="[product_sales_data__1].[Discount]" caption="Discount" attribute="1" defaultMemberUniqueName="[product_sales_data__1].[Discount].[All]" allUniqueName="[product_sales_data__1].[Discount].[All]" dimensionUniqueName="[product_sales_data__1]" displayFolder="" count="0"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0" memberValueDatatype="130" unbalanced="0"/>
    <cacheHierarchy uniqueName="[product_sales_data__1].[TotalPrice]" caption="TotalPrice" attribute="1" defaultMemberUniqueName="[product_sales_data__1].[TotalPrice].[All]" allUniqueName="[product_sales_data__1].[TotalPrice].[All]" dimensionUniqueName="[product_sales_data__1]" displayFolder="" count="0"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0" memberValueDatatype="130" unbalanced="0"/>
    <cacheHierarchy uniqueName="[product_sales_data__1].[Promotion]" caption="Promotion" attribute="1" defaultMemberUniqueName="[product_sales_data__1].[Promotion].[All]" allUniqueName="[product_sales_data__1].[Promotion].[All]" dimensionUniqueName="[product_sales_data__1]" displayFolder="" count="0"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0" memberValueDatatype="20" unbalanced="0"/>
    <cacheHierarchy uniqueName="[product_sales_data__1].[OrderID]" caption="OrderID" attribute="1" defaultMemberUniqueName="[product_sales_data__1].[OrderID].[All]" allUniqueName="[product_sales_data__1].[OrderID].[All]" dimensionUniqueName="[product_sales_data__1]" displayFolder="" count="0"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0"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0"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2"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0"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0" memberValueDatatype="130" unbalanced="0"/>
    <cacheHierarchy uniqueName="[product_sales_data__1].[Order Month]" caption="Order Month" attribute="1" defaultMemberUniqueName="[product_sales_data__1].[Order Month].[All]" allUniqueName="[product_sales_data__1].[Order Month].[All]" dimensionUniqueName="[product_sales_data__1]" displayFolder="" count="2" memberValueDatatype="130" unbalanced="0">
      <fieldsUsage count="2">
        <fieldUsage x="-1"/>
        <fieldUsage x="0"/>
      </fieldsUsage>
    </cacheHierarchy>
    <cacheHierarchy uniqueName="[product_sales_data__1].[Gross Revenue]" caption="Gross Revenue" attribute="1" defaultMemberUniqueName="[product_sales_data__1].[Gross Revenue].[All]" allUniqueName="[product_sales_data__1].[Gross Revenue].[All]" dimensionUniqueName="[product_sales_data__1]" displayFolder="" count="0"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0"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2" memberValueDatatype="130" unbalanced="0"/>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0"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0"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0" memberValueDatatype="20" unbalanced="0" hidden="1"/>
    <cacheHierarchy uniqueName="[Measures].[Revennue]" caption="Revennue" measure="1" displayFolder="" measureGroup="product_sales_data__1" count="0"/>
    <cacheHierarchy uniqueName="[Measures].[Total Orders]" caption="Total Orders" measure="1" displayFolder="" measureGroup="product_sales_data__1" count="0" oneField="1">
      <fieldsUsage count="1">
        <fieldUsage x="1"/>
      </fieldsUsage>
    </cacheHierarchy>
    <cacheHierarchy uniqueName="[Measures].[Total Discount offered]" caption="Total Discount offered" measure="1" displayFolder="" measureGroup="product_sales_data__1" count="0"/>
    <cacheHierarchy uniqueName="[Measures].[Total Returns]" caption="Total Returns" measure="1" displayFolder="" measureGroup="product_sales_data__1" count="0"/>
    <cacheHierarchy uniqueName="[Measures].[Average Order Value]" caption="Average Order Value" measure="1" displayFolder="" measureGroup="product_sales_data__1" count="0"/>
    <cacheHierarchy uniqueName="[Measures].[Revenue YOY%]" caption="Revenue YOY%" measure="1" displayFolder="" measureGroup="product_sales_data__1" count="0"/>
    <cacheHierarchy uniqueName="[Measures].[Average order value YOY%]" caption="Average order value YOY%" measure="1" displayFolder="" measureGroup="product_sales_data__1" count="0"/>
    <cacheHierarchy uniqueName="[Measures].[Total Discount YOY%]" caption="Total Discount YOY%" measure="1" displayFolder="" measureGroup="product_sales_data__1" count="0"/>
    <cacheHierarchy uniqueName="[Measures].[Total Return YOY%]" caption="Total Return YOY%" measure="1" displayFolder="" measureGroup="product_sales_data__1" count="0"/>
    <cacheHierarchy uniqueName="[Measures].[Total Order YOY%]" caption="Total Order YOY%" measure="1" displayFolder="" measureGroup="product_sales_data__1" count="0"/>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ies>
  <kpis count="0"/>
  <dimensions count="2">
    <dimension measure="1" name="Measures" uniqueName="[Measures]" caption="Measures"/>
    <dimension name="product_sales_data__1" uniqueName="[product_sales_data__1]" caption="product_sales_data__1"/>
  </dimensions>
  <measureGroups count="1">
    <measureGroup name="product_sales_data__1" caption="product_sales_dat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47815509257" backgroundQuery="1" createdVersion="8" refreshedVersion="8" minRefreshableVersion="3" recordCount="0" supportSubquery="1" supportAdvancedDrill="1" xr:uid="{72D3448E-02AB-4DAD-BE95-DAB28C1EED4B}">
  <cacheSource type="external" connectionId="4"/>
  <cacheFields count="4">
    <cacheField name="[Measures].[Revennue]" caption="Revennue" numFmtId="0" hierarchy="26" level="32767"/>
    <cacheField name="[product_sales_data__1].[Product].[Product]" caption="Product" numFmtId="0" hierarchy="2" level="1">
      <sharedItems count="7">
        <s v="Chair"/>
        <s v="Desk"/>
        <s v="Laptop"/>
        <s v="Monitor"/>
        <s v="Phone"/>
        <s v="Printer"/>
        <s v="Tablet"/>
      </sharedItems>
    </cacheField>
    <cacheField name="[product_sales_data__1].[StoreLocation].[StoreLocation]" caption="StoreLocation" numFmtId="0" hierarchy="5" level="1">
      <sharedItems containsSemiMixedTypes="0" containsNonDate="0" containsString="0"/>
    </cacheField>
    <cacheField name="Dummy0" numFmtId="0" hierarchy="38" level="32767">
      <extLst>
        <ext xmlns:x14="http://schemas.microsoft.com/office/spreadsheetml/2009/9/main" uri="{63CAB8AC-B538-458d-9737-405883B0398D}">
          <x14:cacheField ignore="1"/>
        </ext>
      </extLst>
    </cacheField>
  </cacheFields>
  <cacheHierarchies count="39">
    <cacheHierarchy uniqueName="[product_sales_data__1].[Date]" caption="Date" attribute="1" defaultMemberUniqueName="[product_sales_data__1].[Date].[All]" allUniqueName="[product_sales_data__1].[Date].[All]" dimensionUniqueName="[product_sales_data__1]" displayFolder="" count="0" memberValueDatatype="130" unbalanced="0"/>
    <cacheHierarchy uniqueName="[product_sales_data__1].[Region]" caption="Region" attribute="1" defaultMemberUniqueName="[product_sales_data__1].[Region].[All]" allUniqueName="[product_sales_data__1].[Region].[All]" dimensionUniqueName="[product_sales_data__1]" displayFolder="" count="0" memberValueDatatype="130" unbalanced="0"/>
    <cacheHierarchy uniqueName="[product_sales_data__1].[Product]" caption="Product" attribute="1" defaultMemberUniqueName="[product_sales_data__1].[Product].[All]" allUniqueName="[product_sales_data__1].[Product].[All]" dimensionUniqueName="[product_sales_data__1]" displayFolder="" count="2" memberValueDatatype="130" unbalanced="0">
      <fieldsUsage count="2">
        <fieldUsage x="-1"/>
        <fieldUsage x="1"/>
      </fieldsUsage>
    </cacheHierarchy>
    <cacheHierarchy uniqueName="[product_sales_data__1].[Quantity]" caption="Quantity" attribute="1" defaultMemberUniqueName="[product_sales_data__1].[Quantity].[All]" allUniqueName="[product_sales_data__1].[Quantity].[All]" dimensionUniqueName="[product_sales_data__1]" displayFolder="" count="0"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0"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2" memberValueDatatype="130" unbalanced="0">
      <fieldsUsage count="2">
        <fieldUsage x="-1"/>
        <fieldUsage x="2"/>
      </fieldsUsage>
    </cacheHierarchy>
    <cacheHierarchy uniqueName="[product_sales_data__1].[CustomerType]" caption="CustomerType" attribute="1" defaultMemberUniqueName="[product_sales_data__1].[CustomerType].[All]" allUniqueName="[product_sales_data__1].[CustomerType].[All]" dimensionUniqueName="[product_sales_data__1]" displayFolder="" count="0" memberValueDatatype="130" unbalanced="0"/>
    <cacheHierarchy uniqueName="[product_sales_data__1].[Discount]" caption="Discount" attribute="1" defaultMemberUniqueName="[product_sales_data__1].[Discount].[All]" allUniqueName="[product_sales_data__1].[Discount].[All]" dimensionUniqueName="[product_sales_data__1]" displayFolder="" count="0"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0" memberValueDatatype="130" unbalanced="0"/>
    <cacheHierarchy uniqueName="[product_sales_data__1].[TotalPrice]" caption="TotalPrice" attribute="1" defaultMemberUniqueName="[product_sales_data__1].[TotalPrice].[All]" allUniqueName="[product_sales_data__1].[TotalPrice].[All]" dimensionUniqueName="[product_sales_data__1]" displayFolder="" count="0"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0" memberValueDatatype="130" unbalanced="0"/>
    <cacheHierarchy uniqueName="[product_sales_data__1].[Promotion]" caption="Promotion" attribute="1" defaultMemberUniqueName="[product_sales_data__1].[Promotion].[All]" allUniqueName="[product_sales_data__1].[Promotion].[All]" dimensionUniqueName="[product_sales_data__1]" displayFolder="" count="0"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0" memberValueDatatype="20" unbalanced="0"/>
    <cacheHierarchy uniqueName="[product_sales_data__1].[OrderID]" caption="OrderID" attribute="1" defaultMemberUniqueName="[product_sales_data__1].[OrderID].[All]" allUniqueName="[product_sales_data__1].[OrderID].[All]" dimensionUniqueName="[product_sales_data__1]" displayFolder="" count="0"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0"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0"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2"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0"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0" memberValueDatatype="130" unbalanced="0"/>
    <cacheHierarchy uniqueName="[product_sales_data__1].[Order Month]" caption="Order Month" attribute="1" defaultMemberUniqueName="[product_sales_data__1].[Order Month].[All]" allUniqueName="[product_sales_data__1].[Order Month].[All]" dimensionUniqueName="[product_sales_data__1]" displayFolder="" count="0" memberValueDatatype="130" unbalanced="0"/>
    <cacheHierarchy uniqueName="[product_sales_data__1].[Gross Revenue]" caption="Gross Revenue" attribute="1" defaultMemberUniqueName="[product_sales_data__1].[Gross Revenue].[All]" allUniqueName="[product_sales_data__1].[Gross Revenue].[All]" dimensionUniqueName="[product_sales_data__1]" displayFolder="" count="0"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0"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2" memberValueDatatype="130" unbalanced="0"/>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0"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0"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0" memberValueDatatype="20" unbalanced="0" hidden="1"/>
    <cacheHierarchy uniqueName="[Measures].[Revennue]" caption="Revennue" measure="1" displayFolder="" measureGroup="product_sales_data__1" count="0" oneField="1">
      <fieldsUsage count="1">
        <fieldUsage x="0"/>
      </fieldsUsage>
    </cacheHierarchy>
    <cacheHierarchy uniqueName="[Measures].[Total Orders]" caption="Total Orders" measure="1" displayFolder="" measureGroup="product_sales_data__1" count="0"/>
    <cacheHierarchy uniqueName="[Measures].[Total Discount offered]" caption="Total Discount offered" measure="1" displayFolder="" measureGroup="product_sales_data__1" count="0"/>
    <cacheHierarchy uniqueName="[Measures].[Total Returns]" caption="Total Returns" measure="1" displayFolder="" measureGroup="product_sales_data__1" count="0"/>
    <cacheHierarchy uniqueName="[Measures].[Average Order Value]" caption="Average Order Value" measure="1" displayFolder="" measureGroup="product_sales_data__1" count="0"/>
    <cacheHierarchy uniqueName="[Measures].[Revenue YOY%]" caption="Revenue YOY%" measure="1" displayFolder="" measureGroup="product_sales_data__1" count="0"/>
    <cacheHierarchy uniqueName="[Measures].[Average order value YOY%]" caption="Average order value YOY%" measure="1" displayFolder="" measureGroup="product_sales_data__1" count="0"/>
    <cacheHierarchy uniqueName="[Measures].[Total Discount YOY%]" caption="Total Discount YOY%" measure="1" displayFolder="" measureGroup="product_sales_data__1" count="0"/>
    <cacheHierarchy uniqueName="[Measures].[Total Return YOY%]" caption="Total Return YOY%" measure="1" displayFolder="" measureGroup="product_sales_data__1" count="0"/>
    <cacheHierarchy uniqueName="[Measures].[Total Order YOY%]" caption="Total Order YOY%" measure="1" displayFolder="" measureGroup="product_sales_data__1" count="0"/>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y uniqueName="Dummy0" caption="Dat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product_sales_data__1" uniqueName="[product_sales_data__1]" caption="product_sales_data__1"/>
  </dimensions>
  <measureGroups count="1">
    <measureGroup name="product_sales_data__1" caption="product_sales_dat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47821759261" backgroundQuery="1" createdVersion="8" refreshedVersion="8" minRefreshableVersion="3" recordCount="0" supportSubquery="1" supportAdvancedDrill="1" xr:uid="{8BA646D0-3360-4FFE-AD38-05C322DCF94A}">
  <cacheSource type="external" connectionId="4"/>
  <cacheFields count="3">
    <cacheField name="[Measures].[Revennue]" caption="Revennue" numFmtId="0" hierarchy="26" level="32767"/>
    <cacheField name="[product_sales_data__1].[CustomerType].[CustomerType]" caption="CustomerType" numFmtId="0" hierarchy="6" level="1">
      <sharedItems count="2">
        <s v="Retail"/>
        <s v="Wholesale"/>
      </sharedItems>
    </cacheField>
    <cacheField name="[product_sales_data__1].[StoreLocation].[StoreLocation]" caption="StoreLocation" numFmtId="0" hierarchy="5" level="1">
      <sharedItems containsSemiMixedTypes="0" containsNonDate="0" containsString="0"/>
    </cacheField>
  </cacheFields>
  <cacheHierarchies count="38">
    <cacheHierarchy uniqueName="[product_sales_data__1].[Date]" caption="Date" attribute="1" defaultMemberUniqueName="[product_sales_data__1].[Date].[All]" allUniqueName="[product_sales_data__1].[Date].[All]" dimensionUniqueName="[product_sales_data__1]" displayFolder="" count="0" memberValueDatatype="130" unbalanced="0"/>
    <cacheHierarchy uniqueName="[product_sales_data__1].[Region]" caption="Region" attribute="1" defaultMemberUniqueName="[product_sales_data__1].[Region].[All]" allUniqueName="[product_sales_data__1].[Region].[All]" dimensionUniqueName="[product_sales_data__1]" displayFolder="" count="0" memberValueDatatype="130" unbalanced="0"/>
    <cacheHierarchy uniqueName="[product_sales_data__1].[Product]" caption="Product" attribute="1" defaultMemberUniqueName="[product_sales_data__1].[Product].[All]" allUniqueName="[product_sales_data__1].[Product].[All]" dimensionUniqueName="[product_sales_data__1]" displayFolder="" count="0" memberValueDatatype="130" unbalanced="0"/>
    <cacheHierarchy uniqueName="[product_sales_data__1].[Quantity]" caption="Quantity" attribute="1" defaultMemberUniqueName="[product_sales_data__1].[Quantity].[All]" allUniqueName="[product_sales_data__1].[Quantity].[All]" dimensionUniqueName="[product_sales_data__1]" displayFolder="" count="0"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0"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2" memberValueDatatype="130" unbalanced="0">
      <fieldsUsage count="2">
        <fieldUsage x="-1"/>
        <fieldUsage x="2"/>
      </fieldsUsage>
    </cacheHierarchy>
    <cacheHierarchy uniqueName="[product_sales_data__1].[CustomerType]" caption="CustomerType" attribute="1" defaultMemberUniqueName="[product_sales_data__1].[CustomerType].[All]" allUniqueName="[product_sales_data__1].[CustomerType].[All]" dimensionUniqueName="[product_sales_data__1]" displayFolder="" count="2" memberValueDatatype="130" unbalanced="0">
      <fieldsUsage count="2">
        <fieldUsage x="-1"/>
        <fieldUsage x="1"/>
      </fieldsUsage>
    </cacheHierarchy>
    <cacheHierarchy uniqueName="[product_sales_data__1].[Discount]" caption="Discount" attribute="1" defaultMemberUniqueName="[product_sales_data__1].[Discount].[All]" allUniqueName="[product_sales_data__1].[Discount].[All]" dimensionUniqueName="[product_sales_data__1]" displayFolder="" count="0"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0" memberValueDatatype="130" unbalanced="0"/>
    <cacheHierarchy uniqueName="[product_sales_data__1].[TotalPrice]" caption="TotalPrice" attribute="1" defaultMemberUniqueName="[product_sales_data__1].[TotalPrice].[All]" allUniqueName="[product_sales_data__1].[TotalPrice].[All]" dimensionUniqueName="[product_sales_data__1]" displayFolder="" count="0"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0" memberValueDatatype="130" unbalanced="0"/>
    <cacheHierarchy uniqueName="[product_sales_data__1].[Promotion]" caption="Promotion" attribute="1" defaultMemberUniqueName="[product_sales_data__1].[Promotion].[All]" allUniqueName="[product_sales_data__1].[Promotion].[All]" dimensionUniqueName="[product_sales_data__1]" displayFolder="" count="0"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0" memberValueDatatype="20" unbalanced="0"/>
    <cacheHierarchy uniqueName="[product_sales_data__1].[OrderID]" caption="OrderID" attribute="1" defaultMemberUniqueName="[product_sales_data__1].[OrderID].[All]" allUniqueName="[product_sales_data__1].[OrderID].[All]" dimensionUniqueName="[product_sales_data__1]" displayFolder="" count="0"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0"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0"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2"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0"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0" memberValueDatatype="130" unbalanced="0"/>
    <cacheHierarchy uniqueName="[product_sales_data__1].[Order Month]" caption="Order Month" attribute="1" defaultMemberUniqueName="[product_sales_data__1].[Order Month].[All]" allUniqueName="[product_sales_data__1].[Order Month].[All]" dimensionUniqueName="[product_sales_data__1]" displayFolder="" count="0" memberValueDatatype="130" unbalanced="0"/>
    <cacheHierarchy uniqueName="[product_sales_data__1].[Gross Revenue]" caption="Gross Revenue" attribute="1" defaultMemberUniqueName="[product_sales_data__1].[Gross Revenue].[All]" allUniqueName="[product_sales_data__1].[Gross Revenue].[All]" dimensionUniqueName="[product_sales_data__1]" displayFolder="" count="0"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0"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2" memberValueDatatype="130" unbalanced="0"/>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0"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0"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0" memberValueDatatype="20" unbalanced="0" hidden="1"/>
    <cacheHierarchy uniqueName="[Measures].[Revennue]" caption="Revennue" measure="1" displayFolder="" measureGroup="product_sales_data__1" count="0" oneField="1">
      <fieldsUsage count="1">
        <fieldUsage x="0"/>
      </fieldsUsage>
    </cacheHierarchy>
    <cacheHierarchy uniqueName="[Measures].[Total Orders]" caption="Total Orders" measure="1" displayFolder="" measureGroup="product_sales_data__1" count="0"/>
    <cacheHierarchy uniqueName="[Measures].[Total Discount offered]" caption="Total Discount offered" measure="1" displayFolder="" measureGroup="product_sales_data__1" count="0"/>
    <cacheHierarchy uniqueName="[Measures].[Total Returns]" caption="Total Returns" measure="1" displayFolder="" measureGroup="product_sales_data__1" count="0"/>
    <cacheHierarchy uniqueName="[Measures].[Average Order Value]" caption="Average Order Value" measure="1" displayFolder="" measureGroup="product_sales_data__1" count="0"/>
    <cacheHierarchy uniqueName="[Measures].[Revenue YOY%]" caption="Revenue YOY%" measure="1" displayFolder="" measureGroup="product_sales_data__1" count="0"/>
    <cacheHierarchy uniqueName="[Measures].[Average order value YOY%]" caption="Average order value YOY%" measure="1" displayFolder="" measureGroup="product_sales_data__1" count="0"/>
    <cacheHierarchy uniqueName="[Measures].[Total Discount YOY%]" caption="Total Discount YOY%" measure="1" displayFolder="" measureGroup="product_sales_data__1" count="0"/>
    <cacheHierarchy uniqueName="[Measures].[Total Return YOY%]" caption="Total Return YOY%" measure="1" displayFolder="" measureGroup="product_sales_data__1" count="0"/>
    <cacheHierarchy uniqueName="[Measures].[Total Order YOY%]" caption="Total Order YOY%" measure="1" displayFolder="" measureGroup="product_sales_data__1" count="0"/>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ies>
  <kpis count="0"/>
  <dimensions count="2">
    <dimension measure="1" name="Measures" uniqueName="[Measures]" caption="Measures"/>
    <dimension name="product_sales_data__1" uniqueName="[product_sales_data__1]" caption="product_sales_data__1"/>
  </dimensions>
  <measureGroups count="1">
    <measureGroup name="product_sales_data__1" caption="product_sales_data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28377430557" backgroundQuery="1" createdVersion="3" refreshedVersion="8" minRefreshableVersion="3" recordCount="0" supportSubquery="1" supportAdvancedDrill="1" xr:uid="{7AAE8F37-17D0-4754-B94A-7F8C4C80A297}">
  <cacheSource type="external" connectionId="4">
    <extLst>
      <ext xmlns:x14="http://schemas.microsoft.com/office/spreadsheetml/2009/9/main" uri="{F057638F-6D5F-4e77-A914-E7F072B9BCA8}">
        <x14:sourceConnection name="ThisWorkbookDataModel"/>
      </ext>
    </extLst>
  </cacheSource>
  <cacheFields count="0"/>
  <cacheHierarchies count="38">
    <cacheHierarchy uniqueName="[product_sales_data__1].[Date]" caption="Date" attribute="1" defaultMemberUniqueName="[product_sales_data__1].[Date].[All]" allUniqueName="[product_sales_data__1].[Date].[All]" dimensionUniqueName="[product_sales_data__1]" displayFolder="" count="0" memberValueDatatype="130" unbalanced="0"/>
    <cacheHierarchy uniqueName="[product_sales_data__1].[Region]" caption="Region" attribute="1" defaultMemberUniqueName="[product_sales_data__1].[Region].[All]" allUniqueName="[product_sales_data__1].[Region].[All]" dimensionUniqueName="[product_sales_data__1]" displayFolder="" count="0" memberValueDatatype="130" unbalanced="0"/>
    <cacheHierarchy uniqueName="[product_sales_data__1].[Product]" caption="Product" attribute="1" defaultMemberUniqueName="[product_sales_data__1].[Product].[All]" allUniqueName="[product_sales_data__1].[Product].[All]" dimensionUniqueName="[product_sales_data__1]" displayFolder="" count="0" memberValueDatatype="130" unbalanced="0"/>
    <cacheHierarchy uniqueName="[product_sales_data__1].[Quantity]" caption="Quantity" attribute="1" defaultMemberUniqueName="[product_sales_data__1].[Quantity].[All]" allUniqueName="[product_sales_data__1].[Quantity].[All]" dimensionUniqueName="[product_sales_data__1]" displayFolder="" count="0"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0"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2" memberValueDatatype="130" unbalanced="0"/>
    <cacheHierarchy uniqueName="[product_sales_data__1].[CustomerType]" caption="CustomerType" attribute="1" defaultMemberUniqueName="[product_sales_data__1].[CustomerType].[All]" allUniqueName="[product_sales_data__1].[CustomerType].[All]" dimensionUniqueName="[product_sales_data__1]" displayFolder="" count="0" memberValueDatatype="130" unbalanced="0"/>
    <cacheHierarchy uniqueName="[product_sales_data__1].[Discount]" caption="Discount" attribute="1" defaultMemberUniqueName="[product_sales_data__1].[Discount].[All]" allUniqueName="[product_sales_data__1].[Discount].[All]" dimensionUniqueName="[product_sales_data__1]" displayFolder="" count="0"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0" memberValueDatatype="130" unbalanced="0"/>
    <cacheHierarchy uniqueName="[product_sales_data__1].[TotalPrice]" caption="TotalPrice" attribute="1" defaultMemberUniqueName="[product_sales_data__1].[TotalPrice].[All]" allUniqueName="[product_sales_data__1].[TotalPrice].[All]" dimensionUniqueName="[product_sales_data__1]" displayFolder="" count="0"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0" memberValueDatatype="130" unbalanced="0"/>
    <cacheHierarchy uniqueName="[product_sales_data__1].[Promotion]" caption="Promotion" attribute="1" defaultMemberUniqueName="[product_sales_data__1].[Promotion].[All]" allUniqueName="[product_sales_data__1].[Promotion].[All]" dimensionUniqueName="[product_sales_data__1]" displayFolder="" count="0"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0" memberValueDatatype="20" unbalanced="0"/>
    <cacheHierarchy uniqueName="[product_sales_data__1].[OrderID]" caption="OrderID" attribute="1" defaultMemberUniqueName="[product_sales_data__1].[OrderID].[All]" allUniqueName="[product_sales_data__1].[OrderID].[All]" dimensionUniqueName="[product_sales_data__1]" displayFolder="" count="0"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0"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0"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0"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0"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0" memberValueDatatype="130" unbalanced="0"/>
    <cacheHierarchy uniqueName="[product_sales_data__1].[Order Month]" caption="Order Month" attribute="1" defaultMemberUniqueName="[product_sales_data__1].[Order Month].[All]" allUniqueName="[product_sales_data__1].[Order Month].[All]" dimensionUniqueName="[product_sales_data__1]" displayFolder="" count="0" memberValueDatatype="130" unbalanced="0"/>
    <cacheHierarchy uniqueName="[product_sales_data__1].[Gross Revenue]" caption="Gross Revenue" attribute="1" defaultMemberUniqueName="[product_sales_data__1].[Gross Revenue].[All]" allUniqueName="[product_sales_data__1].[Gross Revenue].[All]" dimensionUniqueName="[product_sales_data__1]" displayFolder="" count="0"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0"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2" memberValueDatatype="130" unbalanced="0"/>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0"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0"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0" memberValueDatatype="20" unbalanced="0" hidden="1"/>
    <cacheHierarchy uniqueName="[Measures].[Revennue]" caption="Revennue" measure="1" displayFolder="" measureGroup="product_sales_data__1" count="0"/>
    <cacheHierarchy uniqueName="[Measures].[Total Orders]" caption="Total Orders" measure="1" displayFolder="" measureGroup="product_sales_data__1" count="0"/>
    <cacheHierarchy uniqueName="[Measures].[Total Discount offered]" caption="Total Discount offered" measure="1" displayFolder="" measureGroup="product_sales_data__1" count="0"/>
    <cacheHierarchy uniqueName="[Measures].[Total Returns]" caption="Total Returns" measure="1" displayFolder="" measureGroup="product_sales_data__1" count="0"/>
    <cacheHierarchy uniqueName="[Measures].[Average Order Value]" caption="Average Order Value" measure="1" displayFolder="" measureGroup="product_sales_data__1" count="0"/>
    <cacheHierarchy uniqueName="[Measures].[Revenue YOY%]" caption="Revenue YOY%" measure="1" displayFolder="" measureGroup="product_sales_data__1" count="0"/>
    <cacheHierarchy uniqueName="[Measures].[Average order value YOY%]" caption="Average order value YOY%" measure="1" displayFolder="" measureGroup="product_sales_data__1" count="0"/>
    <cacheHierarchy uniqueName="[Measures].[Total Discount YOY%]" caption="Total Discount YOY%" measure="1" displayFolder="" measureGroup="product_sales_data__1" count="0"/>
    <cacheHierarchy uniqueName="[Measures].[Total Return YOY%]" caption="Total Return YOY%" measure="1" displayFolder="" measureGroup="product_sales_data__1" count="0"/>
    <cacheHierarchy uniqueName="[Measures].[Total Order YOY%]" caption="Total Order YOY%" measure="1" displayFolder="" measureGroup="product_sales_data__1" count="0"/>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86153013"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4.028266203706" backgroundQuery="1" createdVersion="3" refreshedVersion="8" minRefreshableVersion="3" recordCount="0" supportSubquery="1" supportAdvancedDrill="1" xr:uid="{7571DFD8-B559-4153-9199-3C7CADC22B13}">
  <cacheSource type="external" connectionId="4">
    <extLst>
      <ext xmlns:x14="http://schemas.microsoft.com/office/spreadsheetml/2009/9/main" uri="{F057638F-6D5F-4e77-A914-E7F072B9BCA8}">
        <x14:sourceConnection name="ThisWorkbookDataModel"/>
      </ext>
    </extLst>
  </cacheSource>
  <cacheFields count="0"/>
  <cacheHierarchies count="38">
    <cacheHierarchy uniqueName="[product_sales_data__1].[Date]" caption="Date" attribute="1" defaultMemberUniqueName="[product_sales_data__1].[Date].[All]" allUniqueName="[product_sales_data__1].[Date].[All]" dimensionUniqueName="[product_sales_data__1]" displayFolder="" count="0" memberValueDatatype="130" unbalanced="0"/>
    <cacheHierarchy uniqueName="[product_sales_data__1].[Region]" caption="Region" attribute="1" defaultMemberUniqueName="[product_sales_data__1].[Region].[All]" allUniqueName="[product_sales_data__1].[Region].[All]" dimensionUniqueName="[product_sales_data__1]" displayFolder="" count="0" memberValueDatatype="130" unbalanced="0"/>
    <cacheHierarchy uniqueName="[product_sales_data__1].[Product]" caption="Product" attribute="1" defaultMemberUniqueName="[product_sales_data__1].[Product].[All]" allUniqueName="[product_sales_data__1].[Product].[All]" dimensionUniqueName="[product_sales_data__1]" displayFolder="" count="0" memberValueDatatype="130" unbalanced="0"/>
    <cacheHierarchy uniqueName="[product_sales_data__1].[Quantity]" caption="Quantity" attribute="1" defaultMemberUniqueName="[product_sales_data__1].[Quantity].[All]" allUniqueName="[product_sales_data__1].[Quantity].[All]" dimensionUniqueName="[product_sales_data__1]" displayFolder="" count="0" memberValueDatatype="20" unbalanced="0"/>
    <cacheHierarchy uniqueName="[product_sales_data__1].[UnitPrice]" caption="UnitPrice" attribute="1" defaultMemberUniqueName="[product_sales_data__1].[UnitPrice].[All]" allUniqueName="[product_sales_data__1].[UnitPrice].[All]" dimensionUniqueName="[product_sales_data__1]" displayFolder="" count="0" memberValueDatatype="5" unbalanced="0"/>
    <cacheHierarchy uniqueName="[product_sales_data__1].[StoreLocation]" caption="StoreLocation" attribute="1" defaultMemberUniqueName="[product_sales_data__1].[StoreLocation].[All]" allUniqueName="[product_sales_data__1].[StoreLocation].[All]" dimensionUniqueName="[product_sales_data__1]" displayFolder="" count="0" memberValueDatatype="130" unbalanced="0"/>
    <cacheHierarchy uniqueName="[product_sales_data__1].[CustomerType]" caption="CustomerType" attribute="1" defaultMemberUniqueName="[product_sales_data__1].[CustomerType].[All]" allUniqueName="[product_sales_data__1].[CustomerType].[All]" dimensionUniqueName="[product_sales_data__1]" displayFolder="" count="0" memberValueDatatype="130" unbalanced="0"/>
    <cacheHierarchy uniqueName="[product_sales_data__1].[Discount]" caption="Discount" attribute="1" defaultMemberUniqueName="[product_sales_data__1].[Discount].[All]" allUniqueName="[product_sales_data__1].[Discount].[All]" dimensionUniqueName="[product_sales_data__1]" displayFolder="" count="0" memberValueDatatype="5" unbalanced="0"/>
    <cacheHierarchy uniqueName="[product_sales_data__1].[Salesperson]" caption="Salesperson" attribute="1" defaultMemberUniqueName="[product_sales_data__1].[Salesperson].[All]" allUniqueName="[product_sales_data__1].[Salesperson].[All]" dimensionUniqueName="[product_sales_data__1]" displayFolder="" count="0" memberValueDatatype="130" unbalanced="0"/>
    <cacheHierarchy uniqueName="[product_sales_data__1].[TotalPrice]" caption="TotalPrice" attribute="1" defaultMemberUniqueName="[product_sales_data__1].[TotalPrice].[All]" allUniqueName="[product_sales_data__1].[TotalPrice].[All]" dimensionUniqueName="[product_sales_data__1]" displayFolder="" count="0" memberValueDatatype="5" unbalanced="0"/>
    <cacheHierarchy uniqueName="[product_sales_data__1].[PaymentMethod]" caption="PaymentMethod" attribute="1" defaultMemberUniqueName="[product_sales_data__1].[PaymentMethod].[All]" allUniqueName="[product_sales_data__1].[PaymentMethod].[All]" dimensionUniqueName="[product_sales_data__1]" displayFolder="" count="0" memberValueDatatype="130" unbalanced="0"/>
    <cacheHierarchy uniqueName="[product_sales_data__1].[Promotion]" caption="Promotion" attribute="1" defaultMemberUniqueName="[product_sales_data__1].[Promotion].[All]" allUniqueName="[product_sales_data__1].[Promotion].[All]" dimensionUniqueName="[product_sales_data__1]" displayFolder="" count="0" memberValueDatatype="130" unbalanced="0"/>
    <cacheHierarchy uniqueName="[product_sales_data__1].[Returned]" caption="Returned" attribute="1" defaultMemberUniqueName="[product_sales_data__1].[Returned].[All]" allUniqueName="[product_sales_data__1].[Returned].[All]" dimensionUniqueName="[product_sales_data__1]" displayFolder="" count="0" memberValueDatatype="20" unbalanced="0"/>
    <cacheHierarchy uniqueName="[product_sales_data__1].[OrderID]" caption="OrderID" attribute="1" defaultMemberUniqueName="[product_sales_data__1].[OrderID].[All]" allUniqueName="[product_sales_data__1].[OrderID].[All]" dimensionUniqueName="[product_sales_data__1]" displayFolder="" count="0" memberValueDatatype="130" unbalanced="0"/>
    <cacheHierarchy uniqueName="[product_sales_data__1].[CustomerName]" caption="CustomerName" attribute="1" defaultMemberUniqueName="[product_sales_data__1].[CustomerName].[All]" allUniqueName="[product_sales_data__1].[CustomerName].[All]" dimensionUniqueName="[product_sales_data__1]" displayFolder="" count="0" memberValueDatatype="130" unbalanced="0"/>
    <cacheHierarchy uniqueName="[product_sales_data__1].[ShippingCost]" caption="ShippingCost" attribute="1" defaultMemberUniqueName="[product_sales_data__1].[ShippingCost].[All]" allUniqueName="[product_sales_data__1].[ShippingCost].[All]" dimensionUniqueName="[product_sales_data__1]" displayFolder="" count="0" memberValueDatatype="5" unbalanced="0"/>
    <cacheHierarchy uniqueName="[product_sales_data__1].[OrderDate]" caption="OrderDate" attribute="1" time="1" defaultMemberUniqueName="[product_sales_data__1].[OrderDate].[All]" allUniqueName="[product_sales_data__1].[OrderDate].[All]" dimensionUniqueName="[product_sales_data__1]" displayFolder="" count="2" memberValueDatatype="7" unbalanced="0"/>
    <cacheHierarchy uniqueName="[product_sales_data__1].[DeliveryDate]" caption="DeliveryDate" attribute="1" defaultMemberUniqueName="[product_sales_data__1].[DeliveryDate].[All]" allUniqueName="[product_sales_data__1].[DeliveryDate].[All]" dimensionUniqueName="[product_sales_data__1]" displayFolder="" count="0" memberValueDatatype="130" unbalanced="0"/>
    <cacheHierarchy uniqueName="[product_sales_data__1].[RegionManager]" caption="RegionManager" attribute="1" defaultMemberUniqueName="[product_sales_data__1].[RegionManager].[All]" allUniqueName="[product_sales_data__1].[RegionManager].[All]" dimensionUniqueName="[product_sales_data__1]" displayFolder="" count="0" memberValueDatatype="130" unbalanced="0"/>
    <cacheHierarchy uniqueName="[product_sales_data__1].[Order Month]" caption="Order Month" attribute="1" defaultMemberUniqueName="[product_sales_data__1].[Order Month].[All]" allUniqueName="[product_sales_data__1].[Order Month].[All]" dimensionUniqueName="[product_sales_data__1]" displayFolder="" count="0" memberValueDatatype="130" unbalanced="0"/>
    <cacheHierarchy uniqueName="[product_sales_data__1].[Gross Revenue]" caption="Gross Revenue" attribute="1" defaultMemberUniqueName="[product_sales_data__1].[Gross Revenue].[All]" allUniqueName="[product_sales_data__1].[Gross Revenue].[All]" dimensionUniqueName="[product_sales_data__1]" displayFolder="" count="0" memberValueDatatype="5" unbalanced="0"/>
    <cacheHierarchy uniqueName="[product_sales_data__1].[Total Discount]" caption="Total Discount" attribute="1" defaultMemberUniqueName="[product_sales_data__1].[Total Discount].[All]" allUniqueName="[product_sales_data__1].[Total Discount].[All]" dimensionUniqueName="[product_sales_data__1]" displayFolder="" count="0" memberValueDatatype="5" unbalanced="0"/>
    <cacheHierarchy uniqueName="[product_sales_data__1].[OrderDate (Year)]" caption="OrderDate (Year)" attribute="1" defaultMemberUniqueName="[product_sales_data__1].[OrderDate (Year)].[All]" allUniqueName="[product_sales_data__1].[OrderDate (Year)].[All]" dimensionUniqueName="[product_sales_data__1]" displayFolder="" count="0" memberValueDatatype="130" unbalanced="0"/>
    <cacheHierarchy uniqueName="[product_sales_data__1].[OrderDate (Quarter)]" caption="OrderDate (Quarter)" attribute="1" defaultMemberUniqueName="[product_sales_data__1].[OrderDate (Quarter)].[All]" allUniqueName="[product_sales_data__1].[OrderDate (Quarter)].[All]" dimensionUniqueName="[product_sales_data__1]" displayFolder="" count="0" memberValueDatatype="130" unbalanced="0"/>
    <cacheHierarchy uniqueName="[product_sales_data__1].[OrderDate (Month)]" caption="OrderDate (Month)" attribute="1" defaultMemberUniqueName="[product_sales_data__1].[OrderDate (Month)].[All]" allUniqueName="[product_sales_data__1].[OrderDate (Month)].[All]" dimensionUniqueName="[product_sales_data__1]" displayFolder="" count="0" memberValueDatatype="130" unbalanced="0"/>
    <cacheHierarchy uniqueName="[product_sales_data__1].[OrderDate (Month Index)]" caption="OrderDate (Month Index)" attribute="1" defaultMemberUniqueName="[product_sales_data__1].[OrderDate (Month Index)].[All]" allUniqueName="[product_sales_data__1].[OrderDate (Month Index)].[All]" dimensionUniqueName="[product_sales_data__1]" displayFolder="" count="0" memberValueDatatype="20" unbalanced="0" hidden="1"/>
    <cacheHierarchy uniqueName="[Measures].[Revennue]" caption="Revennue" measure="1" displayFolder="" measureGroup="product_sales_data__1" count="0"/>
    <cacheHierarchy uniqueName="[Measures].[Total Orders]" caption="Total Orders" measure="1" displayFolder="" measureGroup="product_sales_data__1" count="0"/>
    <cacheHierarchy uniqueName="[Measures].[Total Discount offered]" caption="Total Discount offered" measure="1" displayFolder="" measureGroup="product_sales_data__1" count="0"/>
    <cacheHierarchy uniqueName="[Measures].[Total Returns]" caption="Total Returns" measure="1" displayFolder="" measureGroup="product_sales_data__1" count="0"/>
    <cacheHierarchy uniqueName="[Measures].[Average Order Value]" caption="Average Order Value" measure="1" displayFolder="" measureGroup="product_sales_data__1" count="0"/>
    <cacheHierarchy uniqueName="[Measures].[Revenue YOY%]" caption="Revenue YOY%" measure="1" displayFolder="" measureGroup="product_sales_data__1" count="0"/>
    <cacheHierarchy uniqueName="[Measures].[Average order value YOY%]" caption="Average order value YOY%" measure="1" displayFolder="" measureGroup="product_sales_data__1" count="0"/>
    <cacheHierarchy uniqueName="[Measures].[Total Discount YOY%]" caption="Total Discount YOY%" measure="1" displayFolder="" measureGroup="product_sales_data__1" count="0"/>
    <cacheHierarchy uniqueName="[Measures].[Total Return YOY%]" caption="Total Return YOY%" measure="1" displayFolder="" measureGroup="product_sales_data__1" count="0"/>
    <cacheHierarchy uniqueName="[Measures].[Total Order YOY%]" caption="Total Order YOY%" measure="1" displayFolder="" measureGroup="product_sales_data__1" count="0"/>
    <cacheHierarchy uniqueName="[Measures].[__XL_Count product_sales_data__1]" caption="__XL_Count product_sales_data__1" measure="1" displayFolder="" measureGroup="product_sales_data_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522933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FBF8DE-BEBB-4ED0-8AC0-4C38E531A39F}" name="PivotTable16" cacheId="122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H44:H48" firstHeaderRow="1" firstDataRow="1" firstDataCol="1"/>
  <pivotFields count="2">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4">
    <i>
      <x/>
    </i>
    <i>
      <x v="1"/>
    </i>
    <i>
      <x v="2"/>
    </i>
    <i t="grand">
      <x/>
    </i>
  </rowItems>
  <formats count="3">
    <format dxfId="0">
      <pivotArea dataOnly="0" labelOnly="1" outline="0" axis="axisValues" fieldPosition="0"/>
    </format>
    <format dxfId="1">
      <pivotArea grandRow="1" outline="0" collapsedLevelsAreSubtotals="1" fieldPosition="0"/>
    </format>
    <format dxfId="2">
      <pivotArea outline="0" collapsedLevelsAreSubtotals="1" fieldPosition="0"/>
    </format>
  </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duct_sales_data__1">
        <x15:activeTabTopLevelEntity name="[product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52A801-0F1A-4B90-8E2C-D94F89C3479A}" name="PivotTable15" cacheId="122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H37:H42" firstHeaderRow="1" firstDataRow="1" firstDataCol="1"/>
  <pivotFields count="1">
    <pivotField axis="axisRow" allDrilled="1" subtotalTop="0" showAll="0" dataSourceSort="1" defaultSubtotal="0" defaultAttributeDrillState="1">
      <items count="4">
        <item x="0"/>
        <item x="1"/>
        <item x="2"/>
        <item x="3"/>
      </items>
    </pivotField>
  </pivotFields>
  <rowFields count="1">
    <field x="0"/>
  </rowFields>
  <rowItems count="5">
    <i>
      <x/>
    </i>
    <i>
      <x v="1"/>
    </i>
    <i>
      <x v="2"/>
    </i>
    <i>
      <x v="3"/>
    </i>
    <i t="grand">
      <x/>
    </i>
  </rowItems>
  <formats count="3">
    <format dxfId="3">
      <pivotArea dataOnly="0" labelOnly="1" outline="0" axis="axisValues" fieldPosition="0"/>
    </format>
    <format dxfId="4">
      <pivotArea grandRow="1" outline="0" collapsedLevelsAreSubtotals="1" fieldPosition="0"/>
    </format>
    <format dxfId="5">
      <pivotArea outline="0" collapsedLevelsAreSubtotals="1" fieldPosition="0"/>
    </format>
  </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duct_sales_data__1">
        <x15:activeTabTopLevelEntity name="[product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9C0388-76DD-4C93-B1EA-3921E37E0099}" name="PivotTable14" cacheId="124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L29:M35"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1"/>
    </i>
    <i>
      <x/>
    </i>
    <i>
      <x v="4"/>
    </i>
    <i>
      <x v="3"/>
    </i>
    <i t="grand">
      <x/>
    </i>
  </rowItems>
  <colItems count="1">
    <i/>
  </colItems>
  <dataFields count="1">
    <dataField fld="0" subtotal="count" baseField="0" baseItem="0" numFmtId="176"/>
  </dataFields>
  <formats count="3">
    <format dxfId="31">
      <pivotArea dataOnly="0" labelOnly="1" outline="0" axis="axisValues" fieldPosition="0"/>
    </format>
    <format dxfId="32">
      <pivotArea grandRow="1" outline="0" collapsedLevelsAreSubtotals="1" fieldPosition="0"/>
    </format>
    <format dxfId="33">
      <pivotArea outline="0" collapsedLevelsAreSubtotals="1" fieldPosition="0"/>
    </format>
  </formats>
  <chartFormats count="7">
    <chartFormat chart="2" format="2"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 count="1" selected="0">
            <x v="2"/>
          </reference>
        </references>
      </pivotArea>
    </chartFormat>
    <chartFormat chart="8" format="14">
      <pivotArea type="data" outline="0" fieldPosition="0">
        <references count="2">
          <reference field="4294967294" count="1" selected="0">
            <x v="0"/>
          </reference>
          <reference field="1" count="1" selected="0">
            <x v="1"/>
          </reference>
        </references>
      </pivotArea>
    </chartFormat>
    <chartFormat chart="8" format="15">
      <pivotArea type="data" outline="0" fieldPosition="0">
        <references count="2">
          <reference field="4294967294" count="1" selected="0">
            <x v="0"/>
          </reference>
          <reference field="1" count="1" selected="0">
            <x v="0"/>
          </reference>
        </references>
      </pivotArea>
    </chartFormat>
    <chartFormat chart="8" format="16">
      <pivotArea type="data" outline="0" fieldPosition="0">
        <references count="2">
          <reference field="4294967294" count="1" selected="0">
            <x v="0"/>
          </reference>
          <reference field="1" count="1" selected="0">
            <x v="4"/>
          </reference>
        </references>
      </pivotArea>
    </chartFormat>
    <chartFormat chart="8" format="17">
      <pivotArea type="data" outline="0" fieldPosition="0">
        <references count="2">
          <reference field="4294967294" count="1" selected="0">
            <x v="0"/>
          </reference>
          <reference field="1" count="1" selected="0">
            <x v="3"/>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duct_sales_data__1">
        <x15:activeTabTopLevelEntity name="[product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FB1C6E-A171-4676-8B46-5D83520ADC98}" name="PivotTable13" cacheId="124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O20:P27"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numFmtId="176"/>
  </dataFields>
  <formats count="3">
    <format dxfId="34">
      <pivotArea dataOnly="0" labelOnly="1" outline="0" axis="axisValues" fieldPosition="0"/>
    </format>
    <format dxfId="35">
      <pivotArea grandRow="1" outline="0" collapsedLevelsAreSubtotals="1" fieldPosition="0"/>
    </format>
    <format dxfId="36">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duct_sales_data__1">
        <x15:activeTabTopLevelEntity name="[product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0C9689-66A8-42AF-9DA7-839B9E5AEE20}" name="PivotTable12" cacheId="123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
  <location ref="L20:M26" firstHeaderRow="1" firstDataRow="1" firstDataCol="1"/>
  <pivotFields count="3">
    <pivotField dataField="1" subtotalTop="0" showAll="0" defaultSubtotal="0"/>
    <pivotField axis="axisRow" allDrilled="1" subtotalTop="0" showAll="0"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numFmtId="176"/>
  </dataFields>
  <formats count="3">
    <format dxfId="37">
      <pivotArea dataOnly="0" labelOnly="1" outline="0" axis="axisValues" fieldPosition="0"/>
    </format>
    <format dxfId="38">
      <pivotArea grandRow="1" outline="0" collapsedLevelsAreSubtotals="1" fieldPosition="0"/>
    </format>
    <format dxfId="39">
      <pivotArea outline="0" collapsedLevelsAreSubtotals="1" fieldPosition="0"/>
    </format>
  </format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 count="1" selected="0">
            <x v="0"/>
          </reference>
        </references>
      </pivotArea>
    </chartFormat>
    <chartFormat chart="2" format="14">
      <pivotArea type="data" outline="0" fieldPosition="0">
        <references count="2">
          <reference field="4294967294" count="1" selected="0">
            <x v="0"/>
          </reference>
          <reference field="1" count="1" selected="0">
            <x v="1"/>
          </reference>
        </references>
      </pivotArea>
    </chartFormat>
    <chartFormat chart="2" format="15">
      <pivotArea type="data" outline="0" fieldPosition="0">
        <references count="2">
          <reference field="4294967294" count="1" selected="0">
            <x v="0"/>
          </reference>
          <reference field="1" count="1" selected="0">
            <x v="2"/>
          </reference>
        </references>
      </pivotArea>
    </chartFormat>
    <chartFormat chart="2" format="16">
      <pivotArea type="data" outline="0" fieldPosition="0">
        <references count="2">
          <reference field="4294967294" count="1" selected="0">
            <x v="0"/>
          </reference>
          <reference field="1" count="1" selected="0">
            <x v="3"/>
          </reference>
        </references>
      </pivotArea>
    </chartFormat>
    <chartFormat chart="2" format="17">
      <pivotArea type="data" outline="0" fieldPosition="0">
        <references count="2">
          <reference field="4294967294" count="1" selected="0">
            <x v="0"/>
          </reference>
          <reference field="1" count="1" selected="0">
            <x v="4"/>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duct_sales_data__1">
        <x15:activeTabTopLevelEntity name="[product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D58AE5-92E6-4E90-A015-B702B1665507}" name="PivotTable11" cacheId="123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H27:I33"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4"/>
    </i>
    <i>
      <x v="1"/>
    </i>
    <i>
      <x v="3"/>
    </i>
    <i>
      <x v="2"/>
    </i>
    <i t="grand">
      <x/>
    </i>
  </rowItems>
  <colItems count="1">
    <i/>
  </colItems>
  <dataFields count="1">
    <dataField fld="0" subtotal="count" baseField="0" baseItem="0" numFmtId="176"/>
  </dataFields>
  <formats count="3">
    <format dxfId="40">
      <pivotArea dataOnly="0" labelOnly="1" outline="0" axis="axisValues" fieldPosition="0"/>
    </format>
    <format dxfId="41">
      <pivotArea grandRow="1" outline="0" collapsedLevelsAreSubtotals="1" fieldPosition="0"/>
    </format>
    <format dxfId="4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duct_sales_data__1">
        <x15:activeTabTopLevelEntity name="[product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8B5A74-4227-4ED6-B90E-250B355EAA5A}" name="PivotTable9" cacheId="126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H20:I2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Col" baseField="1" baseItem="0" numFmtId="10"/>
  </dataFields>
  <formats count="4">
    <format dxfId="6">
      <pivotArea outline="0" collapsedLevelsAreSubtotals="1" fieldPosition="0"/>
    </format>
    <format dxfId="7">
      <pivotArea dataOnly="0" labelOnly="1" outline="0" axis="axisValues" fieldPosition="0"/>
    </format>
    <format dxfId="8">
      <pivotArea grandRow="1" outline="0" collapsedLevelsAreSubtotals="1" fieldPosition="0"/>
    </format>
    <format dxfId="9">
      <pivotArea outline="0" fieldPosition="0">
        <references count="1">
          <reference field="4294967294" count="1">
            <x v="0"/>
          </reference>
        </references>
      </pivotArea>
    </format>
  </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duct_sales_data__1">
        <x15:activeTabTopLevelEntity name="[product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9D7440-E3B3-4ADC-B7E6-307D0FAC7250}" name="PivotTable8" cacheId="126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Y4:AA12" firstHeaderRow="0" firstDataRow="1"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8">
    <i>
      <x/>
    </i>
    <i>
      <x v="1"/>
    </i>
    <i>
      <x v="2"/>
    </i>
    <i>
      <x v="3"/>
    </i>
    <i>
      <x v="4"/>
    </i>
    <i>
      <x v="5"/>
    </i>
    <i>
      <x v="6"/>
    </i>
    <i t="grand">
      <x/>
    </i>
  </rowItems>
  <colFields count="1">
    <field x="-2"/>
  </colFields>
  <colItems count="2">
    <i>
      <x/>
    </i>
    <i i="1">
      <x v="1"/>
    </i>
  </colItems>
  <dataFields count="2">
    <dataField fld="0" subtotal="count" baseField="0" baseItem="0" numFmtId="44"/>
    <dataField name="Revennue2" fld="3" subtotal="count" showDataAs="percentOfCol" baseField="1" baseItem="0" numFmtId="10">
      <extLst>
        <ext xmlns:x14="http://schemas.microsoft.com/office/spreadsheetml/2009/9/main" uri="{E15A36E0-9728-4e99-A89B-3F7291B0FE68}">
          <x14:dataField sourceField="0" uniqueName="[__Xl2].[Measures].[Revennue]"/>
        </ext>
      </extLst>
    </dataField>
  </dataFields>
  <formats count="7">
    <format dxfId="10">
      <pivotArea outline="0" collapsedLevelsAreSubtotals="1" fieldPosition="0"/>
    </format>
    <format dxfId="11">
      <pivotArea dataOnly="0" labelOnly="1" outline="0" axis="axisValues" fieldPosition="0"/>
    </format>
    <format dxfId="12">
      <pivotArea grandRow="1" outline="0" collapsedLevelsAreSubtotals="1" fieldPosition="0"/>
    </format>
    <format dxfId="13">
      <pivotArea outline="0" fieldPosition="0">
        <references count="1">
          <reference field="4294967294" count="1">
            <x v="1"/>
          </reference>
        </references>
      </pivotArea>
    </format>
    <format dxfId="14">
      <pivotArea collapsedLevelsAreSubtotals="1" fieldPosition="0">
        <references count="2">
          <reference field="4294967294" count="1" selected="0">
            <x v="0"/>
          </reference>
          <reference field="1" count="0"/>
        </references>
      </pivotArea>
    </format>
    <format dxfId="15">
      <pivotArea collapsedLevelsAreSubtotals="1" fieldPosition="0">
        <references count="2">
          <reference field="4294967294" count="1" selected="0">
            <x v="0"/>
          </reference>
          <reference field="1" count="1">
            <x v="0"/>
          </reference>
        </references>
      </pivotArea>
    </format>
    <format dxfId="16">
      <pivotArea collapsedLevelsAreSubtotals="1" fieldPosition="0">
        <references count="2">
          <reference field="4294967294" count="1" selected="0">
            <x v="0"/>
          </reference>
          <reference field="1" count="6">
            <x v="1"/>
            <x v="2"/>
            <x v="3"/>
            <x v="4"/>
            <x v="5"/>
            <x v="6"/>
          </reference>
        </references>
      </pivotArea>
    </format>
  </formats>
  <pivotHierarchies count="3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duct_sales_data__1">
        <x15:activeTabTopLevelEntity name="[product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9D6CF6-F72E-4ABE-B687-C7A56D5BA20E}" name="PivotTable7" cacheId="125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U3:V1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2">
    <format dxfId="17">
      <pivotArea outline="0" collapsedLevelsAreSubtotals="1" fieldPosition="0"/>
    </format>
    <format dxfId="18">
      <pivotArea dataOnly="0" labelOnly="1" outline="0" axis="axisValues"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duct_sales_data__1">
        <x15:activeTabTopLevelEntity name="[product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CA7E6A-1B9A-4658-AA54-609D5B2D890D}" name="PivotTable6" cacheId="125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R3:S1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2">
    <format dxfId="19">
      <pivotArea outline="0" collapsedLevelsAreSubtotals="1" fieldPosition="0"/>
    </format>
    <format dxfId="2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duct_sales_data__1">
        <x15:activeTabTopLevelEntity name="[product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A7DED3-042A-4FA3-A1ED-7996801A90C6}" name="PivotTable5" cacheId="125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3">
  <location ref="O3:P1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76"/>
  </dataFields>
  <formats count="2">
    <format dxfId="21">
      <pivotArea dataOnly="0" labelOnly="1" outline="0" axis="axisValues" fieldPosition="0"/>
    </format>
    <format dxfId="22">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duct_sales_data__1">
        <x15:activeTabTopLevelEntity name="[product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A5BF90-E7BE-46B6-A7A1-AF99D0206208}" name="PivotTable4" cacheId="124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L3:M1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2">
    <format dxfId="23">
      <pivotArea outline="0" collapsedLevelsAreSubtotals="1" fieldPosition="0"/>
    </format>
    <format dxfId="2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duct_sales_data__1">
        <x15:activeTabTopLevelEntity name="[product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B3517E6-7C63-48A4-8DDE-BBF5AB00D845}" name="PivotTable3" cacheId="124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H3:I1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44"/>
  </dataFields>
  <formats count="5">
    <format dxfId="25">
      <pivotArea outline="0" collapsedLevelsAreSubtotals="1" fieldPosition="0"/>
    </format>
    <format dxfId="26">
      <pivotArea dataOnly="0" labelOnly="1" outline="0" axis="axisValues" fieldPosition="0"/>
    </format>
    <format dxfId="27">
      <pivotArea collapsedLevelsAreSubtotals="1" fieldPosition="0">
        <references count="1">
          <reference field="1" count="1">
            <x v="3"/>
          </reference>
        </references>
      </pivotArea>
    </format>
    <format dxfId="28">
      <pivotArea collapsedLevelsAreSubtotals="1" fieldPosition="0">
        <references count="1">
          <reference field="1" count="11">
            <x v="0"/>
            <x v="1"/>
            <x v="2"/>
            <x v="4"/>
            <x v="5"/>
            <x v="6"/>
            <x v="7"/>
            <x v="8"/>
            <x v="9"/>
            <x v="10"/>
            <x v="11"/>
          </reference>
        </references>
      </pivotArea>
    </format>
    <format dxfId="29">
      <pivotArea grandRow="1"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duct_sales_data__1">
        <x15:activeTabTopLevelEntity name="[product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E4C68E0-CEC5-4C47-9FBB-950B91A52C8B}" name="PivotTable2" cacheId="10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1">
    <format dxfId="30">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duct_sales_data__1">
        <x15:activeTabTopLevelEntity name="[product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DBC36E8-D261-4FC3-9B34-E2FB4AE5EBC6}" name="PivotTable1" cacheId="123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76"/>
    <dataField fld="1" subtotal="count" baseField="0" baseItem="0" numFmtId="176"/>
    <dataField fld="2" subtotal="count" baseField="0" baseItem="0" numFmtId="176"/>
    <dataField fld="3" subtotal="count" baseField="0" baseItem="0"/>
    <dataField fld="4" subtotal="count" baseField="0" baseItem="0"/>
  </dataFields>
  <formats count="1">
    <format dxfId="43">
      <pivotArea outline="0" collapsedLevelsAreSubtotals="1" fieldPosition="0">
        <references count="1">
          <reference field="4294967294" count="3" selected="0">
            <x v="0"/>
            <x v="1"/>
            <x v="2"/>
          </reference>
        </references>
      </pivotArea>
    </format>
  </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product_sales_data__1">
        <x15:activeTabTopLevelEntity name="[product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1EAB5F9-69A7-475F-A899-7BC7A87CCB5D}" autoFormatId="16" applyNumberFormats="0" applyBorderFormats="0" applyFontFormats="0" applyPatternFormats="0" applyAlignmentFormats="0" applyWidthHeightFormats="0">
  <queryTableRefresh nextId="23">
    <queryTableFields count="22">
      <queryTableField id="1" name="product_sales_data__1[Date]" tableColumnId="1"/>
      <queryTableField id="2" name="product_sales_data__1[Region]" tableColumnId="2"/>
      <queryTableField id="3" name="product_sales_data__1[Product]" tableColumnId="3"/>
      <queryTableField id="4" name="product_sales_data__1[Quantity]" tableColumnId="4"/>
      <queryTableField id="5" name="product_sales_data__1[UnitPrice]" tableColumnId="5"/>
      <queryTableField id="6" name="product_sales_data__1[StoreLocation]" tableColumnId="6"/>
      <queryTableField id="7" name="product_sales_data__1[CustomerType]" tableColumnId="7"/>
      <queryTableField id="8" name="product_sales_data__1[Discount]" tableColumnId="8"/>
      <queryTableField id="9" name="product_sales_data__1[Salesperson]" tableColumnId="9"/>
      <queryTableField id="10" name="product_sales_data__1[TotalPrice]" tableColumnId="10"/>
      <queryTableField id="11" name="product_sales_data__1[PaymentMethod]" tableColumnId="11"/>
      <queryTableField id="12" name="product_sales_data__1[Promotion]" tableColumnId="12"/>
      <queryTableField id="13" name="product_sales_data__1[Returned]" tableColumnId="13"/>
      <queryTableField id="14" name="product_sales_data__1[OrderID]" tableColumnId="14"/>
      <queryTableField id="15" name="product_sales_data__1[CustomerName]" tableColumnId="15"/>
      <queryTableField id="16" name="product_sales_data__1[ShippingCost]" tableColumnId="16"/>
      <queryTableField id="17" name="product_sales_data__1[OrderDate]" tableColumnId="17"/>
      <queryTableField id="18" name="product_sales_data__1[DeliveryDate]" tableColumnId="18"/>
      <queryTableField id="19" name="product_sales_data__1[RegionManager]" tableColumnId="19"/>
      <queryTableField id="20" name="product_sales_data__1[Order Month]" tableColumnId="20"/>
      <queryTableField id="21" name="product_sales_data__1[Gross Revenue]" tableColumnId="21"/>
      <queryTableField id="22" name="product_sales_data__1[Total Discount]" tableColumnId="22"/>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701BE60-39D0-45FE-B700-15A5CB453924}" autoFormatId="16" applyNumberFormats="0" applyBorderFormats="0" applyFontFormats="0" applyPatternFormats="0" applyAlignmentFormats="0" applyWidthHeightFormats="0">
  <queryTableRefresh nextId="23">
    <queryTableFields count="22">
      <queryTableField id="1" name="product_sales_data__1[Date]" tableColumnId="1"/>
      <queryTableField id="2" name="product_sales_data__1[Region]" tableColumnId="2"/>
      <queryTableField id="3" name="product_sales_data__1[Product]" tableColumnId="3"/>
      <queryTableField id="4" name="product_sales_data__1[Quantity]" tableColumnId="4"/>
      <queryTableField id="5" name="product_sales_data__1[UnitPrice]" tableColumnId="5"/>
      <queryTableField id="6" name="product_sales_data__1[StoreLocation]" tableColumnId="6"/>
      <queryTableField id="7" name="product_sales_data__1[CustomerType]" tableColumnId="7"/>
      <queryTableField id="8" name="product_sales_data__1[Discount]" tableColumnId="8"/>
      <queryTableField id="9" name="product_sales_data__1[Salesperson]" tableColumnId="9"/>
      <queryTableField id="10" name="product_sales_data__1[TotalPrice]" tableColumnId="10"/>
      <queryTableField id="11" name="product_sales_data__1[PaymentMethod]" tableColumnId="11"/>
      <queryTableField id="12" name="product_sales_data__1[Promotion]" tableColumnId="12"/>
      <queryTableField id="13" name="product_sales_data__1[Returned]" tableColumnId="13"/>
      <queryTableField id="14" name="product_sales_data__1[OrderID]" tableColumnId="14"/>
      <queryTableField id="15" name="product_sales_data__1[CustomerName]" tableColumnId="15"/>
      <queryTableField id="16" name="product_sales_data__1[ShippingCost]" tableColumnId="16"/>
      <queryTableField id="17" name="product_sales_data__1[OrderDate]" tableColumnId="17"/>
      <queryTableField id="18" name="product_sales_data__1[DeliveryDate]" tableColumnId="18"/>
      <queryTableField id="19" name="product_sales_data__1[RegionManager]" tableColumnId="19"/>
      <queryTableField id="20" name="product_sales_data__1[Order Month]" tableColumnId="20"/>
      <queryTableField id="21" name="product_sales_data__1[Gross Revenue]" tableColumnId="21"/>
      <queryTableField id="22" name="product_sales_data__1[Total Discount]" tableColumnId="22"/>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C287307D-458A-44B4-A797-AD26DA97E2BD}" autoFormatId="16" applyNumberFormats="0" applyBorderFormats="0" applyFontFormats="0" applyPatternFormats="0" applyAlignmentFormats="0" applyWidthHeightFormats="0">
  <queryTableRefresh nextId="23" unboundColumnsRight="2">
    <queryTableFields count="22">
      <queryTableField id="1" name="Date" tableColumnId="1"/>
      <queryTableField id="2" name="Region" tableColumnId="2"/>
      <queryTableField id="3" name="Product" tableColumnId="3"/>
      <queryTableField id="4" name="Quantity" tableColumnId="4"/>
      <queryTableField id="5" name="UnitPrice" tableColumnId="5"/>
      <queryTableField id="6" name="StoreLocation" tableColumnId="6"/>
      <queryTableField id="7" name="CustomerType" tableColumnId="7"/>
      <queryTableField id="8" name="Discount" tableColumnId="8"/>
      <queryTableField id="9" name="Salesperson" tableColumnId="9"/>
      <queryTableField id="10" name="TotalPrice" tableColumnId="10"/>
      <queryTableField id="11" name="PaymentMethod" tableColumnId="11"/>
      <queryTableField id="12" name="Promotion" tableColumnId="12"/>
      <queryTableField id="13" name="Returned" tableColumnId="13"/>
      <queryTableField id="14" name="OrderID" tableColumnId="14"/>
      <queryTableField id="15" name="CustomerName" tableColumnId="15"/>
      <queryTableField id="16" name="ShippingCost" tableColumnId="16"/>
      <queryTableField id="17" name="OrderDate" tableColumnId="17"/>
      <queryTableField id="18" name="DeliveryDate" tableColumnId="18"/>
      <queryTableField id="19" name="RegionManager" tableColumnId="19"/>
      <queryTableField id="20" name="Order Month" tableColumnId="20"/>
      <queryTableField id="21" dataBound="0" tableColumnId="21"/>
      <queryTableField id="22" dataBound="0" tableColumnId="22"/>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F2DB4399-216A-4BB0-9EE8-4F8B96E9E7FC}" sourceName="[product_sales_data__1].[StoreLocation]">
  <pivotTables>
    <pivotTable tabId="3" name="PivotTable15"/>
    <pivotTable tabId="3" name="PivotTable16"/>
    <pivotTable tabId="3" name="PivotTable1"/>
    <pivotTable tabId="3" name="PivotTable11"/>
    <pivotTable tabId="3" name="PivotTable12"/>
    <pivotTable tabId="3" name="PivotTable13"/>
    <pivotTable tabId="3" name="PivotTable14"/>
    <pivotTable tabId="3" name="PivotTable3"/>
    <pivotTable tabId="3" name="PivotTable4"/>
    <pivotTable tabId="3" name="PivotTable5"/>
    <pivotTable tabId="3" name="PivotTable6"/>
    <pivotTable tabId="3" name="PivotTable7"/>
    <pivotTable tabId="3" name="PivotTable8"/>
    <pivotTable tabId="3" name="PivotTable9"/>
  </pivotTables>
  <data>
    <olap pivotCacheId="1486153013">
      <levels count="2">
        <level uniqueName="[product_sales_data__1].[StoreLocation].[(All)]" sourceCaption="(All)" count="0"/>
        <level uniqueName="[product_sales_data__1].[StoreLocation].[StoreLocation]" sourceCaption="StoreLocation" count="4">
          <ranges>
            <range startItem="0">
              <i n="[product_sales_data__1].[StoreLocation].&amp;[Store A]" c="Store A"/>
              <i n="[product_sales_data__1].[StoreLocation].&amp;[Store B]" c="Store B"/>
              <i n="[product_sales_data__1].[StoreLocation].&amp;[Store C]" c="Store C"/>
              <i n="[product_sales_data__1].[StoreLocation].&amp;[Store D]" c="Store D"/>
            </range>
          </ranges>
        </level>
      </levels>
      <selections count="1">
        <selection n="[product_sales_data__1].[StoreLo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1825481D-F77C-4B17-99CC-99D5D455A913}" sourceName="[product_sales_data__1].[OrderDate (Year)]">
  <pivotTables>
    <pivotTable tabId="3" name="PivotTable16"/>
    <pivotTable tabId="3" name="PivotTable1"/>
    <pivotTable tabId="3" name="PivotTable11"/>
    <pivotTable tabId="3" name="PivotTable12"/>
    <pivotTable tabId="3" name="PivotTable13"/>
    <pivotTable tabId="3" name="PivotTable14"/>
    <pivotTable tabId="3" name="PivotTable15"/>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486153013">
      <levels count="2">
        <level uniqueName="[product_sales_data__1].[OrderDate (Year)].[(All)]" sourceCaption="(All)" count="0"/>
        <level uniqueName="[product_sales_data__1].[OrderDate (Year)].[OrderDate (Year)]" sourceCaption="OrderDate (Year)" count="3">
          <ranges>
            <range startItem="0">
              <i n="[product_sales_data__1].[OrderDate (Year)].&amp;[2023]" c="2023"/>
              <i n="[product_sales_data__1].[OrderDate (Year)].&amp;[2024]" c="2024"/>
              <i n="[product_sales_data__1].[OrderDate (Year)].&amp;[2025]" c="2025"/>
            </range>
          </ranges>
        </level>
      </levels>
      <selections count="1">
        <selection n="[product_sales_data__1].[Order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Location" xr10:uid="{BA22670E-647B-4413-8DFB-808B28399156}" cache="Slicer_StoreLocation" caption="StoreLocation" columnCount="4" showCaption="0" level="1" style="SlicerStyleOther1 3" rowHeight="182880"/>
  <slicer name="OrderDate (Year)" xr10:uid="{D2C294EB-755D-468F-A28D-F8E8BC041FCB}" cache="Slicer_OrderDate__Year" caption="OrderDate (Year)" columnCount="3" showCaption="0" level="1" style="SlicerStyleOther1 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887D3E-F341-4107-AADC-74A3D0505026}" name="Table_ExternalData_1" displayName="Table_ExternalData_1" ref="A3:V584" tableType="queryTable" totalsRowShown="0">
  <autoFilter ref="A3:V584" xr:uid="{D9887D3E-F341-4107-AADC-74A3D0505026}"/>
  <tableColumns count="22">
    <tableColumn id="1" xr3:uid="{2D9F9C10-1D9F-459F-9C5B-09AD4AF00D4D}" uniqueName="1" name="product_sales_data__1[Date]" queryTableFieldId="1"/>
    <tableColumn id="2" xr3:uid="{B886462C-01A5-4D1D-95A2-8B2F06AEFCF8}" uniqueName="2" name="product_sales_data__1[Region]" queryTableFieldId="2"/>
    <tableColumn id="3" xr3:uid="{EC6C49D2-A01F-4570-A6AF-07FBEBE62D87}" uniqueName="3" name="product_sales_data__1[Product]" queryTableFieldId="3"/>
    <tableColumn id="4" xr3:uid="{B08D1DFC-149D-48C6-B9D6-2BA05EC720C9}" uniqueName="4" name="product_sales_data__1[Quantity]" queryTableFieldId="4"/>
    <tableColumn id="5" xr3:uid="{322E9770-516F-4166-8835-D76000396D09}" uniqueName="5" name="product_sales_data__1[UnitPrice]" queryTableFieldId="5"/>
    <tableColumn id="6" xr3:uid="{A0DA7F82-FBFA-4804-B4E0-13DABE8EFC39}" uniqueName="6" name="product_sales_data__1[StoreLocation]" queryTableFieldId="6"/>
    <tableColumn id="7" xr3:uid="{D14348E6-52F8-442F-BE32-FD568C1BED4C}" uniqueName="7" name="product_sales_data__1[CustomerType]" queryTableFieldId="7"/>
    <tableColumn id="8" xr3:uid="{EF9DFC52-69A5-4D9D-9228-20C977C0D177}" uniqueName="8" name="product_sales_data__1[Discount]" queryTableFieldId="8"/>
    <tableColumn id="9" xr3:uid="{9FCB448F-CFA7-46D7-8F0E-0C32FA02EAA9}" uniqueName="9" name="product_sales_data__1[Salesperson]" queryTableFieldId="9"/>
    <tableColumn id="10" xr3:uid="{34FC6B4A-B2EE-482B-8117-B2513D0B496C}" uniqueName="10" name="product_sales_data__1[TotalPrice]" queryTableFieldId="10"/>
    <tableColumn id="11" xr3:uid="{ECE9B6BA-9D8C-481A-A98E-3DDFFBC38AB7}" uniqueName="11" name="product_sales_data__1[PaymentMethod]" queryTableFieldId="11"/>
    <tableColumn id="12" xr3:uid="{1E72E769-DC05-4F7F-8F07-CC7827ADCCD3}" uniqueName="12" name="product_sales_data__1[Promotion]" queryTableFieldId="12"/>
    <tableColumn id="13" xr3:uid="{20DF5A7C-E827-4DCC-BA15-4392926C04E3}" uniqueName="13" name="product_sales_data__1[Returned]" queryTableFieldId="13"/>
    <tableColumn id="14" xr3:uid="{0DD1A219-CE63-4C9F-B1DF-C43A5ABC64BC}" uniqueName="14" name="product_sales_data__1[OrderID]" queryTableFieldId="14"/>
    <tableColumn id="15" xr3:uid="{B1C80C50-F800-46D1-A138-0C4DEC2D88CC}" uniqueName="15" name="product_sales_data__1[CustomerName]" queryTableFieldId="15"/>
    <tableColumn id="16" xr3:uid="{9DBC5F4C-95B0-493D-8E57-B7E97ABCA34F}" uniqueName="16" name="product_sales_data__1[ShippingCost]" queryTableFieldId="16"/>
    <tableColumn id="17" xr3:uid="{E297A2C7-4568-4625-A828-2C96D97B174A}" uniqueName="17" name="product_sales_data__1[OrderDate]" queryTableFieldId="17" dataDxfId="49"/>
    <tableColumn id="18" xr3:uid="{3EBC3C0E-66D5-4E89-8DE3-2CB9A10CA7A9}" uniqueName="18" name="product_sales_data__1[DeliveryDate]" queryTableFieldId="18"/>
    <tableColumn id="19" xr3:uid="{5AA41AC2-AF07-4A1A-BF42-AB2768D45D80}" uniqueName="19" name="product_sales_data__1[RegionManager]" queryTableFieldId="19"/>
    <tableColumn id="20" xr3:uid="{642BC3FD-7B34-460B-932F-698CE5348928}" uniqueName="20" name="product_sales_data__1[Order Month]" queryTableFieldId="20"/>
    <tableColumn id="21" xr3:uid="{6D6C732E-1C4B-487B-B7EB-A542169A008C}" uniqueName="21" name="product_sales_data__1[Gross Revenue]" queryTableFieldId="21"/>
    <tableColumn id="22" xr3:uid="{D5D553E1-062C-465B-AD89-57229367F3F9}" uniqueName="22" name="product_sales_data__1[Total Discount]" queryTableField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F9E128-09D9-4A07-96DE-BD3909C0F466}" name="Table_ExternalData_14" displayName="Table_ExternalData_14" ref="A3:V292" tableType="queryTable" totalsRowShown="0">
  <autoFilter ref="A3:V292" xr:uid="{15F9E128-09D9-4A07-96DE-BD3909C0F466}"/>
  <tableColumns count="22">
    <tableColumn id="1" xr3:uid="{CC1D6823-CB64-461E-8914-6E22BB994255}" uniqueName="1" name="product_sales_data__1[Date]" queryTableFieldId="1"/>
    <tableColumn id="2" xr3:uid="{5F2B687C-315D-4EFE-8BC8-EFF072705699}" uniqueName="2" name="product_sales_data__1[Region]" queryTableFieldId="2"/>
    <tableColumn id="3" xr3:uid="{14AEC0CE-34A2-454E-BA05-3EA7B7783AF9}" uniqueName="3" name="product_sales_data__1[Product]" queryTableFieldId="3"/>
    <tableColumn id="4" xr3:uid="{01E047E5-1014-4C9E-9937-727C6DA367A5}" uniqueName="4" name="product_sales_data__1[Quantity]" queryTableFieldId="4"/>
    <tableColumn id="5" xr3:uid="{5D7C80A8-693A-4898-A63B-812ECAB4951D}" uniqueName="5" name="product_sales_data__1[UnitPrice]" queryTableFieldId="5"/>
    <tableColumn id="6" xr3:uid="{9CC18B60-3C6C-41A2-AE82-63F717073150}" uniqueName="6" name="product_sales_data__1[StoreLocation]" queryTableFieldId="6"/>
    <tableColumn id="7" xr3:uid="{96EE6BBE-AE63-45B4-A333-057CDFC38687}" uniqueName="7" name="product_sales_data__1[CustomerType]" queryTableFieldId="7"/>
    <tableColumn id="8" xr3:uid="{5D135C01-B6C9-40B8-9167-388DDC695AD5}" uniqueName="8" name="product_sales_data__1[Discount]" queryTableFieldId="8"/>
    <tableColumn id="9" xr3:uid="{9F9B4880-B243-4DD5-9104-6AB9342C909A}" uniqueName="9" name="product_sales_data__1[Salesperson]" queryTableFieldId="9"/>
    <tableColumn id="10" xr3:uid="{97A3ACE6-E41F-4373-8E9E-55BE0EF5B9F3}" uniqueName="10" name="product_sales_data__1[TotalPrice]" queryTableFieldId="10"/>
    <tableColumn id="11" xr3:uid="{7DDEFA13-8F24-4648-A61E-A593332211D1}" uniqueName="11" name="product_sales_data__1[PaymentMethod]" queryTableFieldId="11"/>
    <tableColumn id="12" xr3:uid="{C34EA556-9ED2-4D5D-91E1-B23AB5D51E07}" uniqueName="12" name="product_sales_data__1[Promotion]" queryTableFieldId="12"/>
    <tableColumn id="13" xr3:uid="{D371E366-DD11-4729-AB29-8804AF00B226}" uniqueName="13" name="product_sales_data__1[Returned]" queryTableFieldId="13"/>
    <tableColumn id="14" xr3:uid="{1439932C-CD2B-4230-B0DB-C731FDC0F04E}" uniqueName="14" name="product_sales_data__1[OrderID]" queryTableFieldId="14"/>
    <tableColumn id="15" xr3:uid="{A82E34FB-F498-440C-A22A-F66EE4710A97}" uniqueName="15" name="product_sales_data__1[CustomerName]" queryTableFieldId="15"/>
    <tableColumn id="16" xr3:uid="{288950B3-B72F-448D-A312-FA720C4B4837}" uniqueName="16" name="product_sales_data__1[ShippingCost]" queryTableFieldId="16"/>
    <tableColumn id="17" xr3:uid="{2060FF28-583C-43B1-98C5-AFBF297F461A}" uniqueName="17" name="product_sales_data__1[OrderDate]" queryTableFieldId="17" dataDxfId="48"/>
    <tableColumn id="18" xr3:uid="{5804877D-13DD-492D-A1E5-5B2C04DF1840}" uniqueName="18" name="product_sales_data__1[DeliveryDate]" queryTableFieldId="18"/>
    <tableColumn id="19" xr3:uid="{7641B8F4-32BE-4912-9F20-3DD85F975123}" uniqueName="19" name="product_sales_data__1[RegionManager]" queryTableFieldId="19"/>
    <tableColumn id="20" xr3:uid="{29BC05A7-AA30-4F64-BC8C-4A66216E25D9}" uniqueName="20" name="product_sales_data__1[Order Month]" queryTableFieldId="20"/>
    <tableColumn id="21" xr3:uid="{E00CCFB2-6F7F-4E4A-AB20-D7A19A6091E2}" uniqueName="21" name="product_sales_data__1[Gross Revenue]" queryTableFieldId="21"/>
    <tableColumn id="22" xr3:uid="{61703193-DD7A-42A3-8D5F-C89CBDA52F3F}" uniqueName="22" name="product_sales_data__1[Total Discount]" queryTableField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C9ED43-B748-4A04-8335-5343EAFEEF66}" name="product_sales_data__1" displayName="product_sales_data__1" ref="A1:V582" tableType="queryTable" totalsRowShown="0">
  <autoFilter ref="A1:V582" xr:uid="{08C9ED43-B748-4A04-8335-5343EAFEEF66}"/>
  <tableColumns count="22">
    <tableColumn id="1" xr3:uid="{BE902196-71B1-4C64-B525-0BF502E75243}" uniqueName="1" name="Date" queryTableFieldId="1" dataDxfId="65"/>
    <tableColumn id="2" xr3:uid="{E2445277-5193-427C-858C-83D475552D4F}" uniqueName="2" name="Region" queryTableFieldId="2" dataDxfId="64"/>
    <tableColumn id="3" xr3:uid="{5E28630D-F829-48FD-A5C0-4EE127CDF67D}" uniqueName="3" name="Product" queryTableFieldId="3" dataDxfId="63"/>
    <tableColumn id="4" xr3:uid="{A7C78178-6C08-473B-A81D-1A119D4DF66C}" uniqueName="4" name="Quantity" queryTableFieldId="4"/>
    <tableColumn id="5" xr3:uid="{C970079A-23CA-407C-8EC8-3A40153A7A8D}" uniqueName="5" name="UnitPrice" queryTableFieldId="5" dataCellStyle="Currency"/>
    <tableColumn id="6" xr3:uid="{B951703D-D7AB-401E-B91B-4745C03A9610}" uniqueName="6" name="StoreLocation" queryTableFieldId="6" dataDxfId="52"/>
    <tableColumn id="7" xr3:uid="{1422A6D3-02F3-4271-9480-B355FC9F74FD}" uniqueName="7" name="CustomerType" queryTableFieldId="7" dataDxfId="62"/>
    <tableColumn id="8" xr3:uid="{E827D305-03F9-4DCE-B201-8BF715A17755}" uniqueName="8" name="Discount" queryTableFieldId="8"/>
    <tableColumn id="9" xr3:uid="{20F1A6AF-1E56-425D-8998-79330EC6B78B}" uniqueName="9" name="Salesperson" queryTableFieldId="9" dataDxfId="61"/>
    <tableColumn id="10" xr3:uid="{3E85977B-E9AC-43E9-9E74-2A2CE86F0A8D}" uniqueName="10" name="TotalPrice" queryTableFieldId="10" dataCellStyle="Currency"/>
    <tableColumn id="11" xr3:uid="{AC93AC61-C5B4-446A-A40F-B39387BDE805}" uniqueName="11" name="PaymentMethod" queryTableFieldId="11" dataDxfId="60"/>
    <tableColumn id="12" xr3:uid="{318595CA-CBB2-4AAE-A9DA-D21F41105322}" uniqueName="12" name="Promotion" queryTableFieldId="12" dataDxfId="59"/>
    <tableColumn id="13" xr3:uid="{A5C9CB69-39C1-4C23-8ECF-15BA69FA5750}" uniqueName="13" name="Returned" queryTableFieldId="13"/>
    <tableColumn id="14" xr3:uid="{3AEE8A02-55B0-488D-B296-3BED31D95F44}" uniqueName="14" name="OrderID" queryTableFieldId="14" dataDxfId="58"/>
    <tableColumn id="15" xr3:uid="{A6110823-4427-4FB6-B7FE-56A6122E67BD}" uniqueName="15" name="CustomerName" queryTableFieldId="15" dataDxfId="57"/>
    <tableColumn id="16" xr3:uid="{53987961-E4C5-4D63-8BF2-E256448A1B1B}" uniqueName="16" name="ShippingCost" queryTableFieldId="16" dataCellStyle="Currency"/>
    <tableColumn id="17" xr3:uid="{DAB65775-25AB-46A5-88A6-D2EC6B76F4E2}" uniqueName="17" name="OrderDate" queryTableFieldId="17" dataDxfId="56"/>
    <tableColumn id="18" xr3:uid="{1872B445-CDE7-4FA3-AE2D-EACE029C602F}" uniqueName="18" name="DeliveryDate" queryTableFieldId="18" dataDxfId="55"/>
    <tableColumn id="19" xr3:uid="{32FBDAA1-35C9-4009-80AD-7D32C36CA2E4}" uniqueName="19" name="RegionManager" queryTableFieldId="19" dataDxfId="54"/>
    <tableColumn id="20" xr3:uid="{E7728FB7-C489-4488-9765-EB42C8B9CD5D}" uniqueName="20" name="Order Month" queryTableFieldId="20" dataDxfId="53"/>
    <tableColumn id="21" xr3:uid="{2DF3241B-6BF2-4801-B115-EF090DFC4145}" uniqueName="21" name="Gross Revenue" queryTableFieldId="21" dataDxfId="51">
      <calculatedColumnFormula>product_sales_data__1[[#This Row],[TotalPrice]]-product_sales_data__1[[#This Row],[ShippingCost]]</calculatedColumnFormula>
    </tableColumn>
    <tableColumn id="22" xr3:uid="{868CC1FB-6882-448D-9BC1-A32E98844349}" uniqueName="22" name="Total Discount" queryTableFieldId="22" dataDxfId="50">
      <calculatedColumnFormula>product_sales_data__1[[#This Row],[Quantity]]*product_sales_data__1[[#This Row],[UnitPrice]]*product_sales_data__1[[#This Row],[Discount]]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97113037-9555-4711-B198-A8FBAFA94F69}" sourceName="[product_sales_data__1].[OrderDate]">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1"/>
    <pivotTable tabId="3" name="PivotTable12"/>
    <pivotTable tabId="3" name="PivotTable13"/>
    <pivotTable tabId="3" name="PivotTable14"/>
    <pivotTable tabId="3" name="PivotTable15"/>
    <pivotTable tabId="3" name="PivotTable16"/>
  </pivotTables>
  <state minimalRefreshVersion="6" lastRefreshVersion="6" pivotCacheId="1752293310"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310EB36D-64E5-4B43-87E5-FE4D0C87973B}" cache="Timeline_OrderDate" caption="Order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1/relationships/timeline" Target="../timelines/timeline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16FC1-F3F5-4066-BF5E-DAF8670DFAD9}">
  <dimension ref="A1:V584"/>
  <sheetViews>
    <sheetView workbookViewId="0"/>
  </sheetViews>
  <sheetFormatPr defaultRowHeight="14.4" x14ac:dyDescent="0.3"/>
  <cols>
    <col min="1" max="1" width="27.33203125" bestFit="1" customWidth="1"/>
    <col min="2" max="2" width="29.109375" bestFit="1" customWidth="1"/>
    <col min="3" max="3" width="30.109375" bestFit="1" customWidth="1"/>
    <col min="4" max="4" width="30.6640625" bestFit="1" customWidth="1"/>
    <col min="5" max="5" width="31.33203125" bestFit="1" customWidth="1"/>
    <col min="6" max="6" width="35.21875" bestFit="1" customWidth="1"/>
    <col min="7" max="7" width="35.6640625" bestFit="1" customWidth="1"/>
    <col min="8" max="8" width="30.88671875" bestFit="1" customWidth="1"/>
    <col min="9" max="9" width="33.88671875" bestFit="1" customWidth="1"/>
    <col min="10" max="10" width="32.109375" bestFit="1" customWidth="1"/>
    <col min="11" max="11" width="37.33203125" bestFit="1" customWidth="1"/>
    <col min="12" max="12" width="32.33203125" bestFit="1" customWidth="1"/>
    <col min="13" max="13" width="31.109375" bestFit="1" customWidth="1"/>
    <col min="14" max="14" width="30.109375" bestFit="1" customWidth="1"/>
    <col min="15" max="15" width="36.88671875" bestFit="1" customWidth="1"/>
    <col min="16" max="16" width="34.77734375" bestFit="1" customWidth="1"/>
    <col min="17" max="17" width="32.33203125" bestFit="1" customWidth="1"/>
    <col min="18" max="18" width="34.33203125" bestFit="1" customWidth="1"/>
    <col min="19" max="19" width="36.33203125" bestFit="1" customWidth="1"/>
    <col min="20" max="20" width="33.88671875" bestFit="1" customWidth="1"/>
    <col min="21" max="21" width="35.88671875" bestFit="1" customWidth="1"/>
    <col min="22" max="22" width="35.44140625" bestFit="1" customWidth="1"/>
  </cols>
  <sheetData>
    <row r="1" spans="1:22" x14ac:dyDescent="0.3">
      <c r="A1" s="11" t="s">
        <v>1756</v>
      </c>
    </row>
    <row r="3" spans="1:22" x14ac:dyDescent="0.3">
      <c r="A3" t="s">
        <v>1734</v>
      </c>
      <c r="B3" t="s">
        <v>1735</v>
      </c>
      <c r="C3" t="s">
        <v>1736</v>
      </c>
      <c r="D3" t="s">
        <v>1737</v>
      </c>
      <c r="E3" t="s">
        <v>1738</v>
      </c>
      <c r="F3" t="s">
        <v>1739</v>
      </c>
      <c r="G3" t="s">
        <v>1740</v>
      </c>
      <c r="H3" t="s">
        <v>1741</v>
      </c>
      <c r="I3" t="s">
        <v>1742</v>
      </c>
      <c r="J3" t="s">
        <v>1743</v>
      </c>
      <c r="K3" t="s">
        <v>1744</v>
      </c>
      <c r="L3" t="s">
        <v>1745</v>
      </c>
      <c r="M3" t="s">
        <v>1746</v>
      </c>
      <c r="N3" t="s">
        <v>1747</v>
      </c>
      <c r="O3" t="s">
        <v>1748</v>
      </c>
      <c r="P3" t="s">
        <v>1749</v>
      </c>
      <c r="Q3" t="s">
        <v>1750</v>
      </c>
      <c r="R3" t="s">
        <v>1751</v>
      </c>
      <c r="S3" t="s">
        <v>1752</v>
      </c>
      <c r="T3" t="s">
        <v>1753</v>
      </c>
      <c r="U3" t="s">
        <v>1754</v>
      </c>
      <c r="V3" t="s">
        <v>1755</v>
      </c>
    </row>
    <row r="4" spans="1:22" x14ac:dyDescent="0.3">
      <c r="A4" t="s">
        <v>20</v>
      </c>
      <c r="B4" t="s">
        <v>21</v>
      </c>
      <c r="C4" t="s">
        <v>22</v>
      </c>
      <c r="D4">
        <v>14</v>
      </c>
      <c r="E4">
        <v>346.18</v>
      </c>
      <c r="F4" t="s">
        <v>23</v>
      </c>
      <c r="G4" t="s">
        <v>24</v>
      </c>
      <c r="H4">
        <v>0.1</v>
      </c>
      <c r="I4" t="s">
        <v>25</v>
      </c>
      <c r="J4">
        <v>4361.87</v>
      </c>
      <c r="K4" t="s">
        <v>26</v>
      </c>
      <c r="L4" t="s">
        <v>27</v>
      </c>
      <c r="M4">
        <v>0</v>
      </c>
      <c r="N4" t="s">
        <v>28</v>
      </c>
      <c r="O4" t="s">
        <v>29</v>
      </c>
      <c r="P4">
        <v>20.46</v>
      </c>
      <c r="Q4" s="2">
        <v>45204</v>
      </c>
      <c r="R4" t="s">
        <v>30</v>
      </c>
      <c r="S4" t="s">
        <v>31</v>
      </c>
      <c r="T4" t="s">
        <v>32</v>
      </c>
      <c r="U4">
        <v>4341.41</v>
      </c>
      <c r="V4">
        <v>484.65200000000004</v>
      </c>
    </row>
    <row r="5" spans="1:22" x14ac:dyDescent="0.3">
      <c r="A5" t="s">
        <v>33</v>
      </c>
      <c r="B5" t="s">
        <v>34</v>
      </c>
      <c r="C5" t="s">
        <v>35</v>
      </c>
      <c r="D5">
        <v>7</v>
      </c>
      <c r="E5">
        <v>17.5</v>
      </c>
      <c r="F5" t="s">
        <v>36</v>
      </c>
      <c r="G5" t="s">
        <v>37</v>
      </c>
      <c r="H5">
        <v>0.1</v>
      </c>
      <c r="I5" t="s">
        <v>25</v>
      </c>
      <c r="J5">
        <v>110.25</v>
      </c>
      <c r="K5" t="s">
        <v>38</v>
      </c>
      <c r="L5" t="s">
        <v>27</v>
      </c>
      <c r="M5">
        <v>0</v>
      </c>
      <c r="N5" t="s">
        <v>39</v>
      </c>
      <c r="O5" t="s">
        <v>40</v>
      </c>
      <c r="P5">
        <v>5.0199999999999996</v>
      </c>
      <c r="Q5" s="2">
        <v>45231</v>
      </c>
      <c r="R5" t="s">
        <v>41</v>
      </c>
      <c r="S5" t="s">
        <v>42</v>
      </c>
      <c r="T5" t="s">
        <v>43</v>
      </c>
      <c r="U5">
        <v>105.23</v>
      </c>
      <c r="V5">
        <v>12.25</v>
      </c>
    </row>
    <row r="6" spans="1:22" x14ac:dyDescent="0.3">
      <c r="A6" t="s">
        <v>44</v>
      </c>
      <c r="B6" t="s">
        <v>45</v>
      </c>
      <c r="C6" t="s">
        <v>35</v>
      </c>
      <c r="D6">
        <v>3</v>
      </c>
      <c r="E6">
        <v>330.22</v>
      </c>
      <c r="F6" t="s">
        <v>36</v>
      </c>
      <c r="G6" t="s">
        <v>24</v>
      </c>
      <c r="H6">
        <v>0.15</v>
      </c>
      <c r="I6" t="s">
        <v>46</v>
      </c>
      <c r="J6">
        <v>842.06</v>
      </c>
      <c r="K6" t="s">
        <v>47</v>
      </c>
      <c r="L6" t="s">
        <v>48</v>
      </c>
      <c r="M6">
        <v>0</v>
      </c>
      <c r="N6" t="s">
        <v>49</v>
      </c>
      <c r="O6" t="s">
        <v>50</v>
      </c>
      <c r="P6">
        <v>48.01</v>
      </c>
      <c r="Q6" s="2">
        <v>45170</v>
      </c>
      <c r="R6" t="s">
        <v>33</v>
      </c>
      <c r="S6" t="s">
        <v>51</v>
      </c>
      <c r="T6" t="s">
        <v>52</v>
      </c>
      <c r="U6">
        <v>794.05</v>
      </c>
      <c r="V6">
        <v>148.59900000000002</v>
      </c>
    </row>
    <row r="7" spans="1:22" x14ac:dyDescent="0.3">
      <c r="A7" t="s">
        <v>53</v>
      </c>
      <c r="B7" t="s">
        <v>54</v>
      </c>
      <c r="C7" t="s">
        <v>22</v>
      </c>
      <c r="D7">
        <v>5</v>
      </c>
      <c r="E7">
        <v>323.27999999999997</v>
      </c>
      <c r="F7" t="s">
        <v>55</v>
      </c>
      <c r="G7" t="s">
        <v>37</v>
      </c>
      <c r="H7">
        <v>0.1</v>
      </c>
      <c r="I7" t="s">
        <v>56</v>
      </c>
      <c r="J7">
        <v>1454.76</v>
      </c>
      <c r="K7" t="s">
        <v>57</v>
      </c>
      <c r="L7" t="s">
        <v>58</v>
      </c>
      <c r="M7">
        <v>0</v>
      </c>
      <c r="N7" t="s">
        <v>59</v>
      </c>
      <c r="O7" t="s">
        <v>60</v>
      </c>
      <c r="P7">
        <v>41.1</v>
      </c>
      <c r="Q7" s="2">
        <v>45780</v>
      </c>
      <c r="R7" t="s">
        <v>61</v>
      </c>
      <c r="S7" t="s">
        <v>62</v>
      </c>
      <c r="T7" t="s">
        <v>63</v>
      </c>
      <c r="U7">
        <v>1413.66</v>
      </c>
      <c r="V7">
        <v>161.63999999999999</v>
      </c>
    </row>
    <row r="8" spans="1:22" x14ac:dyDescent="0.3">
      <c r="A8" t="s">
        <v>64</v>
      </c>
      <c r="B8" t="s">
        <v>21</v>
      </c>
      <c r="C8" t="s">
        <v>22</v>
      </c>
      <c r="D8">
        <v>15</v>
      </c>
      <c r="E8">
        <v>523.29</v>
      </c>
      <c r="F8" t="s">
        <v>23</v>
      </c>
      <c r="G8" t="s">
        <v>24</v>
      </c>
      <c r="H8">
        <v>0.15</v>
      </c>
      <c r="I8" t="s">
        <v>65</v>
      </c>
      <c r="J8">
        <v>6671.95</v>
      </c>
      <c r="K8" t="s">
        <v>38</v>
      </c>
      <c r="L8" t="s">
        <v>48</v>
      </c>
      <c r="M8">
        <v>0</v>
      </c>
      <c r="N8" t="s">
        <v>66</v>
      </c>
      <c r="O8" t="s">
        <v>67</v>
      </c>
      <c r="P8">
        <v>12.14</v>
      </c>
      <c r="Q8" s="2">
        <v>45569</v>
      </c>
      <c r="R8" t="s">
        <v>68</v>
      </c>
      <c r="S8" t="s">
        <v>31</v>
      </c>
      <c r="T8" t="s">
        <v>32</v>
      </c>
      <c r="U8">
        <v>6659.8099999999995</v>
      </c>
      <c r="V8">
        <v>1177.4024999999999</v>
      </c>
    </row>
    <row r="9" spans="1:22" x14ac:dyDescent="0.3">
      <c r="A9" t="s">
        <v>69</v>
      </c>
      <c r="B9" t="s">
        <v>70</v>
      </c>
      <c r="C9" t="s">
        <v>71</v>
      </c>
      <c r="D9">
        <v>19</v>
      </c>
      <c r="E9">
        <v>207.35</v>
      </c>
      <c r="F9" t="s">
        <v>55</v>
      </c>
      <c r="G9" t="s">
        <v>37</v>
      </c>
      <c r="H9">
        <v>0.1</v>
      </c>
      <c r="I9" t="s">
        <v>65</v>
      </c>
      <c r="J9">
        <v>3545.69</v>
      </c>
      <c r="K9" t="s">
        <v>57</v>
      </c>
      <c r="L9" t="s">
        <v>48</v>
      </c>
      <c r="M9">
        <v>1</v>
      </c>
      <c r="N9" t="s">
        <v>72</v>
      </c>
      <c r="O9" t="s">
        <v>73</v>
      </c>
      <c r="P9">
        <v>44.89</v>
      </c>
      <c r="Q9" s="2">
        <v>45633</v>
      </c>
      <c r="R9" t="s">
        <v>74</v>
      </c>
      <c r="S9" t="s">
        <v>75</v>
      </c>
      <c r="T9" t="s">
        <v>76</v>
      </c>
      <c r="U9">
        <v>3500.8</v>
      </c>
      <c r="V9">
        <v>393.96500000000003</v>
      </c>
    </row>
    <row r="10" spans="1:22" x14ac:dyDescent="0.3">
      <c r="A10" t="s">
        <v>77</v>
      </c>
      <c r="B10" t="s">
        <v>21</v>
      </c>
      <c r="C10" t="s">
        <v>22</v>
      </c>
      <c r="D10">
        <v>15</v>
      </c>
      <c r="E10">
        <v>220.3</v>
      </c>
      <c r="F10" t="s">
        <v>23</v>
      </c>
      <c r="G10" t="s">
        <v>37</v>
      </c>
      <c r="H10">
        <v>0.15</v>
      </c>
      <c r="I10" t="s">
        <v>78</v>
      </c>
      <c r="J10">
        <v>2808.83</v>
      </c>
      <c r="K10" t="s">
        <v>38</v>
      </c>
      <c r="L10" t="s">
        <v>48</v>
      </c>
      <c r="M10">
        <v>0</v>
      </c>
      <c r="N10" t="s">
        <v>79</v>
      </c>
      <c r="O10" t="s">
        <v>80</v>
      </c>
      <c r="P10">
        <v>39.659999999999997</v>
      </c>
      <c r="Q10" s="2">
        <v>45516</v>
      </c>
      <c r="R10" t="s">
        <v>81</v>
      </c>
      <c r="S10" t="s">
        <v>31</v>
      </c>
      <c r="T10" t="s">
        <v>82</v>
      </c>
      <c r="U10">
        <v>2769.17</v>
      </c>
      <c r="V10">
        <v>495.67499999999995</v>
      </c>
    </row>
    <row r="11" spans="1:22" x14ac:dyDescent="0.3">
      <c r="A11" t="s">
        <v>83</v>
      </c>
      <c r="B11" t="s">
        <v>54</v>
      </c>
      <c r="C11" t="s">
        <v>35</v>
      </c>
      <c r="D11">
        <v>17</v>
      </c>
      <c r="E11">
        <v>162.96</v>
      </c>
      <c r="F11" t="s">
        <v>84</v>
      </c>
      <c r="G11" t="s">
        <v>24</v>
      </c>
      <c r="H11">
        <v>0.05</v>
      </c>
      <c r="I11" t="s">
        <v>65</v>
      </c>
      <c r="J11">
        <v>2631.8</v>
      </c>
      <c r="K11" t="s">
        <v>57</v>
      </c>
      <c r="L11" t="s">
        <v>85</v>
      </c>
      <c r="M11">
        <v>0</v>
      </c>
      <c r="N11" t="s">
        <v>86</v>
      </c>
      <c r="O11" t="s">
        <v>87</v>
      </c>
      <c r="P11">
        <v>8.11</v>
      </c>
      <c r="Q11" s="2">
        <v>45966</v>
      </c>
      <c r="R11" t="s">
        <v>88</v>
      </c>
      <c r="S11" t="s">
        <v>62</v>
      </c>
      <c r="T11" t="s">
        <v>43</v>
      </c>
      <c r="U11">
        <v>2623.69</v>
      </c>
      <c r="V11">
        <v>138.51600000000002</v>
      </c>
    </row>
    <row r="12" spans="1:22" x14ac:dyDescent="0.3">
      <c r="A12" t="s">
        <v>89</v>
      </c>
      <c r="B12" t="s">
        <v>54</v>
      </c>
      <c r="C12" t="s">
        <v>71</v>
      </c>
      <c r="D12">
        <v>10</v>
      </c>
      <c r="E12">
        <v>319.05</v>
      </c>
      <c r="F12" t="s">
        <v>55</v>
      </c>
      <c r="G12" t="s">
        <v>24</v>
      </c>
      <c r="H12">
        <v>0</v>
      </c>
      <c r="I12" t="s">
        <v>78</v>
      </c>
      <c r="J12">
        <v>3190.5</v>
      </c>
      <c r="K12" t="s">
        <v>26</v>
      </c>
      <c r="L12" t="s">
        <v>48</v>
      </c>
      <c r="M12">
        <v>0</v>
      </c>
      <c r="N12" t="s">
        <v>90</v>
      </c>
      <c r="O12" t="s">
        <v>91</v>
      </c>
      <c r="P12">
        <v>28.43</v>
      </c>
      <c r="Q12" s="2">
        <v>45783</v>
      </c>
      <c r="R12" t="s">
        <v>92</v>
      </c>
      <c r="S12" t="s">
        <v>62</v>
      </c>
      <c r="T12" t="s">
        <v>63</v>
      </c>
      <c r="U12">
        <v>3162.07</v>
      </c>
      <c r="V12">
        <v>0</v>
      </c>
    </row>
    <row r="13" spans="1:22" x14ac:dyDescent="0.3">
      <c r="A13" t="s">
        <v>93</v>
      </c>
      <c r="B13" t="s">
        <v>45</v>
      </c>
      <c r="C13" t="s">
        <v>35</v>
      </c>
      <c r="D13">
        <v>14</v>
      </c>
      <c r="E13">
        <v>312.79000000000002</v>
      </c>
      <c r="F13" t="s">
        <v>84</v>
      </c>
      <c r="G13" t="s">
        <v>37</v>
      </c>
      <c r="H13">
        <v>0.05</v>
      </c>
      <c r="I13" t="s">
        <v>94</v>
      </c>
      <c r="J13">
        <v>4160.1099999999997</v>
      </c>
      <c r="K13" t="s">
        <v>26</v>
      </c>
      <c r="L13" t="s">
        <v>48</v>
      </c>
      <c r="M13">
        <v>1</v>
      </c>
      <c r="N13" t="s">
        <v>95</v>
      </c>
      <c r="O13" t="s">
        <v>96</v>
      </c>
      <c r="P13">
        <v>46.83</v>
      </c>
      <c r="Q13" s="2">
        <v>44988</v>
      </c>
      <c r="R13" t="s">
        <v>97</v>
      </c>
      <c r="S13" t="s">
        <v>51</v>
      </c>
      <c r="T13" t="s">
        <v>98</v>
      </c>
      <c r="U13">
        <v>4113.28</v>
      </c>
      <c r="V13">
        <v>218.95300000000003</v>
      </c>
    </row>
    <row r="14" spans="1:22" x14ac:dyDescent="0.3">
      <c r="A14" t="s">
        <v>99</v>
      </c>
      <c r="B14" t="s">
        <v>45</v>
      </c>
      <c r="C14" t="s">
        <v>100</v>
      </c>
      <c r="D14">
        <v>12</v>
      </c>
      <c r="E14">
        <v>472.72</v>
      </c>
      <c r="F14" t="s">
        <v>55</v>
      </c>
      <c r="G14" t="s">
        <v>37</v>
      </c>
      <c r="H14">
        <v>0.15</v>
      </c>
      <c r="I14" t="s">
        <v>78</v>
      </c>
      <c r="J14">
        <v>4821.74</v>
      </c>
      <c r="K14" t="s">
        <v>101</v>
      </c>
      <c r="L14" t="s">
        <v>48</v>
      </c>
      <c r="M14">
        <v>0</v>
      </c>
      <c r="N14" t="s">
        <v>102</v>
      </c>
      <c r="O14" t="s">
        <v>103</v>
      </c>
      <c r="P14">
        <v>27.97</v>
      </c>
      <c r="Q14" s="2">
        <v>45085</v>
      </c>
      <c r="R14" t="s">
        <v>104</v>
      </c>
      <c r="S14" t="s">
        <v>51</v>
      </c>
      <c r="T14" t="s">
        <v>105</v>
      </c>
      <c r="U14">
        <v>4793.7699999999995</v>
      </c>
      <c r="V14">
        <v>850.89600000000007</v>
      </c>
    </row>
    <row r="15" spans="1:22" x14ac:dyDescent="0.3">
      <c r="A15" t="s">
        <v>93</v>
      </c>
      <c r="B15" t="s">
        <v>21</v>
      </c>
      <c r="C15" t="s">
        <v>71</v>
      </c>
      <c r="D15">
        <v>4</v>
      </c>
      <c r="E15">
        <v>279.49</v>
      </c>
      <c r="F15" t="s">
        <v>23</v>
      </c>
      <c r="G15" t="s">
        <v>37</v>
      </c>
      <c r="H15">
        <v>0</v>
      </c>
      <c r="I15" t="s">
        <v>78</v>
      </c>
      <c r="J15">
        <v>1117.96</v>
      </c>
      <c r="K15" t="s">
        <v>101</v>
      </c>
      <c r="L15" t="s">
        <v>85</v>
      </c>
      <c r="M15">
        <v>0</v>
      </c>
      <c r="N15" t="s">
        <v>106</v>
      </c>
      <c r="O15" t="s">
        <v>107</v>
      </c>
      <c r="P15">
        <v>24.78</v>
      </c>
      <c r="Q15" s="2">
        <v>44988</v>
      </c>
      <c r="R15" t="s">
        <v>97</v>
      </c>
      <c r="S15" t="s">
        <v>31</v>
      </c>
      <c r="T15" t="s">
        <v>98</v>
      </c>
      <c r="U15">
        <v>1093.18</v>
      </c>
      <c r="V15">
        <v>0</v>
      </c>
    </row>
    <row r="16" spans="1:22" x14ac:dyDescent="0.3">
      <c r="A16" t="s">
        <v>108</v>
      </c>
      <c r="B16" t="s">
        <v>45</v>
      </c>
      <c r="C16" t="s">
        <v>109</v>
      </c>
      <c r="D16">
        <v>1</v>
      </c>
      <c r="E16">
        <v>472.07</v>
      </c>
      <c r="F16" t="s">
        <v>84</v>
      </c>
      <c r="G16" t="s">
        <v>24</v>
      </c>
      <c r="H16">
        <v>0.1</v>
      </c>
      <c r="I16" t="s">
        <v>46</v>
      </c>
      <c r="J16">
        <v>424.86</v>
      </c>
      <c r="K16" t="s">
        <v>26</v>
      </c>
      <c r="L16" t="s">
        <v>85</v>
      </c>
      <c r="M16">
        <v>0</v>
      </c>
      <c r="N16" t="s">
        <v>110</v>
      </c>
      <c r="O16" t="s">
        <v>111</v>
      </c>
      <c r="P16">
        <v>33.17</v>
      </c>
      <c r="Q16" s="2">
        <v>45174</v>
      </c>
      <c r="R16" t="s">
        <v>112</v>
      </c>
      <c r="S16" t="s">
        <v>51</v>
      </c>
      <c r="T16" t="s">
        <v>52</v>
      </c>
      <c r="U16">
        <v>391.69</v>
      </c>
      <c r="V16">
        <v>47.207000000000001</v>
      </c>
    </row>
    <row r="17" spans="1:22" x14ac:dyDescent="0.3">
      <c r="A17" t="s">
        <v>113</v>
      </c>
      <c r="B17" t="s">
        <v>21</v>
      </c>
      <c r="C17" t="s">
        <v>109</v>
      </c>
      <c r="D17">
        <v>12</v>
      </c>
      <c r="E17">
        <v>306.29000000000002</v>
      </c>
      <c r="F17" t="s">
        <v>55</v>
      </c>
      <c r="G17" t="s">
        <v>37</v>
      </c>
      <c r="H17">
        <v>0</v>
      </c>
      <c r="I17" t="s">
        <v>56</v>
      </c>
      <c r="J17">
        <v>3675.48</v>
      </c>
      <c r="K17" t="s">
        <v>38</v>
      </c>
      <c r="L17" t="s">
        <v>58</v>
      </c>
      <c r="M17">
        <v>0</v>
      </c>
      <c r="N17" t="s">
        <v>114</v>
      </c>
      <c r="O17" t="s">
        <v>115</v>
      </c>
      <c r="P17">
        <v>37.380000000000003</v>
      </c>
      <c r="Q17" s="2">
        <v>45485</v>
      </c>
      <c r="R17" t="s">
        <v>116</v>
      </c>
      <c r="S17" t="s">
        <v>31</v>
      </c>
      <c r="T17" t="s">
        <v>117</v>
      </c>
      <c r="U17">
        <v>3638.1</v>
      </c>
      <c r="V17">
        <v>0</v>
      </c>
    </row>
    <row r="18" spans="1:22" x14ac:dyDescent="0.3">
      <c r="A18" t="s">
        <v>118</v>
      </c>
      <c r="B18" t="s">
        <v>34</v>
      </c>
      <c r="C18" t="s">
        <v>22</v>
      </c>
      <c r="D18">
        <v>6</v>
      </c>
      <c r="E18">
        <v>64.98</v>
      </c>
      <c r="F18" t="s">
        <v>36</v>
      </c>
      <c r="G18" t="s">
        <v>37</v>
      </c>
      <c r="H18">
        <v>0</v>
      </c>
      <c r="I18" t="s">
        <v>46</v>
      </c>
      <c r="J18">
        <v>389.88</v>
      </c>
      <c r="K18" t="s">
        <v>38</v>
      </c>
      <c r="L18" t="s">
        <v>27</v>
      </c>
      <c r="M18">
        <v>0</v>
      </c>
      <c r="N18" t="s">
        <v>119</v>
      </c>
      <c r="O18" t="s">
        <v>120</v>
      </c>
      <c r="P18">
        <v>21.25</v>
      </c>
      <c r="Q18" s="2">
        <v>45903</v>
      </c>
      <c r="R18" t="s">
        <v>121</v>
      </c>
      <c r="S18" t="s">
        <v>42</v>
      </c>
      <c r="T18" t="s">
        <v>52</v>
      </c>
      <c r="U18">
        <v>368.63</v>
      </c>
      <c r="V18">
        <v>0</v>
      </c>
    </row>
    <row r="19" spans="1:22" x14ac:dyDescent="0.3">
      <c r="A19" t="s">
        <v>122</v>
      </c>
      <c r="B19" t="s">
        <v>45</v>
      </c>
      <c r="C19" t="s">
        <v>22</v>
      </c>
      <c r="D19">
        <v>17</v>
      </c>
      <c r="E19">
        <v>476.49</v>
      </c>
      <c r="F19" t="s">
        <v>55</v>
      </c>
      <c r="G19" t="s">
        <v>37</v>
      </c>
      <c r="H19">
        <v>0</v>
      </c>
      <c r="I19" t="s">
        <v>25</v>
      </c>
      <c r="J19">
        <v>8100.33</v>
      </c>
      <c r="K19" t="s">
        <v>57</v>
      </c>
      <c r="L19" t="s">
        <v>48</v>
      </c>
      <c r="M19">
        <v>0</v>
      </c>
      <c r="N19" t="s">
        <v>123</v>
      </c>
      <c r="O19" t="s">
        <v>124</v>
      </c>
      <c r="P19">
        <v>17.91</v>
      </c>
      <c r="Q19" s="2">
        <v>45050</v>
      </c>
      <c r="R19" t="s">
        <v>125</v>
      </c>
      <c r="S19" t="s">
        <v>51</v>
      </c>
      <c r="T19" t="s">
        <v>63</v>
      </c>
      <c r="U19">
        <v>8082.42</v>
      </c>
      <c r="V19">
        <v>0</v>
      </c>
    </row>
    <row r="20" spans="1:22" x14ac:dyDescent="0.3">
      <c r="A20" t="s">
        <v>126</v>
      </c>
      <c r="B20" t="s">
        <v>21</v>
      </c>
      <c r="C20" t="s">
        <v>127</v>
      </c>
      <c r="D20">
        <v>4</v>
      </c>
      <c r="E20">
        <v>559.72</v>
      </c>
      <c r="F20" t="s">
        <v>55</v>
      </c>
      <c r="G20" t="s">
        <v>37</v>
      </c>
      <c r="H20">
        <v>0.15</v>
      </c>
      <c r="I20" t="s">
        <v>78</v>
      </c>
      <c r="J20">
        <v>1903.05</v>
      </c>
      <c r="K20" t="s">
        <v>26</v>
      </c>
      <c r="L20" t="s">
        <v>58</v>
      </c>
      <c r="M20">
        <v>0</v>
      </c>
      <c r="N20" t="s">
        <v>128</v>
      </c>
      <c r="O20" t="s">
        <v>129</v>
      </c>
      <c r="P20">
        <v>41.91</v>
      </c>
      <c r="Q20" s="2">
        <v>45874</v>
      </c>
      <c r="R20" t="s">
        <v>130</v>
      </c>
      <c r="S20" t="s">
        <v>31</v>
      </c>
      <c r="T20" t="s">
        <v>82</v>
      </c>
      <c r="U20">
        <v>1861.1399999999999</v>
      </c>
      <c r="V20">
        <v>335.83199999999999</v>
      </c>
    </row>
    <row r="21" spans="1:22" x14ac:dyDescent="0.3">
      <c r="A21" t="s">
        <v>131</v>
      </c>
      <c r="B21" t="s">
        <v>21</v>
      </c>
      <c r="C21" t="s">
        <v>109</v>
      </c>
      <c r="D21">
        <v>14</v>
      </c>
      <c r="E21">
        <v>82.14</v>
      </c>
      <c r="F21" t="s">
        <v>36</v>
      </c>
      <c r="G21" t="s">
        <v>37</v>
      </c>
      <c r="H21">
        <v>0</v>
      </c>
      <c r="I21" t="s">
        <v>25</v>
      </c>
      <c r="J21">
        <v>1149.96</v>
      </c>
      <c r="K21" t="s">
        <v>101</v>
      </c>
      <c r="L21" t="s">
        <v>48</v>
      </c>
      <c r="M21">
        <v>0</v>
      </c>
      <c r="N21" t="s">
        <v>132</v>
      </c>
      <c r="O21" t="s">
        <v>133</v>
      </c>
      <c r="P21">
        <v>12.57</v>
      </c>
      <c r="Q21" s="2">
        <v>44994</v>
      </c>
      <c r="R21" t="s">
        <v>134</v>
      </c>
      <c r="S21" t="s">
        <v>31</v>
      </c>
      <c r="T21" t="s">
        <v>98</v>
      </c>
      <c r="U21">
        <v>1137.3900000000001</v>
      </c>
      <c r="V21">
        <v>0</v>
      </c>
    </row>
    <row r="22" spans="1:22" x14ac:dyDescent="0.3">
      <c r="A22" t="s">
        <v>135</v>
      </c>
      <c r="B22" t="s">
        <v>45</v>
      </c>
      <c r="C22" t="s">
        <v>100</v>
      </c>
      <c r="D22">
        <v>2</v>
      </c>
      <c r="E22">
        <v>503.28</v>
      </c>
      <c r="F22" t="s">
        <v>55</v>
      </c>
      <c r="G22" t="s">
        <v>37</v>
      </c>
      <c r="H22">
        <v>0.15</v>
      </c>
      <c r="I22" t="s">
        <v>25</v>
      </c>
      <c r="J22">
        <v>855.58</v>
      </c>
      <c r="K22" t="s">
        <v>57</v>
      </c>
      <c r="L22" t="s">
        <v>48</v>
      </c>
      <c r="M22">
        <v>0</v>
      </c>
      <c r="N22" t="s">
        <v>136</v>
      </c>
      <c r="O22" t="s">
        <v>137</v>
      </c>
      <c r="P22">
        <v>34.79</v>
      </c>
      <c r="Q22" s="2">
        <v>45175</v>
      </c>
      <c r="R22" t="s">
        <v>138</v>
      </c>
      <c r="S22" t="s">
        <v>51</v>
      </c>
      <c r="T22" t="s">
        <v>52</v>
      </c>
      <c r="U22">
        <v>820.79000000000008</v>
      </c>
      <c r="V22">
        <v>150.98399999999998</v>
      </c>
    </row>
    <row r="23" spans="1:22" x14ac:dyDescent="0.3">
      <c r="A23" t="s">
        <v>139</v>
      </c>
      <c r="B23" t="s">
        <v>34</v>
      </c>
      <c r="C23" t="s">
        <v>140</v>
      </c>
      <c r="D23">
        <v>5</v>
      </c>
      <c r="E23">
        <v>470.32</v>
      </c>
      <c r="F23" t="s">
        <v>84</v>
      </c>
      <c r="G23" t="s">
        <v>37</v>
      </c>
      <c r="H23">
        <v>0.1</v>
      </c>
      <c r="I23" t="s">
        <v>65</v>
      </c>
      <c r="J23">
        <v>2116.44</v>
      </c>
      <c r="K23" t="s">
        <v>38</v>
      </c>
      <c r="L23" t="s">
        <v>58</v>
      </c>
      <c r="M23">
        <v>0</v>
      </c>
      <c r="N23" t="s">
        <v>141</v>
      </c>
      <c r="O23" t="s">
        <v>142</v>
      </c>
      <c r="P23">
        <v>17.77</v>
      </c>
      <c r="Q23" s="2">
        <v>45207</v>
      </c>
      <c r="R23" t="s">
        <v>104</v>
      </c>
      <c r="S23" t="s">
        <v>42</v>
      </c>
      <c r="T23" t="s">
        <v>32</v>
      </c>
      <c r="U23">
        <v>2098.67</v>
      </c>
      <c r="V23">
        <v>235.16</v>
      </c>
    </row>
    <row r="24" spans="1:22" x14ac:dyDescent="0.3">
      <c r="A24" t="s">
        <v>143</v>
      </c>
      <c r="B24" t="s">
        <v>34</v>
      </c>
      <c r="C24" t="s">
        <v>109</v>
      </c>
      <c r="D24">
        <v>16</v>
      </c>
      <c r="E24">
        <v>302.58</v>
      </c>
      <c r="F24" t="s">
        <v>55</v>
      </c>
      <c r="G24" t="s">
        <v>37</v>
      </c>
      <c r="H24">
        <v>0</v>
      </c>
      <c r="I24" t="s">
        <v>25</v>
      </c>
      <c r="J24">
        <v>4841.28</v>
      </c>
      <c r="K24" t="s">
        <v>26</v>
      </c>
      <c r="L24" t="s">
        <v>27</v>
      </c>
      <c r="M24">
        <v>1</v>
      </c>
      <c r="N24" t="s">
        <v>144</v>
      </c>
      <c r="O24" t="s">
        <v>145</v>
      </c>
      <c r="P24">
        <v>20.76</v>
      </c>
      <c r="Q24" s="2">
        <v>45388</v>
      </c>
      <c r="R24" t="s">
        <v>146</v>
      </c>
      <c r="S24" t="s">
        <v>42</v>
      </c>
      <c r="T24" t="s">
        <v>147</v>
      </c>
      <c r="U24">
        <v>4820.5199999999995</v>
      </c>
      <c r="V24">
        <v>0</v>
      </c>
    </row>
    <row r="25" spans="1:22" x14ac:dyDescent="0.3">
      <c r="A25" t="s">
        <v>148</v>
      </c>
      <c r="B25" t="s">
        <v>54</v>
      </c>
      <c r="C25" t="s">
        <v>35</v>
      </c>
      <c r="D25">
        <v>11</v>
      </c>
      <c r="E25">
        <v>33.130000000000003</v>
      </c>
      <c r="F25" t="s">
        <v>84</v>
      </c>
      <c r="G25" t="s">
        <v>37</v>
      </c>
      <c r="H25">
        <v>0.15</v>
      </c>
      <c r="I25" t="s">
        <v>56</v>
      </c>
      <c r="J25">
        <v>309.77</v>
      </c>
      <c r="K25" t="s">
        <v>26</v>
      </c>
      <c r="L25" t="s">
        <v>85</v>
      </c>
      <c r="M25">
        <v>0</v>
      </c>
      <c r="N25" t="s">
        <v>149</v>
      </c>
      <c r="O25" t="s">
        <v>150</v>
      </c>
      <c r="P25">
        <v>24.95</v>
      </c>
      <c r="Q25" s="2">
        <v>45718</v>
      </c>
      <c r="R25" t="s">
        <v>151</v>
      </c>
      <c r="S25" t="s">
        <v>62</v>
      </c>
      <c r="T25" t="s">
        <v>98</v>
      </c>
      <c r="U25">
        <v>284.82</v>
      </c>
      <c r="V25">
        <v>54.664499999999997</v>
      </c>
    </row>
    <row r="26" spans="1:22" x14ac:dyDescent="0.3">
      <c r="A26" t="s">
        <v>152</v>
      </c>
      <c r="B26" t="s">
        <v>70</v>
      </c>
      <c r="C26" t="s">
        <v>109</v>
      </c>
      <c r="D26">
        <v>8</v>
      </c>
      <c r="E26">
        <v>582.52</v>
      </c>
      <c r="F26" t="s">
        <v>55</v>
      </c>
      <c r="G26" t="s">
        <v>37</v>
      </c>
      <c r="H26">
        <v>0.15</v>
      </c>
      <c r="I26" t="s">
        <v>56</v>
      </c>
      <c r="J26">
        <v>3961.14</v>
      </c>
      <c r="K26" t="s">
        <v>57</v>
      </c>
      <c r="L26" t="s">
        <v>27</v>
      </c>
      <c r="M26">
        <v>0</v>
      </c>
      <c r="N26" t="s">
        <v>153</v>
      </c>
      <c r="O26" t="s">
        <v>154</v>
      </c>
      <c r="P26">
        <v>6.47</v>
      </c>
      <c r="Q26" s="2">
        <v>45536</v>
      </c>
      <c r="R26" t="s">
        <v>155</v>
      </c>
      <c r="S26" t="s">
        <v>75</v>
      </c>
      <c r="T26" t="s">
        <v>52</v>
      </c>
      <c r="U26">
        <v>3954.67</v>
      </c>
      <c r="V26">
        <v>699.024</v>
      </c>
    </row>
    <row r="27" spans="1:22" x14ac:dyDescent="0.3">
      <c r="A27" t="s">
        <v>156</v>
      </c>
      <c r="B27" t="s">
        <v>54</v>
      </c>
      <c r="C27" t="s">
        <v>127</v>
      </c>
      <c r="D27">
        <v>14</v>
      </c>
      <c r="E27">
        <v>242.82</v>
      </c>
      <c r="F27" t="s">
        <v>55</v>
      </c>
      <c r="G27" t="s">
        <v>24</v>
      </c>
      <c r="H27">
        <v>0.15</v>
      </c>
      <c r="I27" t="s">
        <v>25</v>
      </c>
      <c r="J27">
        <v>2889.56</v>
      </c>
      <c r="K27" t="s">
        <v>47</v>
      </c>
      <c r="L27" t="s">
        <v>27</v>
      </c>
      <c r="M27">
        <v>1</v>
      </c>
      <c r="N27" t="s">
        <v>157</v>
      </c>
      <c r="O27" t="s">
        <v>158</v>
      </c>
      <c r="P27">
        <v>20.71</v>
      </c>
      <c r="Q27" s="2">
        <v>45452</v>
      </c>
      <c r="R27" t="s">
        <v>159</v>
      </c>
      <c r="S27" t="s">
        <v>62</v>
      </c>
      <c r="T27" t="s">
        <v>105</v>
      </c>
      <c r="U27">
        <v>2868.85</v>
      </c>
      <c r="V27">
        <v>509.92199999999997</v>
      </c>
    </row>
    <row r="28" spans="1:22" x14ac:dyDescent="0.3">
      <c r="A28" t="s">
        <v>160</v>
      </c>
      <c r="B28" t="s">
        <v>34</v>
      </c>
      <c r="C28" t="s">
        <v>100</v>
      </c>
      <c r="D28">
        <v>1</v>
      </c>
      <c r="E28">
        <v>269.41000000000003</v>
      </c>
      <c r="F28" t="s">
        <v>23</v>
      </c>
      <c r="G28" t="s">
        <v>24</v>
      </c>
      <c r="H28">
        <v>0.1</v>
      </c>
      <c r="I28" t="s">
        <v>65</v>
      </c>
      <c r="J28">
        <v>242.47</v>
      </c>
      <c r="K28" t="s">
        <v>47</v>
      </c>
      <c r="L28" t="s">
        <v>27</v>
      </c>
      <c r="M28">
        <v>1</v>
      </c>
      <c r="N28" t="s">
        <v>161</v>
      </c>
      <c r="O28" t="s">
        <v>162</v>
      </c>
      <c r="P28">
        <v>19.22</v>
      </c>
      <c r="Q28" s="2">
        <v>45635</v>
      </c>
      <c r="R28" t="s">
        <v>163</v>
      </c>
      <c r="S28" t="s">
        <v>42</v>
      </c>
      <c r="T28" t="s">
        <v>76</v>
      </c>
      <c r="U28">
        <v>223.25</v>
      </c>
      <c r="V28">
        <v>26.941000000000003</v>
      </c>
    </row>
    <row r="29" spans="1:22" x14ac:dyDescent="0.3">
      <c r="A29" t="s">
        <v>164</v>
      </c>
      <c r="B29" t="s">
        <v>34</v>
      </c>
      <c r="C29" t="s">
        <v>127</v>
      </c>
      <c r="D29">
        <v>2</v>
      </c>
      <c r="E29">
        <v>371.3</v>
      </c>
      <c r="F29" t="s">
        <v>23</v>
      </c>
      <c r="G29" t="s">
        <v>24</v>
      </c>
      <c r="H29">
        <v>0.05</v>
      </c>
      <c r="I29" t="s">
        <v>94</v>
      </c>
      <c r="J29">
        <v>705.47</v>
      </c>
      <c r="K29" t="s">
        <v>101</v>
      </c>
      <c r="L29" t="s">
        <v>58</v>
      </c>
      <c r="M29">
        <v>0</v>
      </c>
      <c r="N29" t="s">
        <v>165</v>
      </c>
      <c r="O29" t="s">
        <v>166</v>
      </c>
      <c r="P29">
        <v>36.51</v>
      </c>
      <c r="Q29" s="2">
        <v>45413</v>
      </c>
      <c r="R29" t="s">
        <v>167</v>
      </c>
      <c r="S29" t="s">
        <v>42</v>
      </c>
      <c r="T29" t="s">
        <v>63</v>
      </c>
      <c r="U29">
        <v>668.96</v>
      </c>
      <c r="V29">
        <v>37.130000000000003</v>
      </c>
    </row>
    <row r="30" spans="1:22" x14ac:dyDescent="0.3">
      <c r="A30" t="s">
        <v>168</v>
      </c>
      <c r="B30" t="s">
        <v>45</v>
      </c>
      <c r="C30" t="s">
        <v>109</v>
      </c>
      <c r="D30">
        <v>11</v>
      </c>
      <c r="E30">
        <v>232.75</v>
      </c>
      <c r="F30" t="s">
        <v>55</v>
      </c>
      <c r="G30" t="s">
        <v>24</v>
      </c>
      <c r="H30">
        <v>0.05</v>
      </c>
      <c r="I30" t="s">
        <v>65</v>
      </c>
      <c r="J30">
        <v>2432.2399999999998</v>
      </c>
      <c r="K30" t="s">
        <v>101</v>
      </c>
      <c r="L30" t="s">
        <v>58</v>
      </c>
      <c r="M30">
        <v>0</v>
      </c>
      <c r="N30" t="s">
        <v>169</v>
      </c>
      <c r="O30" t="s">
        <v>170</v>
      </c>
      <c r="P30">
        <v>36.33</v>
      </c>
      <c r="Q30" s="2">
        <v>45967</v>
      </c>
      <c r="R30" t="s">
        <v>171</v>
      </c>
      <c r="S30" t="s">
        <v>51</v>
      </c>
      <c r="T30" t="s">
        <v>43</v>
      </c>
      <c r="U30">
        <v>2395.91</v>
      </c>
      <c r="V30">
        <v>128.01250000000002</v>
      </c>
    </row>
    <row r="31" spans="1:22" x14ac:dyDescent="0.3">
      <c r="A31" t="s">
        <v>172</v>
      </c>
      <c r="B31" t="s">
        <v>70</v>
      </c>
      <c r="C31" t="s">
        <v>71</v>
      </c>
      <c r="D31">
        <v>17</v>
      </c>
      <c r="E31">
        <v>146.28</v>
      </c>
      <c r="F31" t="s">
        <v>23</v>
      </c>
      <c r="G31" t="s">
        <v>37</v>
      </c>
      <c r="H31">
        <v>0.15</v>
      </c>
      <c r="I31" t="s">
        <v>46</v>
      </c>
      <c r="J31">
        <v>2113.75</v>
      </c>
      <c r="K31" t="s">
        <v>47</v>
      </c>
      <c r="L31" t="s">
        <v>58</v>
      </c>
      <c r="M31">
        <v>0</v>
      </c>
      <c r="N31" t="s">
        <v>173</v>
      </c>
      <c r="O31" t="s">
        <v>174</v>
      </c>
      <c r="P31">
        <v>7.84</v>
      </c>
      <c r="Q31" s="2">
        <v>45811</v>
      </c>
      <c r="R31" t="s">
        <v>121</v>
      </c>
      <c r="S31" t="s">
        <v>75</v>
      </c>
      <c r="T31" t="s">
        <v>105</v>
      </c>
      <c r="U31">
        <v>2105.91</v>
      </c>
      <c r="V31">
        <v>373.01400000000001</v>
      </c>
    </row>
    <row r="32" spans="1:22" x14ac:dyDescent="0.3">
      <c r="A32" t="s">
        <v>175</v>
      </c>
      <c r="B32" t="s">
        <v>45</v>
      </c>
      <c r="C32" t="s">
        <v>71</v>
      </c>
      <c r="D32">
        <v>8</v>
      </c>
      <c r="E32">
        <v>301.68</v>
      </c>
      <c r="F32" t="s">
        <v>55</v>
      </c>
      <c r="G32" t="s">
        <v>37</v>
      </c>
      <c r="H32">
        <v>0</v>
      </c>
      <c r="I32" t="s">
        <v>65</v>
      </c>
      <c r="J32">
        <v>2413.44</v>
      </c>
      <c r="K32" t="s">
        <v>47</v>
      </c>
      <c r="L32" t="s">
        <v>58</v>
      </c>
      <c r="M32">
        <v>0</v>
      </c>
      <c r="N32" t="s">
        <v>176</v>
      </c>
      <c r="O32" t="s">
        <v>177</v>
      </c>
      <c r="P32">
        <v>36.54</v>
      </c>
      <c r="Q32" s="2">
        <v>45266</v>
      </c>
      <c r="R32" t="s">
        <v>178</v>
      </c>
      <c r="S32" t="s">
        <v>51</v>
      </c>
      <c r="T32" t="s">
        <v>76</v>
      </c>
      <c r="U32">
        <v>2376.9</v>
      </c>
      <c r="V32">
        <v>0</v>
      </c>
    </row>
    <row r="33" spans="1:22" x14ac:dyDescent="0.3">
      <c r="A33" t="s">
        <v>179</v>
      </c>
      <c r="B33" t="s">
        <v>34</v>
      </c>
      <c r="C33" t="s">
        <v>35</v>
      </c>
      <c r="D33">
        <v>15</v>
      </c>
      <c r="E33">
        <v>511.17</v>
      </c>
      <c r="F33" t="s">
        <v>23</v>
      </c>
      <c r="G33" t="s">
        <v>24</v>
      </c>
      <c r="H33">
        <v>0</v>
      </c>
      <c r="I33" t="s">
        <v>56</v>
      </c>
      <c r="J33">
        <v>7667.55</v>
      </c>
      <c r="K33" t="s">
        <v>26</v>
      </c>
      <c r="L33" t="s">
        <v>85</v>
      </c>
      <c r="M33">
        <v>0</v>
      </c>
      <c r="N33" t="s">
        <v>180</v>
      </c>
      <c r="O33" t="s">
        <v>181</v>
      </c>
      <c r="P33">
        <v>21.77</v>
      </c>
      <c r="Q33" s="2">
        <v>45181</v>
      </c>
      <c r="R33" t="s">
        <v>182</v>
      </c>
      <c r="S33" t="s">
        <v>42</v>
      </c>
      <c r="T33" t="s">
        <v>52</v>
      </c>
      <c r="U33">
        <v>7645.78</v>
      </c>
      <c r="V33">
        <v>0</v>
      </c>
    </row>
    <row r="34" spans="1:22" x14ac:dyDescent="0.3">
      <c r="A34" t="s">
        <v>183</v>
      </c>
      <c r="B34" t="s">
        <v>45</v>
      </c>
      <c r="C34" t="s">
        <v>127</v>
      </c>
      <c r="D34">
        <v>3</v>
      </c>
      <c r="E34">
        <v>66.58</v>
      </c>
      <c r="F34" t="s">
        <v>23</v>
      </c>
      <c r="G34" t="s">
        <v>37</v>
      </c>
      <c r="H34">
        <v>0.1</v>
      </c>
      <c r="I34" t="s">
        <v>56</v>
      </c>
      <c r="J34">
        <v>179.77</v>
      </c>
      <c r="K34" t="s">
        <v>38</v>
      </c>
      <c r="L34" t="s">
        <v>85</v>
      </c>
      <c r="M34">
        <v>0</v>
      </c>
      <c r="N34" t="s">
        <v>184</v>
      </c>
      <c r="O34" t="s">
        <v>185</v>
      </c>
      <c r="P34">
        <v>22.43</v>
      </c>
      <c r="Q34" s="2">
        <v>44936</v>
      </c>
      <c r="R34" t="s">
        <v>186</v>
      </c>
      <c r="S34" t="s">
        <v>51</v>
      </c>
      <c r="T34" t="s">
        <v>187</v>
      </c>
      <c r="U34">
        <v>157.34</v>
      </c>
      <c r="V34">
        <v>19.974000000000004</v>
      </c>
    </row>
    <row r="35" spans="1:22" x14ac:dyDescent="0.3">
      <c r="A35" t="s">
        <v>188</v>
      </c>
      <c r="B35" t="s">
        <v>70</v>
      </c>
      <c r="C35" t="s">
        <v>109</v>
      </c>
      <c r="D35">
        <v>15</v>
      </c>
      <c r="E35">
        <v>328.36</v>
      </c>
      <c r="F35" t="s">
        <v>55</v>
      </c>
      <c r="G35" t="s">
        <v>37</v>
      </c>
      <c r="H35">
        <v>0.15</v>
      </c>
      <c r="I35" t="s">
        <v>25</v>
      </c>
      <c r="J35">
        <v>4186.59</v>
      </c>
      <c r="K35" t="s">
        <v>57</v>
      </c>
      <c r="L35" t="s">
        <v>27</v>
      </c>
      <c r="M35">
        <v>0</v>
      </c>
      <c r="N35" t="s">
        <v>189</v>
      </c>
      <c r="O35" t="s">
        <v>190</v>
      </c>
      <c r="P35">
        <v>15.76</v>
      </c>
      <c r="Q35" s="2">
        <v>45354</v>
      </c>
      <c r="R35" t="s">
        <v>191</v>
      </c>
      <c r="S35" t="s">
        <v>75</v>
      </c>
      <c r="T35" t="s">
        <v>98</v>
      </c>
      <c r="U35">
        <v>4170.83</v>
      </c>
      <c r="V35">
        <v>738.81000000000006</v>
      </c>
    </row>
    <row r="36" spans="1:22" x14ac:dyDescent="0.3">
      <c r="A36" t="s">
        <v>192</v>
      </c>
      <c r="B36" t="s">
        <v>45</v>
      </c>
      <c r="C36" t="s">
        <v>109</v>
      </c>
      <c r="D36">
        <v>20</v>
      </c>
      <c r="E36">
        <v>548.01</v>
      </c>
      <c r="F36" t="s">
        <v>84</v>
      </c>
      <c r="G36" t="s">
        <v>24</v>
      </c>
      <c r="H36">
        <v>0.1</v>
      </c>
      <c r="I36" t="s">
        <v>65</v>
      </c>
      <c r="J36">
        <v>9864.18</v>
      </c>
      <c r="K36" t="s">
        <v>101</v>
      </c>
      <c r="L36" t="s">
        <v>27</v>
      </c>
      <c r="M36">
        <v>1</v>
      </c>
      <c r="N36" t="s">
        <v>193</v>
      </c>
      <c r="O36" t="s">
        <v>194</v>
      </c>
      <c r="P36">
        <v>5.89</v>
      </c>
      <c r="Q36" s="2">
        <v>45232</v>
      </c>
      <c r="R36" t="s">
        <v>195</v>
      </c>
      <c r="S36" t="s">
        <v>51</v>
      </c>
      <c r="T36" t="s">
        <v>43</v>
      </c>
      <c r="U36">
        <v>9858.2900000000009</v>
      </c>
      <c r="V36">
        <v>1096.0200000000002</v>
      </c>
    </row>
    <row r="37" spans="1:22" x14ac:dyDescent="0.3">
      <c r="A37" t="s">
        <v>196</v>
      </c>
      <c r="B37" t="s">
        <v>45</v>
      </c>
      <c r="C37" t="s">
        <v>140</v>
      </c>
      <c r="D37">
        <v>19</v>
      </c>
      <c r="E37">
        <v>351.93</v>
      </c>
      <c r="F37" t="s">
        <v>84</v>
      </c>
      <c r="G37" t="s">
        <v>24</v>
      </c>
      <c r="H37">
        <v>0</v>
      </c>
      <c r="I37" t="s">
        <v>25</v>
      </c>
      <c r="J37">
        <v>6686.67</v>
      </c>
      <c r="K37" t="s">
        <v>101</v>
      </c>
      <c r="L37" t="s">
        <v>48</v>
      </c>
      <c r="M37">
        <v>0</v>
      </c>
      <c r="N37" t="s">
        <v>197</v>
      </c>
      <c r="O37" t="s">
        <v>198</v>
      </c>
      <c r="P37">
        <v>39.979999999999997</v>
      </c>
      <c r="Q37" s="2">
        <v>45323</v>
      </c>
      <c r="R37" t="s">
        <v>164</v>
      </c>
      <c r="S37" t="s">
        <v>51</v>
      </c>
      <c r="T37" t="s">
        <v>199</v>
      </c>
      <c r="U37">
        <v>6646.6900000000005</v>
      </c>
      <c r="V37">
        <v>0</v>
      </c>
    </row>
    <row r="38" spans="1:22" x14ac:dyDescent="0.3">
      <c r="A38" t="s">
        <v>200</v>
      </c>
      <c r="B38" t="s">
        <v>70</v>
      </c>
      <c r="C38" t="s">
        <v>127</v>
      </c>
      <c r="D38">
        <v>5</v>
      </c>
      <c r="E38">
        <v>416.95</v>
      </c>
      <c r="F38" t="s">
        <v>84</v>
      </c>
      <c r="G38" t="s">
        <v>24</v>
      </c>
      <c r="H38">
        <v>0.15</v>
      </c>
      <c r="I38" t="s">
        <v>56</v>
      </c>
      <c r="J38">
        <v>1772.04</v>
      </c>
      <c r="K38" t="s">
        <v>26</v>
      </c>
      <c r="L38" t="s">
        <v>48</v>
      </c>
      <c r="M38">
        <v>1</v>
      </c>
      <c r="N38" t="s">
        <v>201</v>
      </c>
      <c r="O38" t="s">
        <v>202</v>
      </c>
      <c r="P38">
        <v>24.03</v>
      </c>
      <c r="Q38" s="2">
        <v>45356</v>
      </c>
      <c r="R38" t="s">
        <v>203</v>
      </c>
      <c r="S38" t="s">
        <v>75</v>
      </c>
      <c r="T38" t="s">
        <v>98</v>
      </c>
      <c r="U38">
        <v>1748.01</v>
      </c>
      <c r="V38">
        <v>312.71249999999998</v>
      </c>
    </row>
    <row r="39" spans="1:22" x14ac:dyDescent="0.3">
      <c r="A39" t="s">
        <v>204</v>
      </c>
      <c r="B39" t="s">
        <v>70</v>
      </c>
      <c r="C39" t="s">
        <v>22</v>
      </c>
      <c r="D39">
        <v>12</v>
      </c>
      <c r="E39">
        <v>582.52</v>
      </c>
      <c r="F39" t="s">
        <v>84</v>
      </c>
      <c r="G39" t="s">
        <v>24</v>
      </c>
      <c r="H39">
        <v>0</v>
      </c>
      <c r="I39" t="s">
        <v>94</v>
      </c>
      <c r="J39">
        <v>6990.24</v>
      </c>
      <c r="K39" t="s">
        <v>101</v>
      </c>
      <c r="L39" t="s">
        <v>85</v>
      </c>
      <c r="M39">
        <v>0</v>
      </c>
      <c r="N39" t="s">
        <v>205</v>
      </c>
      <c r="O39" t="s">
        <v>206</v>
      </c>
      <c r="P39">
        <v>41.16</v>
      </c>
      <c r="Q39" s="2">
        <v>45047</v>
      </c>
      <c r="R39" t="s">
        <v>33</v>
      </c>
      <c r="S39" t="s">
        <v>75</v>
      </c>
      <c r="T39" t="s">
        <v>63</v>
      </c>
      <c r="U39">
        <v>6949.08</v>
      </c>
      <c r="V39">
        <v>0</v>
      </c>
    </row>
    <row r="40" spans="1:22" x14ac:dyDescent="0.3">
      <c r="A40" t="s">
        <v>207</v>
      </c>
      <c r="B40" t="s">
        <v>45</v>
      </c>
      <c r="C40" t="s">
        <v>100</v>
      </c>
      <c r="D40">
        <v>15</v>
      </c>
      <c r="E40">
        <v>411.38</v>
      </c>
      <c r="F40" t="s">
        <v>84</v>
      </c>
      <c r="G40" t="s">
        <v>24</v>
      </c>
      <c r="H40">
        <v>0.05</v>
      </c>
      <c r="I40" t="s">
        <v>94</v>
      </c>
      <c r="J40">
        <v>5862.17</v>
      </c>
      <c r="K40" t="s">
        <v>26</v>
      </c>
      <c r="L40" t="s">
        <v>58</v>
      </c>
      <c r="M40">
        <v>0</v>
      </c>
      <c r="N40" t="s">
        <v>208</v>
      </c>
      <c r="O40" t="s">
        <v>209</v>
      </c>
      <c r="P40">
        <v>48.51</v>
      </c>
      <c r="Q40" s="2">
        <v>45992</v>
      </c>
      <c r="R40" t="s">
        <v>210</v>
      </c>
      <c r="S40" t="s">
        <v>51</v>
      </c>
      <c r="T40" t="s">
        <v>76</v>
      </c>
      <c r="U40">
        <v>5813.66</v>
      </c>
      <c r="V40">
        <v>308.53500000000003</v>
      </c>
    </row>
    <row r="41" spans="1:22" x14ac:dyDescent="0.3">
      <c r="A41" t="s">
        <v>211</v>
      </c>
      <c r="B41" t="s">
        <v>21</v>
      </c>
      <c r="C41" t="s">
        <v>22</v>
      </c>
      <c r="D41">
        <v>8</v>
      </c>
      <c r="E41">
        <v>179.9</v>
      </c>
      <c r="F41" t="s">
        <v>36</v>
      </c>
      <c r="G41" t="s">
        <v>37</v>
      </c>
      <c r="H41">
        <v>0.05</v>
      </c>
      <c r="I41" t="s">
        <v>46</v>
      </c>
      <c r="J41">
        <v>1367.24</v>
      </c>
      <c r="K41" t="s">
        <v>26</v>
      </c>
      <c r="L41" t="s">
        <v>58</v>
      </c>
      <c r="M41">
        <v>0</v>
      </c>
      <c r="N41" t="s">
        <v>212</v>
      </c>
      <c r="O41" t="s">
        <v>213</v>
      </c>
      <c r="P41">
        <v>14.8</v>
      </c>
      <c r="Q41" s="2">
        <v>45660</v>
      </c>
      <c r="R41" t="s">
        <v>53</v>
      </c>
      <c r="S41" t="s">
        <v>31</v>
      </c>
      <c r="T41" t="s">
        <v>187</v>
      </c>
      <c r="U41">
        <v>1352.44</v>
      </c>
      <c r="V41">
        <v>71.960000000000008</v>
      </c>
    </row>
    <row r="42" spans="1:22" x14ac:dyDescent="0.3">
      <c r="A42" t="s">
        <v>122</v>
      </c>
      <c r="B42" t="s">
        <v>54</v>
      </c>
      <c r="C42" t="s">
        <v>140</v>
      </c>
      <c r="D42">
        <v>3</v>
      </c>
      <c r="E42">
        <v>221</v>
      </c>
      <c r="F42" t="s">
        <v>23</v>
      </c>
      <c r="G42" t="s">
        <v>24</v>
      </c>
      <c r="H42">
        <v>0</v>
      </c>
      <c r="I42" t="s">
        <v>56</v>
      </c>
      <c r="J42">
        <v>663</v>
      </c>
      <c r="K42" t="s">
        <v>47</v>
      </c>
      <c r="L42" t="s">
        <v>85</v>
      </c>
      <c r="M42">
        <v>0</v>
      </c>
      <c r="N42" t="s">
        <v>214</v>
      </c>
      <c r="O42" t="s">
        <v>215</v>
      </c>
      <c r="P42">
        <v>32.31</v>
      </c>
      <c r="Q42" s="2">
        <v>45050</v>
      </c>
      <c r="R42" t="s">
        <v>216</v>
      </c>
      <c r="S42" t="s">
        <v>62</v>
      </c>
      <c r="T42" t="s">
        <v>63</v>
      </c>
      <c r="U42">
        <v>630.69000000000005</v>
      </c>
      <c r="V42">
        <v>0</v>
      </c>
    </row>
    <row r="43" spans="1:22" x14ac:dyDescent="0.3">
      <c r="A43" t="s">
        <v>217</v>
      </c>
      <c r="B43" t="s">
        <v>21</v>
      </c>
      <c r="C43" t="s">
        <v>22</v>
      </c>
      <c r="D43">
        <v>3</v>
      </c>
      <c r="E43">
        <v>566.20000000000005</v>
      </c>
      <c r="F43" t="s">
        <v>55</v>
      </c>
      <c r="G43" t="s">
        <v>37</v>
      </c>
      <c r="H43">
        <v>0</v>
      </c>
      <c r="I43" t="s">
        <v>94</v>
      </c>
      <c r="J43">
        <v>1698.6</v>
      </c>
      <c r="K43" t="s">
        <v>57</v>
      </c>
      <c r="L43" t="s">
        <v>85</v>
      </c>
      <c r="M43">
        <v>1</v>
      </c>
      <c r="N43" t="s">
        <v>218</v>
      </c>
      <c r="O43" t="s">
        <v>219</v>
      </c>
      <c r="P43">
        <v>28.97</v>
      </c>
      <c r="Q43" s="2">
        <v>45480</v>
      </c>
      <c r="R43" t="s">
        <v>220</v>
      </c>
      <c r="S43" t="s">
        <v>31</v>
      </c>
      <c r="T43" t="s">
        <v>117</v>
      </c>
      <c r="U43">
        <v>1669.6299999999999</v>
      </c>
      <c r="V43">
        <v>0</v>
      </c>
    </row>
    <row r="44" spans="1:22" x14ac:dyDescent="0.3">
      <c r="A44" t="s">
        <v>221</v>
      </c>
      <c r="B44" t="s">
        <v>54</v>
      </c>
      <c r="C44" t="s">
        <v>127</v>
      </c>
      <c r="D44">
        <v>16</v>
      </c>
      <c r="E44">
        <v>36.159999999999997</v>
      </c>
      <c r="F44" t="s">
        <v>36</v>
      </c>
      <c r="G44" t="s">
        <v>24</v>
      </c>
      <c r="H44">
        <v>0.1</v>
      </c>
      <c r="I44" t="s">
        <v>46</v>
      </c>
      <c r="J44">
        <v>520.70000000000005</v>
      </c>
      <c r="K44" t="s">
        <v>38</v>
      </c>
      <c r="L44" t="s">
        <v>85</v>
      </c>
      <c r="M44">
        <v>0</v>
      </c>
      <c r="N44" t="s">
        <v>222</v>
      </c>
      <c r="O44" t="s">
        <v>223</v>
      </c>
      <c r="P44">
        <v>26.64</v>
      </c>
      <c r="Q44" s="2">
        <v>45026</v>
      </c>
      <c r="R44" t="s">
        <v>224</v>
      </c>
      <c r="S44" t="s">
        <v>62</v>
      </c>
      <c r="T44" t="s">
        <v>147</v>
      </c>
      <c r="U44">
        <v>494.06000000000006</v>
      </c>
      <c r="V44">
        <v>57.855999999999995</v>
      </c>
    </row>
    <row r="45" spans="1:22" x14ac:dyDescent="0.3">
      <c r="A45" t="s">
        <v>225</v>
      </c>
      <c r="B45" t="s">
        <v>45</v>
      </c>
      <c r="C45" t="s">
        <v>140</v>
      </c>
      <c r="D45">
        <v>2</v>
      </c>
      <c r="E45">
        <v>73.94</v>
      </c>
      <c r="F45" t="s">
        <v>23</v>
      </c>
      <c r="G45" t="s">
        <v>24</v>
      </c>
      <c r="H45">
        <v>0.05</v>
      </c>
      <c r="I45" t="s">
        <v>46</v>
      </c>
      <c r="J45">
        <v>140.49</v>
      </c>
      <c r="K45" t="s">
        <v>38</v>
      </c>
      <c r="L45" t="s">
        <v>58</v>
      </c>
      <c r="M45">
        <v>0</v>
      </c>
      <c r="N45" t="s">
        <v>226</v>
      </c>
      <c r="O45" t="s">
        <v>227</v>
      </c>
      <c r="P45">
        <v>28.05</v>
      </c>
      <c r="Q45" s="2">
        <v>45906</v>
      </c>
      <c r="R45" t="s">
        <v>228</v>
      </c>
      <c r="S45" t="s">
        <v>51</v>
      </c>
      <c r="T45" t="s">
        <v>52</v>
      </c>
      <c r="U45">
        <v>112.44000000000001</v>
      </c>
      <c r="V45">
        <v>7.3940000000000001</v>
      </c>
    </row>
    <row r="46" spans="1:22" x14ac:dyDescent="0.3">
      <c r="A46" t="s">
        <v>229</v>
      </c>
      <c r="B46" t="s">
        <v>70</v>
      </c>
      <c r="C46" t="s">
        <v>140</v>
      </c>
      <c r="D46">
        <v>16</v>
      </c>
      <c r="E46">
        <v>459.49</v>
      </c>
      <c r="F46" t="s">
        <v>84</v>
      </c>
      <c r="G46" t="s">
        <v>24</v>
      </c>
      <c r="H46">
        <v>0.1</v>
      </c>
      <c r="I46" t="s">
        <v>65</v>
      </c>
      <c r="J46">
        <v>6616.66</v>
      </c>
      <c r="K46" t="s">
        <v>26</v>
      </c>
      <c r="L46" t="s">
        <v>58</v>
      </c>
      <c r="M46">
        <v>0</v>
      </c>
      <c r="N46" t="s">
        <v>230</v>
      </c>
      <c r="O46" t="s">
        <v>231</v>
      </c>
      <c r="P46">
        <v>26.99</v>
      </c>
      <c r="Q46" s="2">
        <v>45997</v>
      </c>
      <c r="R46" t="s">
        <v>232</v>
      </c>
      <c r="S46" t="s">
        <v>75</v>
      </c>
      <c r="T46" t="s">
        <v>76</v>
      </c>
      <c r="U46">
        <v>6589.67</v>
      </c>
      <c r="V46">
        <v>735.18400000000008</v>
      </c>
    </row>
    <row r="47" spans="1:22" x14ac:dyDescent="0.3">
      <c r="A47" t="s">
        <v>233</v>
      </c>
      <c r="B47" t="s">
        <v>54</v>
      </c>
      <c r="C47" t="s">
        <v>140</v>
      </c>
      <c r="D47">
        <v>2</v>
      </c>
      <c r="E47">
        <v>289.14</v>
      </c>
      <c r="F47" t="s">
        <v>36</v>
      </c>
      <c r="G47" t="s">
        <v>37</v>
      </c>
      <c r="H47">
        <v>0.05</v>
      </c>
      <c r="I47" t="s">
        <v>78</v>
      </c>
      <c r="J47">
        <v>549.37</v>
      </c>
      <c r="K47" t="s">
        <v>26</v>
      </c>
      <c r="L47" t="s">
        <v>58</v>
      </c>
      <c r="M47">
        <v>0</v>
      </c>
      <c r="N47" t="s">
        <v>234</v>
      </c>
      <c r="O47" t="s">
        <v>235</v>
      </c>
      <c r="P47">
        <v>5.13</v>
      </c>
      <c r="Q47" s="2">
        <v>45604</v>
      </c>
      <c r="R47" t="s">
        <v>236</v>
      </c>
      <c r="S47" t="s">
        <v>62</v>
      </c>
      <c r="T47" t="s">
        <v>43</v>
      </c>
      <c r="U47">
        <v>544.24</v>
      </c>
      <c r="V47">
        <v>28.914000000000001</v>
      </c>
    </row>
    <row r="48" spans="1:22" x14ac:dyDescent="0.3">
      <c r="A48" t="s">
        <v>237</v>
      </c>
      <c r="B48" t="s">
        <v>34</v>
      </c>
      <c r="C48" t="s">
        <v>22</v>
      </c>
      <c r="D48">
        <v>5</v>
      </c>
      <c r="E48">
        <v>396.93</v>
      </c>
      <c r="F48" t="s">
        <v>23</v>
      </c>
      <c r="G48" t="s">
        <v>24</v>
      </c>
      <c r="H48">
        <v>0</v>
      </c>
      <c r="I48" t="s">
        <v>78</v>
      </c>
      <c r="J48">
        <v>1984.65</v>
      </c>
      <c r="K48" t="s">
        <v>101</v>
      </c>
      <c r="L48" t="s">
        <v>85</v>
      </c>
      <c r="M48">
        <v>0</v>
      </c>
      <c r="N48" t="s">
        <v>238</v>
      </c>
      <c r="O48" t="s">
        <v>239</v>
      </c>
      <c r="P48">
        <v>48.63</v>
      </c>
      <c r="Q48" s="2">
        <v>44938</v>
      </c>
      <c r="R48" t="s">
        <v>240</v>
      </c>
      <c r="S48" t="s">
        <v>42</v>
      </c>
      <c r="T48" t="s">
        <v>187</v>
      </c>
      <c r="U48">
        <v>1936.02</v>
      </c>
      <c r="V48">
        <v>0</v>
      </c>
    </row>
    <row r="49" spans="1:22" x14ac:dyDescent="0.3">
      <c r="A49" t="s">
        <v>99</v>
      </c>
      <c r="B49" t="s">
        <v>45</v>
      </c>
      <c r="C49" t="s">
        <v>100</v>
      </c>
      <c r="D49">
        <v>10</v>
      </c>
      <c r="E49">
        <v>508.57</v>
      </c>
      <c r="F49" t="s">
        <v>55</v>
      </c>
      <c r="G49" t="s">
        <v>37</v>
      </c>
      <c r="H49">
        <v>0.05</v>
      </c>
      <c r="I49" t="s">
        <v>94</v>
      </c>
      <c r="J49">
        <v>4831.42</v>
      </c>
      <c r="K49" t="s">
        <v>26</v>
      </c>
      <c r="L49" t="s">
        <v>58</v>
      </c>
      <c r="M49">
        <v>0</v>
      </c>
      <c r="N49" t="s">
        <v>241</v>
      </c>
      <c r="O49" t="s">
        <v>242</v>
      </c>
      <c r="P49">
        <v>9.35</v>
      </c>
      <c r="Q49" s="2">
        <v>45085</v>
      </c>
      <c r="R49" t="s">
        <v>243</v>
      </c>
      <c r="S49" t="s">
        <v>51</v>
      </c>
      <c r="T49" t="s">
        <v>105</v>
      </c>
      <c r="U49">
        <v>4822.07</v>
      </c>
      <c r="V49">
        <v>254.285</v>
      </c>
    </row>
    <row r="50" spans="1:22" x14ac:dyDescent="0.3">
      <c r="A50" t="s">
        <v>244</v>
      </c>
      <c r="B50" t="s">
        <v>45</v>
      </c>
      <c r="C50" t="s">
        <v>35</v>
      </c>
      <c r="D50">
        <v>9</v>
      </c>
      <c r="E50">
        <v>313.29000000000002</v>
      </c>
      <c r="F50" t="s">
        <v>55</v>
      </c>
      <c r="G50" t="s">
        <v>37</v>
      </c>
      <c r="H50">
        <v>0</v>
      </c>
      <c r="I50" t="s">
        <v>46</v>
      </c>
      <c r="J50">
        <v>2819.61</v>
      </c>
      <c r="K50" t="s">
        <v>26</v>
      </c>
      <c r="L50" t="s">
        <v>85</v>
      </c>
      <c r="M50">
        <v>0</v>
      </c>
      <c r="N50" t="s">
        <v>245</v>
      </c>
      <c r="O50" t="s">
        <v>246</v>
      </c>
      <c r="P50">
        <v>14.04</v>
      </c>
      <c r="Q50" s="2">
        <v>45476</v>
      </c>
      <c r="R50" t="s">
        <v>247</v>
      </c>
      <c r="S50" t="s">
        <v>51</v>
      </c>
      <c r="T50" t="s">
        <v>117</v>
      </c>
      <c r="U50">
        <v>2805.57</v>
      </c>
      <c r="V50">
        <v>0</v>
      </c>
    </row>
    <row r="51" spans="1:22" x14ac:dyDescent="0.3">
      <c r="A51" t="s">
        <v>92</v>
      </c>
      <c r="B51" t="s">
        <v>54</v>
      </c>
      <c r="C51" t="s">
        <v>109</v>
      </c>
      <c r="D51">
        <v>7</v>
      </c>
      <c r="E51">
        <v>452.56</v>
      </c>
      <c r="F51" t="s">
        <v>84</v>
      </c>
      <c r="G51" t="s">
        <v>24</v>
      </c>
      <c r="H51">
        <v>0.05</v>
      </c>
      <c r="I51" t="s">
        <v>56</v>
      </c>
      <c r="J51">
        <v>3009.52</v>
      </c>
      <c r="K51" t="s">
        <v>57</v>
      </c>
      <c r="L51" t="s">
        <v>85</v>
      </c>
      <c r="M51">
        <v>0</v>
      </c>
      <c r="N51" t="s">
        <v>248</v>
      </c>
      <c r="O51" t="s">
        <v>249</v>
      </c>
      <c r="P51">
        <v>46.97</v>
      </c>
      <c r="Q51" s="2">
        <v>45875</v>
      </c>
      <c r="R51" t="s">
        <v>250</v>
      </c>
      <c r="S51" t="s">
        <v>62</v>
      </c>
      <c r="T51" t="s">
        <v>82</v>
      </c>
      <c r="U51">
        <v>2962.55</v>
      </c>
      <c r="V51">
        <v>158.39600000000002</v>
      </c>
    </row>
    <row r="52" spans="1:22" x14ac:dyDescent="0.3">
      <c r="A52" t="s">
        <v>251</v>
      </c>
      <c r="B52" t="s">
        <v>45</v>
      </c>
      <c r="C52" t="s">
        <v>22</v>
      </c>
      <c r="D52">
        <v>13</v>
      </c>
      <c r="E52">
        <v>280.63</v>
      </c>
      <c r="F52" t="s">
        <v>23</v>
      </c>
      <c r="G52" t="s">
        <v>24</v>
      </c>
      <c r="H52">
        <v>0.15</v>
      </c>
      <c r="I52" t="s">
        <v>25</v>
      </c>
      <c r="J52">
        <v>3100.96</v>
      </c>
      <c r="K52" t="s">
        <v>101</v>
      </c>
      <c r="L52" t="s">
        <v>58</v>
      </c>
      <c r="M52">
        <v>0</v>
      </c>
      <c r="N52" t="s">
        <v>252</v>
      </c>
      <c r="O52" t="s">
        <v>253</v>
      </c>
      <c r="P52">
        <v>10.14</v>
      </c>
      <c r="Q52" s="2">
        <v>45177</v>
      </c>
      <c r="R52" t="s">
        <v>104</v>
      </c>
      <c r="S52" t="s">
        <v>51</v>
      </c>
      <c r="T52" t="s">
        <v>52</v>
      </c>
      <c r="U52">
        <v>3090.82</v>
      </c>
      <c r="V52">
        <v>547.22849999999994</v>
      </c>
    </row>
    <row r="53" spans="1:22" x14ac:dyDescent="0.3">
      <c r="A53" t="s">
        <v>168</v>
      </c>
      <c r="B53" t="s">
        <v>21</v>
      </c>
      <c r="C53" t="s">
        <v>71</v>
      </c>
      <c r="D53">
        <v>18</v>
      </c>
      <c r="E53">
        <v>152.84</v>
      </c>
      <c r="F53" t="s">
        <v>36</v>
      </c>
      <c r="G53" t="s">
        <v>37</v>
      </c>
      <c r="H53">
        <v>0.15</v>
      </c>
      <c r="I53" t="s">
        <v>78</v>
      </c>
      <c r="J53">
        <v>2338.4499999999998</v>
      </c>
      <c r="K53" t="s">
        <v>38</v>
      </c>
      <c r="L53" t="s">
        <v>85</v>
      </c>
      <c r="M53">
        <v>1</v>
      </c>
      <c r="N53" t="s">
        <v>254</v>
      </c>
      <c r="O53" t="s">
        <v>255</v>
      </c>
      <c r="P53">
        <v>20.3</v>
      </c>
      <c r="Q53" s="2">
        <v>45967</v>
      </c>
      <c r="R53" t="s">
        <v>256</v>
      </c>
      <c r="S53" t="s">
        <v>31</v>
      </c>
      <c r="T53" t="s">
        <v>43</v>
      </c>
      <c r="U53">
        <v>2318.1499999999996</v>
      </c>
      <c r="V53">
        <v>412.66799999999995</v>
      </c>
    </row>
    <row r="54" spans="1:22" x14ac:dyDescent="0.3">
      <c r="A54" t="s">
        <v>83</v>
      </c>
      <c r="B54" t="s">
        <v>45</v>
      </c>
      <c r="C54" t="s">
        <v>35</v>
      </c>
      <c r="D54">
        <v>15</v>
      </c>
      <c r="E54">
        <v>210.94</v>
      </c>
      <c r="F54" t="s">
        <v>36</v>
      </c>
      <c r="G54" t="s">
        <v>24</v>
      </c>
      <c r="H54">
        <v>0.05</v>
      </c>
      <c r="I54" t="s">
        <v>56</v>
      </c>
      <c r="J54">
        <v>3005.9</v>
      </c>
      <c r="K54" t="s">
        <v>26</v>
      </c>
      <c r="L54" t="s">
        <v>58</v>
      </c>
      <c r="M54">
        <v>0</v>
      </c>
      <c r="N54" t="s">
        <v>257</v>
      </c>
      <c r="O54" t="s">
        <v>258</v>
      </c>
      <c r="P54">
        <v>10.91</v>
      </c>
      <c r="Q54" s="2">
        <v>45966</v>
      </c>
      <c r="R54" t="s">
        <v>259</v>
      </c>
      <c r="S54" t="s">
        <v>51</v>
      </c>
      <c r="T54" t="s">
        <v>43</v>
      </c>
      <c r="U54">
        <v>2994.9900000000002</v>
      </c>
      <c r="V54">
        <v>158.20500000000001</v>
      </c>
    </row>
    <row r="55" spans="1:22" x14ac:dyDescent="0.3">
      <c r="A55" t="s">
        <v>188</v>
      </c>
      <c r="B55" t="s">
        <v>34</v>
      </c>
      <c r="C55" t="s">
        <v>71</v>
      </c>
      <c r="D55">
        <v>9</v>
      </c>
      <c r="E55">
        <v>382.8</v>
      </c>
      <c r="F55" t="s">
        <v>55</v>
      </c>
      <c r="G55" t="s">
        <v>24</v>
      </c>
      <c r="H55">
        <v>0</v>
      </c>
      <c r="I55" t="s">
        <v>65</v>
      </c>
      <c r="J55">
        <v>3445.2</v>
      </c>
      <c r="K55" t="s">
        <v>47</v>
      </c>
      <c r="L55" t="s">
        <v>48</v>
      </c>
      <c r="M55">
        <v>0</v>
      </c>
      <c r="N55" t="s">
        <v>260</v>
      </c>
      <c r="O55" t="s">
        <v>261</v>
      </c>
      <c r="P55">
        <v>47.94</v>
      </c>
      <c r="Q55" s="2">
        <v>45354</v>
      </c>
      <c r="R55" t="s">
        <v>262</v>
      </c>
      <c r="S55" t="s">
        <v>42</v>
      </c>
      <c r="T55" t="s">
        <v>98</v>
      </c>
      <c r="U55">
        <v>3397.2599999999998</v>
      </c>
      <c r="V55">
        <v>0</v>
      </c>
    </row>
    <row r="56" spans="1:22" x14ac:dyDescent="0.3">
      <c r="A56" t="s">
        <v>263</v>
      </c>
      <c r="B56" t="s">
        <v>34</v>
      </c>
      <c r="C56" t="s">
        <v>109</v>
      </c>
      <c r="D56">
        <v>20</v>
      </c>
      <c r="E56">
        <v>159.33000000000001</v>
      </c>
      <c r="F56" t="s">
        <v>84</v>
      </c>
      <c r="G56" t="s">
        <v>24</v>
      </c>
      <c r="H56">
        <v>0</v>
      </c>
      <c r="I56" t="s">
        <v>65</v>
      </c>
      <c r="J56">
        <v>3186.6</v>
      </c>
      <c r="K56" t="s">
        <v>26</v>
      </c>
      <c r="L56" t="s">
        <v>85</v>
      </c>
      <c r="M56">
        <v>0</v>
      </c>
      <c r="N56" t="s">
        <v>264</v>
      </c>
      <c r="O56" t="s">
        <v>265</v>
      </c>
      <c r="P56">
        <v>26.32</v>
      </c>
      <c r="Q56" s="2">
        <v>45515</v>
      </c>
      <c r="R56" t="s">
        <v>266</v>
      </c>
      <c r="S56" t="s">
        <v>42</v>
      </c>
      <c r="T56" t="s">
        <v>82</v>
      </c>
      <c r="U56">
        <v>3160.2799999999997</v>
      </c>
      <c r="V56">
        <v>0</v>
      </c>
    </row>
    <row r="57" spans="1:22" x14ac:dyDescent="0.3">
      <c r="A57" t="s">
        <v>64</v>
      </c>
      <c r="B57" t="s">
        <v>21</v>
      </c>
      <c r="C57" t="s">
        <v>71</v>
      </c>
      <c r="D57">
        <v>10</v>
      </c>
      <c r="E57">
        <v>195.26</v>
      </c>
      <c r="F57" t="s">
        <v>55</v>
      </c>
      <c r="G57" t="s">
        <v>37</v>
      </c>
      <c r="H57">
        <v>0.05</v>
      </c>
      <c r="I57" t="s">
        <v>25</v>
      </c>
      <c r="J57">
        <v>1854.97</v>
      </c>
      <c r="K57" t="s">
        <v>101</v>
      </c>
      <c r="L57" t="s">
        <v>27</v>
      </c>
      <c r="M57">
        <v>0</v>
      </c>
      <c r="N57" t="s">
        <v>267</v>
      </c>
      <c r="O57" t="s">
        <v>268</v>
      </c>
      <c r="P57">
        <v>46.91</v>
      </c>
      <c r="Q57" s="2">
        <v>45569</v>
      </c>
      <c r="R57" t="s">
        <v>269</v>
      </c>
      <c r="S57" t="s">
        <v>31</v>
      </c>
      <c r="T57" t="s">
        <v>32</v>
      </c>
      <c r="U57">
        <v>1808.06</v>
      </c>
      <c r="V57">
        <v>97.63</v>
      </c>
    </row>
    <row r="58" spans="1:22" x14ac:dyDescent="0.3">
      <c r="A58" t="s">
        <v>270</v>
      </c>
      <c r="B58" t="s">
        <v>34</v>
      </c>
      <c r="C58" t="s">
        <v>127</v>
      </c>
      <c r="D58">
        <v>6</v>
      </c>
      <c r="E58">
        <v>93.92</v>
      </c>
      <c r="F58" t="s">
        <v>23</v>
      </c>
      <c r="G58" t="s">
        <v>24</v>
      </c>
      <c r="H58">
        <v>0.15</v>
      </c>
      <c r="I58" t="s">
        <v>65</v>
      </c>
      <c r="J58">
        <v>478.99</v>
      </c>
      <c r="K58" t="s">
        <v>101</v>
      </c>
      <c r="L58" t="s">
        <v>85</v>
      </c>
      <c r="M58">
        <v>0</v>
      </c>
      <c r="N58" t="s">
        <v>271</v>
      </c>
      <c r="O58" t="s">
        <v>272</v>
      </c>
      <c r="P58">
        <v>11</v>
      </c>
      <c r="Q58" s="2">
        <v>45233</v>
      </c>
      <c r="R58" t="s">
        <v>273</v>
      </c>
      <c r="S58" t="s">
        <v>42</v>
      </c>
      <c r="T58" t="s">
        <v>43</v>
      </c>
      <c r="U58">
        <v>467.99</v>
      </c>
      <c r="V58">
        <v>84.527999999999992</v>
      </c>
    </row>
    <row r="59" spans="1:22" x14ac:dyDescent="0.3">
      <c r="A59" t="s">
        <v>204</v>
      </c>
      <c r="B59" t="s">
        <v>21</v>
      </c>
      <c r="C59" t="s">
        <v>100</v>
      </c>
      <c r="D59">
        <v>19</v>
      </c>
      <c r="E59">
        <v>463.51</v>
      </c>
      <c r="F59" t="s">
        <v>23</v>
      </c>
      <c r="G59" t="s">
        <v>37</v>
      </c>
      <c r="H59">
        <v>0</v>
      </c>
      <c r="I59" t="s">
        <v>94</v>
      </c>
      <c r="J59">
        <v>8806.69</v>
      </c>
      <c r="K59" t="s">
        <v>47</v>
      </c>
      <c r="L59" t="s">
        <v>85</v>
      </c>
      <c r="M59">
        <v>0</v>
      </c>
      <c r="N59" t="s">
        <v>274</v>
      </c>
      <c r="O59" t="s">
        <v>275</v>
      </c>
      <c r="P59">
        <v>49.38</v>
      </c>
      <c r="Q59" s="2">
        <v>45047</v>
      </c>
      <c r="R59" t="s">
        <v>276</v>
      </c>
      <c r="S59" t="s">
        <v>31</v>
      </c>
      <c r="T59" t="s">
        <v>63</v>
      </c>
      <c r="U59">
        <v>8757.3100000000013</v>
      </c>
      <c r="V59">
        <v>0</v>
      </c>
    </row>
    <row r="60" spans="1:22" x14ac:dyDescent="0.3">
      <c r="A60" t="s">
        <v>277</v>
      </c>
      <c r="B60" t="s">
        <v>54</v>
      </c>
      <c r="C60" t="s">
        <v>22</v>
      </c>
      <c r="D60">
        <v>13</v>
      </c>
      <c r="E60">
        <v>104.8</v>
      </c>
      <c r="F60" t="s">
        <v>23</v>
      </c>
      <c r="G60" t="s">
        <v>37</v>
      </c>
      <c r="H60">
        <v>0.05</v>
      </c>
      <c r="I60" t="s">
        <v>78</v>
      </c>
      <c r="J60">
        <v>1294.28</v>
      </c>
      <c r="K60" t="s">
        <v>101</v>
      </c>
      <c r="L60" t="s">
        <v>27</v>
      </c>
      <c r="M60">
        <v>0</v>
      </c>
      <c r="N60" t="s">
        <v>278</v>
      </c>
      <c r="O60" t="s">
        <v>279</v>
      </c>
      <c r="P60">
        <v>7.79</v>
      </c>
      <c r="Q60" s="2">
        <v>45993</v>
      </c>
      <c r="R60" t="s">
        <v>280</v>
      </c>
      <c r="S60" t="s">
        <v>62</v>
      </c>
      <c r="T60" t="s">
        <v>76</v>
      </c>
      <c r="U60">
        <v>1286.49</v>
      </c>
      <c r="V60">
        <v>68.11999999999999</v>
      </c>
    </row>
    <row r="61" spans="1:22" x14ac:dyDescent="0.3">
      <c r="A61" t="s">
        <v>281</v>
      </c>
      <c r="B61" t="s">
        <v>54</v>
      </c>
      <c r="C61" t="s">
        <v>109</v>
      </c>
      <c r="D61">
        <v>12</v>
      </c>
      <c r="E61">
        <v>164.31</v>
      </c>
      <c r="F61" t="s">
        <v>23</v>
      </c>
      <c r="G61" t="s">
        <v>24</v>
      </c>
      <c r="H61">
        <v>0.1</v>
      </c>
      <c r="I61" t="s">
        <v>65</v>
      </c>
      <c r="J61">
        <v>1774.55</v>
      </c>
      <c r="K61" t="s">
        <v>47</v>
      </c>
      <c r="L61" t="s">
        <v>48</v>
      </c>
      <c r="M61">
        <v>1</v>
      </c>
      <c r="N61" t="s">
        <v>282</v>
      </c>
      <c r="O61" t="s">
        <v>283</v>
      </c>
      <c r="P61">
        <v>38.9</v>
      </c>
      <c r="Q61" s="2">
        <v>45352</v>
      </c>
      <c r="R61" t="s">
        <v>284</v>
      </c>
      <c r="S61" t="s">
        <v>62</v>
      </c>
      <c r="T61" t="s">
        <v>98</v>
      </c>
      <c r="U61">
        <v>1735.6499999999999</v>
      </c>
      <c r="V61">
        <v>197.17200000000003</v>
      </c>
    </row>
    <row r="62" spans="1:22" x14ac:dyDescent="0.3">
      <c r="A62" t="s">
        <v>285</v>
      </c>
      <c r="B62" t="s">
        <v>34</v>
      </c>
      <c r="C62" t="s">
        <v>109</v>
      </c>
      <c r="D62">
        <v>10</v>
      </c>
      <c r="E62">
        <v>325.18</v>
      </c>
      <c r="F62" t="s">
        <v>36</v>
      </c>
      <c r="G62" t="s">
        <v>24</v>
      </c>
      <c r="H62">
        <v>0.1</v>
      </c>
      <c r="I62" t="s">
        <v>25</v>
      </c>
      <c r="J62">
        <v>2926.62</v>
      </c>
      <c r="K62" t="s">
        <v>47</v>
      </c>
      <c r="L62" t="s">
        <v>27</v>
      </c>
      <c r="M62">
        <v>0</v>
      </c>
      <c r="N62" t="s">
        <v>286</v>
      </c>
      <c r="O62" t="s">
        <v>287</v>
      </c>
      <c r="P62">
        <v>47.39</v>
      </c>
      <c r="Q62" s="2">
        <v>44987</v>
      </c>
      <c r="R62" t="s">
        <v>288</v>
      </c>
      <c r="S62" t="s">
        <v>42</v>
      </c>
      <c r="T62" t="s">
        <v>98</v>
      </c>
      <c r="U62">
        <v>2879.23</v>
      </c>
      <c r="V62">
        <v>325.18000000000006</v>
      </c>
    </row>
    <row r="63" spans="1:22" x14ac:dyDescent="0.3">
      <c r="A63" t="s">
        <v>289</v>
      </c>
      <c r="B63" t="s">
        <v>70</v>
      </c>
      <c r="C63" t="s">
        <v>127</v>
      </c>
      <c r="D63">
        <v>17</v>
      </c>
      <c r="E63">
        <v>542.82000000000005</v>
      </c>
      <c r="F63" t="s">
        <v>84</v>
      </c>
      <c r="G63" t="s">
        <v>24</v>
      </c>
      <c r="H63">
        <v>0</v>
      </c>
      <c r="I63" t="s">
        <v>25</v>
      </c>
      <c r="J63">
        <v>9227.94</v>
      </c>
      <c r="K63" t="s">
        <v>38</v>
      </c>
      <c r="L63" t="s">
        <v>27</v>
      </c>
      <c r="M63">
        <v>1</v>
      </c>
      <c r="N63" t="s">
        <v>290</v>
      </c>
      <c r="O63" t="s">
        <v>291</v>
      </c>
      <c r="P63">
        <v>7.13</v>
      </c>
      <c r="Q63" s="2">
        <v>45294</v>
      </c>
      <c r="R63" t="s">
        <v>292</v>
      </c>
      <c r="S63" t="s">
        <v>75</v>
      </c>
      <c r="T63" t="s">
        <v>187</v>
      </c>
      <c r="U63">
        <v>9220.8100000000013</v>
      </c>
      <c r="V63">
        <v>0</v>
      </c>
    </row>
    <row r="64" spans="1:22" x14ac:dyDescent="0.3">
      <c r="A64" t="s">
        <v>293</v>
      </c>
      <c r="B64" t="s">
        <v>21</v>
      </c>
      <c r="C64" t="s">
        <v>35</v>
      </c>
      <c r="D64">
        <v>11</v>
      </c>
      <c r="E64">
        <v>71.209999999999994</v>
      </c>
      <c r="F64" t="s">
        <v>23</v>
      </c>
      <c r="G64" t="s">
        <v>37</v>
      </c>
      <c r="H64">
        <v>0.05</v>
      </c>
      <c r="I64" t="s">
        <v>78</v>
      </c>
      <c r="J64">
        <v>744.14</v>
      </c>
      <c r="K64" t="s">
        <v>26</v>
      </c>
      <c r="L64" t="s">
        <v>48</v>
      </c>
      <c r="M64">
        <v>1</v>
      </c>
      <c r="N64" t="s">
        <v>294</v>
      </c>
      <c r="O64" t="s">
        <v>295</v>
      </c>
      <c r="P64">
        <v>44.2</v>
      </c>
      <c r="Q64" s="2">
        <v>45203</v>
      </c>
      <c r="R64" t="s">
        <v>296</v>
      </c>
      <c r="S64" t="s">
        <v>31</v>
      </c>
      <c r="T64" t="s">
        <v>32</v>
      </c>
      <c r="U64">
        <v>699.93999999999994</v>
      </c>
      <c r="V64">
        <v>39.165500000000002</v>
      </c>
    </row>
    <row r="65" spans="1:22" x14ac:dyDescent="0.3">
      <c r="A65" t="s">
        <v>297</v>
      </c>
      <c r="B65" t="s">
        <v>45</v>
      </c>
      <c r="C65" t="s">
        <v>140</v>
      </c>
      <c r="D65">
        <v>8</v>
      </c>
      <c r="E65">
        <v>486.07</v>
      </c>
      <c r="F65" t="s">
        <v>23</v>
      </c>
      <c r="G65" t="s">
        <v>37</v>
      </c>
      <c r="H65">
        <v>0</v>
      </c>
      <c r="I65" t="s">
        <v>46</v>
      </c>
      <c r="J65">
        <v>3888.56</v>
      </c>
      <c r="K65" t="s">
        <v>38</v>
      </c>
      <c r="L65" t="s">
        <v>85</v>
      </c>
      <c r="M65">
        <v>0</v>
      </c>
      <c r="N65" t="s">
        <v>298</v>
      </c>
      <c r="O65" t="s">
        <v>299</v>
      </c>
      <c r="P65">
        <v>10.68</v>
      </c>
      <c r="Q65" s="2">
        <v>45750</v>
      </c>
      <c r="R65" t="s">
        <v>300</v>
      </c>
      <c r="S65" t="s">
        <v>51</v>
      </c>
      <c r="T65" t="s">
        <v>147</v>
      </c>
      <c r="U65">
        <v>3877.88</v>
      </c>
      <c r="V65">
        <v>0</v>
      </c>
    </row>
    <row r="66" spans="1:22" x14ac:dyDescent="0.3">
      <c r="A66" t="s">
        <v>301</v>
      </c>
      <c r="B66" t="s">
        <v>70</v>
      </c>
      <c r="C66" t="s">
        <v>100</v>
      </c>
      <c r="D66">
        <v>6</v>
      </c>
      <c r="E66">
        <v>555.03</v>
      </c>
      <c r="F66" t="s">
        <v>36</v>
      </c>
      <c r="G66" t="s">
        <v>37</v>
      </c>
      <c r="H66">
        <v>0.1</v>
      </c>
      <c r="I66" t="s">
        <v>56</v>
      </c>
      <c r="J66">
        <v>2997.16</v>
      </c>
      <c r="K66" t="s">
        <v>101</v>
      </c>
      <c r="L66" t="s">
        <v>48</v>
      </c>
      <c r="M66">
        <v>1</v>
      </c>
      <c r="N66" t="s">
        <v>302</v>
      </c>
      <c r="O66" t="s">
        <v>303</v>
      </c>
      <c r="P66">
        <v>23.69</v>
      </c>
      <c r="Q66" s="2">
        <v>45603</v>
      </c>
      <c r="R66" t="s">
        <v>304</v>
      </c>
      <c r="S66" t="s">
        <v>75</v>
      </c>
      <c r="T66" t="s">
        <v>43</v>
      </c>
      <c r="U66">
        <v>2973.47</v>
      </c>
      <c r="V66">
        <v>333.01800000000003</v>
      </c>
    </row>
    <row r="67" spans="1:22" x14ac:dyDescent="0.3">
      <c r="A67" t="s">
        <v>305</v>
      </c>
      <c r="B67" t="s">
        <v>34</v>
      </c>
      <c r="C67" t="s">
        <v>140</v>
      </c>
      <c r="D67">
        <v>3</v>
      </c>
      <c r="E67">
        <v>503.55</v>
      </c>
      <c r="F67" t="s">
        <v>36</v>
      </c>
      <c r="G67" t="s">
        <v>24</v>
      </c>
      <c r="H67">
        <v>0.1</v>
      </c>
      <c r="I67" t="s">
        <v>94</v>
      </c>
      <c r="J67">
        <v>1359.59</v>
      </c>
      <c r="K67" t="s">
        <v>101</v>
      </c>
      <c r="L67" t="s">
        <v>27</v>
      </c>
      <c r="M67">
        <v>0</v>
      </c>
      <c r="N67" t="s">
        <v>306</v>
      </c>
      <c r="O67" t="s">
        <v>307</v>
      </c>
      <c r="P67">
        <v>37.49</v>
      </c>
      <c r="Q67" s="2">
        <v>45454</v>
      </c>
      <c r="R67" t="s">
        <v>308</v>
      </c>
      <c r="S67" t="s">
        <v>42</v>
      </c>
      <c r="T67" t="s">
        <v>105</v>
      </c>
      <c r="U67">
        <v>1322.1</v>
      </c>
      <c r="V67">
        <v>151.06500000000003</v>
      </c>
    </row>
    <row r="68" spans="1:22" x14ac:dyDescent="0.3">
      <c r="A68" t="s">
        <v>309</v>
      </c>
      <c r="B68" t="s">
        <v>70</v>
      </c>
      <c r="C68" t="s">
        <v>109</v>
      </c>
      <c r="D68">
        <v>5</v>
      </c>
      <c r="E68">
        <v>31.56</v>
      </c>
      <c r="F68" t="s">
        <v>55</v>
      </c>
      <c r="G68" t="s">
        <v>37</v>
      </c>
      <c r="H68">
        <v>0</v>
      </c>
      <c r="I68" t="s">
        <v>78</v>
      </c>
      <c r="J68">
        <v>157.80000000000001</v>
      </c>
      <c r="K68" t="s">
        <v>26</v>
      </c>
      <c r="L68" t="s">
        <v>58</v>
      </c>
      <c r="M68">
        <v>1</v>
      </c>
      <c r="N68" t="s">
        <v>310</v>
      </c>
      <c r="O68" t="s">
        <v>311</v>
      </c>
      <c r="P68">
        <v>29.56</v>
      </c>
      <c r="Q68" s="2">
        <v>45661</v>
      </c>
      <c r="R68" t="s">
        <v>312</v>
      </c>
      <c r="S68" t="s">
        <v>75</v>
      </c>
      <c r="T68" t="s">
        <v>187</v>
      </c>
      <c r="U68">
        <v>128.24</v>
      </c>
      <c r="V68">
        <v>0</v>
      </c>
    </row>
    <row r="69" spans="1:22" x14ac:dyDescent="0.3">
      <c r="A69" t="s">
        <v>313</v>
      </c>
      <c r="B69" t="s">
        <v>54</v>
      </c>
      <c r="C69" t="s">
        <v>100</v>
      </c>
      <c r="D69">
        <v>16</v>
      </c>
      <c r="E69">
        <v>72.92</v>
      </c>
      <c r="F69" t="s">
        <v>36</v>
      </c>
      <c r="G69" t="s">
        <v>24</v>
      </c>
      <c r="H69">
        <v>0.05</v>
      </c>
      <c r="I69" t="s">
        <v>56</v>
      </c>
      <c r="J69">
        <v>1108.3800000000001</v>
      </c>
      <c r="K69" t="s">
        <v>47</v>
      </c>
      <c r="L69" t="s">
        <v>85</v>
      </c>
      <c r="M69">
        <v>0</v>
      </c>
      <c r="N69" t="s">
        <v>314</v>
      </c>
      <c r="O69" t="s">
        <v>315</v>
      </c>
      <c r="P69">
        <v>5.7</v>
      </c>
      <c r="Q69" s="2">
        <v>45298</v>
      </c>
      <c r="R69" t="s">
        <v>316</v>
      </c>
      <c r="S69" t="s">
        <v>62</v>
      </c>
      <c r="T69" t="s">
        <v>187</v>
      </c>
      <c r="U69">
        <v>1102.68</v>
      </c>
      <c r="V69">
        <v>58.336000000000006</v>
      </c>
    </row>
    <row r="70" spans="1:22" x14ac:dyDescent="0.3">
      <c r="A70" t="s">
        <v>179</v>
      </c>
      <c r="B70" t="s">
        <v>54</v>
      </c>
      <c r="C70" t="s">
        <v>140</v>
      </c>
      <c r="D70">
        <v>18</v>
      </c>
      <c r="E70">
        <v>421.93</v>
      </c>
      <c r="F70" t="s">
        <v>55</v>
      </c>
      <c r="G70" t="s">
        <v>37</v>
      </c>
      <c r="H70">
        <v>0.05</v>
      </c>
      <c r="I70" t="s">
        <v>94</v>
      </c>
      <c r="J70">
        <v>7215</v>
      </c>
      <c r="K70" t="s">
        <v>57</v>
      </c>
      <c r="L70" t="s">
        <v>27</v>
      </c>
      <c r="M70">
        <v>0</v>
      </c>
      <c r="N70" t="s">
        <v>317</v>
      </c>
      <c r="O70" t="s">
        <v>318</v>
      </c>
      <c r="P70">
        <v>23.42</v>
      </c>
      <c r="Q70" s="2">
        <v>45181</v>
      </c>
      <c r="R70" t="s">
        <v>319</v>
      </c>
      <c r="S70" t="s">
        <v>62</v>
      </c>
      <c r="T70" t="s">
        <v>52</v>
      </c>
      <c r="U70">
        <v>7191.58</v>
      </c>
      <c r="V70">
        <v>379.73700000000002</v>
      </c>
    </row>
    <row r="71" spans="1:22" x14ac:dyDescent="0.3">
      <c r="A71" t="s">
        <v>320</v>
      </c>
      <c r="B71" t="s">
        <v>34</v>
      </c>
      <c r="C71" t="s">
        <v>109</v>
      </c>
      <c r="D71">
        <v>7</v>
      </c>
      <c r="E71">
        <v>247.53</v>
      </c>
      <c r="F71" t="s">
        <v>36</v>
      </c>
      <c r="G71" t="s">
        <v>24</v>
      </c>
      <c r="H71">
        <v>0.15</v>
      </c>
      <c r="I71" t="s">
        <v>25</v>
      </c>
      <c r="J71">
        <v>1472.8</v>
      </c>
      <c r="K71" t="s">
        <v>57</v>
      </c>
      <c r="L71" t="s">
        <v>85</v>
      </c>
      <c r="M71">
        <v>0</v>
      </c>
      <c r="N71" t="s">
        <v>321</v>
      </c>
      <c r="O71" t="s">
        <v>322</v>
      </c>
      <c r="P71">
        <v>13.63</v>
      </c>
      <c r="Q71" s="2">
        <v>45140</v>
      </c>
      <c r="R71" t="s">
        <v>323</v>
      </c>
      <c r="S71" t="s">
        <v>42</v>
      </c>
      <c r="T71" t="s">
        <v>82</v>
      </c>
      <c r="U71">
        <v>1459.1699999999998</v>
      </c>
      <c r="V71">
        <v>259.90649999999999</v>
      </c>
    </row>
    <row r="72" spans="1:22" x14ac:dyDescent="0.3">
      <c r="A72" t="s">
        <v>99</v>
      </c>
      <c r="B72" t="s">
        <v>34</v>
      </c>
      <c r="C72" t="s">
        <v>127</v>
      </c>
      <c r="D72">
        <v>7</v>
      </c>
      <c r="E72">
        <v>498.32</v>
      </c>
      <c r="F72" t="s">
        <v>23</v>
      </c>
      <c r="G72" t="s">
        <v>24</v>
      </c>
      <c r="H72">
        <v>0.1</v>
      </c>
      <c r="I72" t="s">
        <v>25</v>
      </c>
      <c r="J72">
        <v>3139.42</v>
      </c>
      <c r="K72" t="s">
        <v>101</v>
      </c>
      <c r="L72" t="s">
        <v>27</v>
      </c>
      <c r="M72">
        <v>1</v>
      </c>
      <c r="N72" t="s">
        <v>324</v>
      </c>
      <c r="O72" t="s">
        <v>325</v>
      </c>
      <c r="P72">
        <v>27.65</v>
      </c>
      <c r="Q72" s="2">
        <v>45085</v>
      </c>
      <c r="R72" t="s">
        <v>139</v>
      </c>
      <c r="S72" t="s">
        <v>42</v>
      </c>
      <c r="T72" t="s">
        <v>105</v>
      </c>
      <c r="U72">
        <v>3111.77</v>
      </c>
      <c r="V72">
        <v>348.82400000000001</v>
      </c>
    </row>
    <row r="73" spans="1:22" x14ac:dyDescent="0.3">
      <c r="A73" t="s">
        <v>326</v>
      </c>
      <c r="B73" t="s">
        <v>45</v>
      </c>
      <c r="C73" t="s">
        <v>140</v>
      </c>
      <c r="D73">
        <v>7</v>
      </c>
      <c r="E73">
        <v>248.1</v>
      </c>
      <c r="F73" t="s">
        <v>36</v>
      </c>
      <c r="G73" t="s">
        <v>37</v>
      </c>
      <c r="H73">
        <v>0</v>
      </c>
      <c r="I73" t="s">
        <v>78</v>
      </c>
      <c r="J73">
        <v>1736.7</v>
      </c>
      <c r="K73" t="s">
        <v>47</v>
      </c>
      <c r="L73" t="s">
        <v>27</v>
      </c>
      <c r="M73">
        <v>0</v>
      </c>
      <c r="N73" t="s">
        <v>327</v>
      </c>
      <c r="O73" t="s">
        <v>328</v>
      </c>
      <c r="P73">
        <v>31.8</v>
      </c>
      <c r="Q73" s="2">
        <v>45690</v>
      </c>
      <c r="R73" t="s">
        <v>329</v>
      </c>
      <c r="S73" t="s">
        <v>51</v>
      </c>
      <c r="T73" t="s">
        <v>199</v>
      </c>
      <c r="U73">
        <v>1704.9</v>
      </c>
      <c r="V73">
        <v>0</v>
      </c>
    </row>
    <row r="74" spans="1:22" x14ac:dyDescent="0.3">
      <c r="A74" t="s">
        <v>125</v>
      </c>
      <c r="B74" t="s">
        <v>54</v>
      </c>
      <c r="C74" t="s">
        <v>140</v>
      </c>
      <c r="D74">
        <v>3</v>
      </c>
      <c r="E74">
        <v>486.52</v>
      </c>
      <c r="F74" t="s">
        <v>23</v>
      </c>
      <c r="G74" t="s">
        <v>24</v>
      </c>
      <c r="H74">
        <v>0.1</v>
      </c>
      <c r="I74" t="s">
        <v>46</v>
      </c>
      <c r="J74">
        <v>1313.6</v>
      </c>
      <c r="K74" t="s">
        <v>57</v>
      </c>
      <c r="L74" t="s">
        <v>48</v>
      </c>
      <c r="M74">
        <v>0</v>
      </c>
      <c r="N74" t="s">
        <v>330</v>
      </c>
      <c r="O74" t="s">
        <v>331</v>
      </c>
      <c r="P74">
        <v>16.5</v>
      </c>
      <c r="Q74" s="2">
        <v>45234</v>
      </c>
      <c r="R74" t="s">
        <v>332</v>
      </c>
      <c r="S74" t="s">
        <v>62</v>
      </c>
      <c r="T74" t="s">
        <v>43</v>
      </c>
      <c r="U74">
        <v>1297.0999999999999</v>
      </c>
      <c r="V74">
        <v>145.95599999999999</v>
      </c>
    </row>
    <row r="75" spans="1:22" x14ac:dyDescent="0.3">
      <c r="A75" t="s">
        <v>333</v>
      </c>
      <c r="B75" t="s">
        <v>21</v>
      </c>
      <c r="C75" t="s">
        <v>127</v>
      </c>
      <c r="D75">
        <v>18</v>
      </c>
      <c r="E75">
        <v>415.04</v>
      </c>
      <c r="F75" t="s">
        <v>36</v>
      </c>
      <c r="G75" t="s">
        <v>24</v>
      </c>
      <c r="H75">
        <v>0.1</v>
      </c>
      <c r="I75" t="s">
        <v>65</v>
      </c>
      <c r="J75">
        <v>6723.65</v>
      </c>
      <c r="K75" t="s">
        <v>47</v>
      </c>
      <c r="L75" t="s">
        <v>27</v>
      </c>
      <c r="M75">
        <v>0</v>
      </c>
      <c r="N75" t="s">
        <v>334</v>
      </c>
      <c r="O75" t="s">
        <v>335</v>
      </c>
      <c r="P75">
        <v>33.58</v>
      </c>
      <c r="Q75" s="2">
        <v>45511</v>
      </c>
      <c r="R75" t="s">
        <v>336</v>
      </c>
      <c r="S75" t="s">
        <v>31</v>
      </c>
      <c r="T75" t="s">
        <v>82</v>
      </c>
      <c r="U75">
        <v>6690.07</v>
      </c>
      <c r="V75">
        <v>747.07200000000012</v>
      </c>
    </row>
    <row r="76" spans="1:22" x14ac:dyDescent="0.3">
      <c r="A76" t="s">
        <v>320</v>
      </c>
      <c r="B76" t="s">
        <v>45</v>
      </c>
      <c r="C76" t="s">
        <v>140</v>
      </c>
      <c r="D76">
        <v>19</v>
      </c>
      <c r="E76">
        <v>165.38</v>
      </c>
      <c r="F76" t="s">
        <v>23</v>
      </c>
      <c r="G76" t="s">
        <v>24</v>
      </c>
      <c r="H76">
        <v>0.15</v>
      </c>
      <c r="I76" t="s">
        <v>25</v>
      </c>
      <c r="J76">
        <v>2670.89</v>
      </c>
      <c r="K76" t="s">
        <v>26</v>
      </c>
      <c r="L76" t="s">
        <v>48</v>
      </c>
      <c r="M76">
        <v>0</v>
      </c>
      <c r="N76" t="s">
        <v>337</v>
      </c>
      <c r="O76" t="s">
        <v>338</v>
      </c>
      <c r="P76">
        <v>25.2</v>
      </c>
      <c r="Q76" s="2">
        <v>45140</v>
      </c>
      <c r="R76" t="s">
        <v>195</v>
      </c>
      <c r="S76" t="s">
        <v>51</v>
      </c>
      <c r="T76" t="s">
        <v>82</v>
      </c>
      <c r="U76">
        <v>2645.69</v>
      </c>
      <c r="V76">
        <v>471.33299999999997</v>
      </c>
    </row>
    <row r="77" spans="1:22" x14ac:dyDescent="0.3">
      <c r="A77" t="s">
        <v>339</v>
      </c>
      <c r="B77" t="s">
        <v>54</v>
      </c>
      <c r="C77" t="s">
        <v>22</v>
      </c>
      <c r="D77">
        <v>2</v>
      </c>
      <c r="E77">
        <v>117.47</v>
      </c>
      <c r="F77" t="s">
        <v>36</v>
      </c>
      <c r="G77" t="s">
        <v>24</v>
      </c>
      <c r="H77">
        <v>0</v>
      </c>
      <c r="I77" t="s">
        <v>65</v>
      </c>
      <c r="J77">
        <v>234.94</v>
      </c>
      <c r="K77" t="s">
        <v>101</v>
      </c>
      <c r="L77" t="s">
        <v>85</v>
      </c>
      <c r="M77">
        <v>0</v>
      </c>
      <c r="N77" t="s">
        <v>340</v>
      </c>
      <c r="O77" t="s">
        <v>341</v>
      </c>
      <c r="P77">
        <v>6.58</v>
      </c>
      <c r="Q77" s="2">
        <v>45539</v>
      </c>
      <c r="R77" t="s">
        <v>342</v>
      </c>
      <c r="S77" t="s">
        <v>62</v>
      </c>
      <c r="T77" t="s">
        <v>52</v>
      </c>
      <c r="U77">
        <v>228.35999999999999</v>
      </c>
      <c r="V77">
        <v>0</v>
      </c>
    </row>
    <row r="78" spans="1:22" x14ac:dyDescent="0.3">
      <c r="A78" t="s">
        <v>343</v>
      </c>
      <c r="B78" t="s">
        <v>54</v>
      </c>
      <c r="C78" t="s">
        <v>109</v>
      </c>
      <c r="D78">
        <v>19</v>
      </c>
      <c r="E78">
        <v>208.72</v>
      </c>
      <c r="F78" t="s">
        <v>55</v>
      </c>
      <c r="G78" t="s">
        <v>37</v>
      </c>
      <c r="H78">
        <v>0.05</v>
      </c>
      <c r="I78" t="s">
        <v>56</v>
      </c>
      <c r="J78">
        <v>3767.4</v>
      </c>
      <c r="K78" t="s">
        <v>101</v>
      </c>
      <c r="L78" t="s">
        <v>85</v>
      </c>
      <c r="M78">
        <v>0</v>
      </c>
      <c r="N78" t="s">
        <v>344</v>
      </c>
      <c r="O78" t="s">
        <v>345</v>
      </c>
      <c r="P78">
        <v>38.409999999999997</v>
      </c>
      <c r="Q78" s="2">
        <v>45331</v>
      </c>
      <c r="R78" t="s">
        <v>156</v>
      </c>
      <c r="S78" t="s">
        <v>62</v>
      </c>
      <c r="T78" t="s">
        <v>199</v>
      </c>
      <c r="U78">
        <v>3728.9900000000002</v>
      </c>
      <c r="V78">
        <v>198.28399999999999</v>
      </c>
    </row>
    <row r="79" spans="1:22" x14ac:dyDescent="0.3">
      <c r="A79" t="s">
        <v>346</v>
      </c>
      <c r="B79" t="s">
        <v>54</v>
      </c>
      <c r="C79" t="s">
        <v>100</v>
      </c>
      <c r="D79">
        <v>2</v>
      </c>
      <c r="E79">
        <v>580.19000000000005</v>
      </c>
      <c r="F79" t="s">
        <v>23</v>
      </c>
      <c r="G79" t="s">
        <v>24</v>
      </c>
      <c r="H79">
        <v>0.05</v>
      </c>
      <c r="I79" t="s">
        <v>78</v>
      </c>
      <c r="J79">
        <v>1102.3599999999999</v>
      </c>
      <c r="K79" t="s">
        <v>38</v>
      </c>
      <c r="L79" t="s">
        <v>27</v>
      </c>
      <c r="M79">
        <v>0</v>
      </c>
      <c r="N79" t="s">
        <v>347</v>
      </c>
      <c r="O79" t="s">
        <v>348</v>
      </c>
      <c r="P79">
        <v>7.33</v>
      </c>
      <c r="Q79" s="2">
        <v>45692</v>
      </c>
      <c r="R79" t="s">
        <v>349</v>
      </c>
      <c r="S79" t="s">
        <v>62</v>
      </c>
      <c r="T79" t="s">
        <v>199</v>
      </c>
      <c r="U79">
        <v>1095.03</v>
      </c>
      <c r="V79">
        <v>58.019000000000005</v>
      </c>
    </row>
    <row r="80" spans="1:22" x14ac:dyDescent="0.3">
      <c r="A80" t="s">
        <v>350</v>
      </c>
      <c r="B80" t="s">
        <v>70</v>
      </c>
      <c r="C80" t="s">
        <v>71</v>
      </c>
      <c r="D80">
        <v>1</v>
      </c>
      <c r="E80">
        <v>94.33</v>
      </c>
      <c r="F80" t="s">
        <v>84</v>
      </c>
      <c r="G80" t="s">
        <v>24</v>
      </c>
      <c r="H80">
        <v>0</v>
      </c>
      <c r="I80" t="s">
        <v>46</v>
      </c>
      <c r="J80">
        <v>94.33</v>
      </c>
      <c r="K80" t="s">
        <v>26</v>
      </c>
      <c r="L80" t="s">
        <v>48</v>
      </c>
      <c r="M80">
        <v>0</v>
      </c>
      <c r="N80" t="s">
        <v>351</v>
      </c>
      <c r="O80" t="s">
        <v>352</v>
      </c>
      <c r="P80">
        <v>49.17</v>
      </c>
      <c r="Q80" s="2">
        <v>45481</v>
      </c>
      <c r="R80" t="s">
        <v>353</v>
      </c>
      <c r="S80" t="s">
        <v>75</v>
      </c>
      <c r="T80" t="s">
        <v>117</v>
      </c>
      <c r="U80">
        <v>45.16</v>
      </c>
      <c r="V80">
        <v>0</v>
      </c>
    </row>
    <row r="81" spans="1:22" x14ac:dyDescent="0.3">
      <c r="A81" t="s">
        <v>354</v>
      </c>
      <c r="B81" t="s">
        <v>34</v>
      </c>
      <c r="C81" t="s">
        <v>22</v>
      </c>
      <c r="D81">
        <v>4</v>
      </c>
      <c r="E81">
        <v>551.71</v>
      </c>
      <c r="F81" t="s">
        <v>84</v>
      </c>
      <c r="G81" t="s">
        <v>37</v>
      </c>
      <c r="H81">
        <v>0.05</v>
      </c>
      <c r="I81" t="s">
        <v>65</v>
      </c>
      <c r="J81">
        <v>2096.5</v>
      </c>
      <c r="K81" t="s">
        <v>57</v>
      </c>
      <c r="L81" t="s">
        <v>48</v>
      </c>
      <c r="M81">
        <v>1</v>
      </c>
      <c r="N81" t="s">
        <v>355</v>
      </c>
      <c r="O81" t="s">
        <v>356</v>
      </c>
      <c r="P81">
        <v>26.32</v>
      </c>
      <c r="Q81" s="2">
        <v>45268</v>
      </c>
      <c r="R81" t="s">
        <v>357</v>
      </c>
      <c r="S81" t="s">
        <v>42</v>
      </c>
      <c r="T81" t="s">
        <v>76</v>
      </c>
      <c r="U81">
        <v>2070.1799999999998</v>
      </c>
      <c r="V81">
        <v>110.34200000000001</v>
      </c>
    </row>
    <row r="82" spans="1:22" x14ac:dyDescent="0.3">
      <c r="A82" t="s">
        <v>358</v>
      </c>
      <c r="B82" t="s">
        <v>34</v>
      </c>
      <c r="C82" t="s">
        <v>71</v>
      </c>
      <c r="D82">
        <v>20</v>
      </c>
      <c r="E82">
        <v>273.55</v>
      </c>
      <c r="F82" t="s">
        <v>55</v>
      </c>
      <c r="G82" t="s">
        <v>37</v>
      </c>
      <c r="H82">
        <v>0.15</v>
      </c>
      <c r="I82" t="s">
        <v>56</v>
      </c>
      <c r="J82">
        <v>4650.3500000000004</v>
      </c>
      <c r="K82" t="s">
        <v>38</v>
      </c>
      <c r="L82" t="s">
        <v>48</v>
      </c>
      <c r="M82">
        <v>0</v>
      </c>
      <c r="N82" t="s">
        <v>359</v>
      </c>
      <c r="O82" t="s">
        <v>360</v>
      </c>
      <c r="P82">
        <v>14.76</v>
      </c>
      <c r="Q82" s="2">
        <v>44935</v>
      </c>
      <c r="R82" t="s">
        <v>361</v>
      </c>
      <c r="S82" t="s">
        <v>42</v>
      </c>
      <c r="T82" t="s">
        <v>187</v>
      </c>
      <c r="U82">
        <v>4635.59</v>
      </c>
      <c r="V82">
        <v>820.65</v>
      </c>
    </row>
    <row r="83" spans="1:22" x14ac:dyDescent="0.3">
      <c r="A83" t="s">
        <v>362</v>
      </c>
      <c r="B83" t="s">
        <v>54</v>
      </c>
      <c r="C83" t="s">
        <v>109</v>
      </c>
      <c r="D83">
        <v>6</v>
      </c>
      <c r="E83">
        <v>187.06</v>
      </c>
      <c r="F83" t="s">
        <v>23</v>
      </c>
      <c r="G83" t="s">
        <v>24</v>
      </c>
      <c r="H83">
        <v>0.1</v>
      </c>
      <c r="I83" t="s">
        <v>56</v>
      </c>
      <c r="J83">
        <v>1010.12</v>
      </c>
      <c r="K83" t="s">
        <v>38</v>
      </c>
      <c r="L83" t="s">
        <v>85</v>
      </c>
      <c r="M83">
        <v>0</v>
      </c>
      <c r="N83" t="s">
        <v>363</v>
      </c>
      <c r="O83" t="s">
        <v>364</v>
      </c>
      <c r="P83">
        <v>11.03</v>
      </c>
      <c r="Q83" s="2">
        <v>45420</v>
      </c>
      <c r="R83" t="s">
        <v>236</v>
      </c>
      <c r="S83" t="s">
        <v>62</v>
      </c>
      <c r="T83" t="s">
        <v>63</v>
      </c>
      <c r="U83">
        <v>999.09</v>
      </c>
      <c r="V83">
        <v>112.23600000000002</v>
      </c>
    </row>
    <row r="84" spans="1:22" x14ac:dyDescent="0.3">
      <c r="A84" t="s">
        <v>365</v>
      </c>
      <c r="B84" t="s">
        <v>45</v>
      </c>
      <c r="C84" t="s">
        <v>109</v>
      </c>
      <c r="D84">
        <v>1</v>
      </c>
      <c r="E84">
        <v>259.87</v>
      </c>
      <c r="F84" t="s">
        <v>55</v>
      </c>
      <c r="G84" t="s">
        <v>37</v>
      </c>
      <c r="H84">
        <v>0.15</v>
      </c>
      <c r="I84" t="s">
        <v>65</v>
      </c>
      <c r="J84">
        <v>220.89</v>
      </c>
      <c r="K84" t="s">
        <v>57</v>
      </c>
      <c r="L84" t="s">
        <v>85</v>
      </c>
      <c r="M84">
        <v>0</v>
      </c>
      <c r="N84" t="s">
        <v>366</v>
      </c>
      <c r="O84" t="s">
        <v>367</v>
      </c>
      <c r="P84">
        <v>19.2</v>
      </c>
      <c r="Q84" s="2">
        <v>45357</v>
      </c>
      <c r="R84" t="s">
        <v>368</v>
      </c>
      <c r="S84" t="s">
        <v>51</v>
      </c>
      <c r="T84" t="s">
        <v>98</v>
      </c>
      <c r="U84">
        <v>201.69</v>
      </c>
      <c r="V84">
        <v>38.980499999999999</v>
      </c>
    </row>
    <row r="85" spans="1:22" x14ac:dyDescent="0.3">
      <c r="A85" t="s">
        <v>369</v>
      </c>
      <c r="B85" t="s">
        <v>45</v>
      </c>
      <c r="C85" t="s">
        <v>109</v>
      </c>
      <c r="D85">
        <v>20</v>
      </c>
      <c r="E85">
        <v>268.25</v>
      </c>
      <c r="F85" t="s">
        <v>55</v>
      </c>
      <c r="G85" t="s">
        <v>37</v>
      </c>
      <c r="H85">
        <v>0.05</v>
      </c>
      <c r="I85" t="s">
        <v>78</v>
      </c>
      <c r="J85">
        <v>5096.75</v>
      </c>
      <c r="K85" t="s">
        <v>47</v>
      </c>
      <c r="L85" t="s">
        <v>85</v>
      </c>
      <c r="M85">
        <v>0</v>
      </c>
      <c r="N85" t="s">
        <v>370</v>
      </c>
      <c r="O85" t="s">
        <v>371</v>
      </c>
      <c r="P85">
        <v>20.96</v>
      </c>
      <c r="Q85" s="2">
        <v>45149</v>
      </c>
      <c r="R85" t="s">
        <v>372</v>
      </c>
      <c r="S85" t="s">
        <v>51</v>
      </c>
      <c r="T85" t="s">
        <v>82</v>
      </c>
      <c r="U85">
        <v>5075.79</v>
      </c>
      <c r="V85">
        <v>268.25</v>
      </c>
    </row>
    <row r="86" spans="1:22" x14ac:dyDescent="0.3">
      <c r="A86" t="s">
        <v>346</v>
      </c>
      <c r="B86" t="s">
        <v>21</v>
      </c>
      <c r="C86" t="s">
        <v>140</v>
      </c>
      <c r="D86">
        <v>12</v>
      </c>
      <c r="E86">
        <v>413.45</v>
      </c>
      <c r="F86" t="s">
        <v>55</v>
      </c>
      <c r="G86" t="s">
        <v>37</v>
      </c>
      <c r="H86">
        <v>0.15</v>
      </c>
      <c r="I86" t="s">
        <v>94</v>
      </c>
      <c r="J86">
        <v>4217.1899999999996</v>
      </c>
      <c r="K86" t="s">
        <v>47</v>
      </c>
      <c r="L86" t="s">
        <v>85</v>
      </c>
      <c r="M86">
        <v>0</v>
      </c>
      <c r="N86" t="s">
        <v>373</v>
      </c>
      <c r="O86" t="s">
        <v>374</v>
      </c>
      <c r="P86">
        <v>23.25</v>
      </c>
      <c r="Q86" s="2">
        <v>45692</v>
      </c>
      <c r="R86" t="s">
        <v>375</v>
      </c>
      <c r="S86" t="s">
        <v>31</v>
      </c>
      <c r="T86" t="s">
        <v>199</v>
      </c>
      <c r="U86">
        <v>4193.9399999999996</v>
      </c>
      <c r="V86">
        <v>744.20999999999992</v>
      </c>
    </row>
    <row r="87" spans="1:22" x14ac:dyDescent="0.3">
      <c r="A87" t="s">
        <v>229</v>
      </c>
      <c r="B87" t="s">
        <v>21</v>
      </c>
      <c r="C87" t="s">
        <v>35</v>
      </c>
      <c r="D87">
        <v>19</v>
      </c>
      <c r="E87">
        <v>446.25</v>
      </c>
      <c r="F87" t="s">
        <v>23</v>
      </c>
      <c r="G87" t="s">
        <v>37</v>
      </c>
      <c r="H87">
        <v>0.1</v>
      </c>
      <c r="I87" t="s">
        <v>65</v>
      </c>
      <c r="J87">
        <v>7630.88</v>
      </c>
      <c r="K87" t="s">
        <v>57</v>
      </c>
      <c r="L87" t="s">
        <v>48</v>
      </c>
      <c r="M87">
        <v>0</v>
      </c>
      <c r="N87" t="s">
        <v>376</v>
      </c>
      <c r="O87" t="s">
        <v>377</v>
      </c>
      <c r="P87">
        <v>14.88</v>
      </c>
      <c r="Q87" s="2">
        <v>45997</v>
      </c>
      <c r="R87" t="s">
        <v>378</v>
      </c>
      <c r="S87" t="s">
        <v>31</v>
      </c>
      <c r="T87" t="s">
        <v>76</v>
      </c>
      <c r="U87">
        <v>7616</v>
      </c>
      <c r="V87">
        <v>847.875</v>
      </c>
    </row>
    <row r="88" spans="1:22" x14ac:dyDescent="0.3">
      <c r="A88" t="s">
        <v>379</v>
      </c>
      <c r="B88" t="s">
        <v>70</v>
      </c>
      <c r="C88" t="s">
        <v>109</v>
      </c>
      <c r="D88">
        <v>3</v>
      </c>
      <c r="E88">
        <v>71.91</v>
      </c>
      <c r="F88" t="s">
        <v>23</v>
      </c>
      <c r="G88" t="s">
        <v>24</v>
      </c>
      <c r="H88">
        <v>0</v>
      </c>
      <c r="I88" t="s">
        <v>25</v>
      </c>
      <c r="J88">
        <v>215.73</v>
      </c>
      <c r="K88" t="s">
        <v>57</v>
      </c>
      <c r="L88" t="s">
        <v>27</v>
      </c>
      <c r="M88">
        <v>1</v>
      </c>
      <c r="N88" t="s">
        <v>380</v>
      </c>
      <c r="O88" t="s">
        <v>381</v>
      </c>
      <c r="P88">
        <v>46.25</v>
      </c>
      <c r="Q88" s="2">
        <v>45114</v>
      </c>
      <c r="R88" t="s">
        <v>382</v>
      </c>
      <c r="S88" t="s">
        <v>75</v>
      </c>
      <c r="T88" t="s">
        <v>117</v>
      </c>
      <c r="U88">
        <v>169.48</v>
      </c>
      <c r="V88">
        <v>0</v>
      </c>
    </row>
    <row r="89" spans="1:22" x14ac:dyDescent="0.3">
      <c r="A89" t="s">
        <v>383</v>
      </c>
      <c r="B89" t="s">
        <v>70</v>
      </c>
      <c r="C89" t="s">
        <v>109</v>
      </c>
      <c r="D89">
        <v>20</v>
      </c>
      <c r="E89">
        <v>576.29999999999995</v>
      </c>
      <c r="F89" t="s">
        <v>55</v>
      </c>
      <c r="G89" t="s">
        <v>24</v>
      </c>
      <c r="H89">
        <v>0.05</v>
      </c>
      <c r="I89" t="s">
        <v>65</v>
      </c>
      <c r="J89">
        <v>10949.7</v>
      </c>
      <c r="K89" t="s">
        <v>101</v>
      </c>
      <c r="L89" t="s">
        <v>48</v>
      </c>
      <c r="M89">
        <v>0</v>
      </c>
      <c r="N89" t="s">
        <v>384</v>
      </c>
      <c r="O89" t="s">
        <v>385</v>
      </c>
      <c r="P89">
        <v>25.22</v>
      </c>
      <c r="Q89" s="2">
        <v>45422</v>
      </c>
      <c r="R89" t="s">
        <v>386</v>
      </c>
      <c r="S89" t="s">
        <v>75</v>
      </c>
      <c r="T89" t="s">
        <v>63</v>
      </c>
      <c r="U89">
        <v>10924.480000000001</v>
      </c>
      <c r="V89">
        <v>576.30000000000007</v>
      </c>
    </row>
    <row r="90" spans="1:22" x14ac:dyDescent="0.3">
      <c r="A90" t="s">
        <v>309</v>
      </c>
      <c r="B90" t="s">
        <v>54</v>
      </c>
      <c r="C90" t="s">
        <v>140</v>
      </c>
      <c r="D90">
        <v>8</v>
      </c>
      <c r="E90">
        <v>96.19</v>
      </c>
      <c r="F90" t="s">
        <v>84</v>
      </c>
      <c r="G90" t="s">
        <v>24</v>
      </c>
      <c r="H90">
        <v>0.05</v>
      </c>
      <c r="I90" t="s">
        <v>46</v>
      </c>
      <c r="J90">
        <v>731.04</v>
      </c>
      <c r="K90" t="s">
        <v>38</v>
      </c>
      <c r="L90" t="s">
        <v>58</v>
      </c>
      <c r="M90">
        <v>0</v>
      </c>
      <c r="N90" t="s">
        <v>387</v>
      </c>
      <c r="O90" t="s">
        <v>388</v>
      </c>
      <c r="P90">
        <v>34.07</v>
      </c>
      <c r="Q90" s="2">
        <v>45661</v>
      </c>
      <c r="R90" t="s">
        <v>312</v>
      </c>
      <c r="S90" t="s">
        <v>62</v>
      </c>
      <c r="T90" t="s">
        <v>187</v>
      </c>
      <c r="U90">
        <v>696.96999999999991</v>
      </c>
      <c r="V90">
        <v>38.475999999999999</v>
      </c>
    </row>
    <row r="91" spans="1:22" x14ac:dyDescent="0.3">
      <c r="A91" t="s">
        <v>389</v>
      </c>
      <c r="B91" t="s">
        <v>54</v>
      </c>
      <c r="C91" t="s">
        <v>127</v>
      </c>
      <c r="D91">
        <v>14</v>
      </c>
      <c r="E91">
        <v>16.329999999999998</v>
      </c>
      <c r="F91" t="s">
        <v>23</v>
      </c>
      <c r="G91" t="s">
        <v>24</v>
      </c>
      <c r="H91">
        <v>0.1</v>
      </c>
      <c r="I91" t="s">
        <v>78</v>
      </c>
      <c r="J91">
        <v>205.76</v>
      </c>
      <c r="K91" t="s">
        <v>38</v>
      </c>
      <c r="L91" t="s">
        <v>27</v>
      </c>
      <c r="M91">
        <v>0</v>
      </c>
      <c r="N91" t="s">
        <v>390</v>
      </c>
      <c r="O91" t="s">
        <v>391</v>
      </c>
      <c r="P91">
        <v>22.72</v>
      </c>
      <c r="Q91" s="2">
        <v>45241</v>
      </c>
      <c r="R91" t="s">
        <v>392</v>
      </c>
      <c r="S91" t="s">
        <v>62</v>
      </c>
      <c r="T91" t="s">
        <v>43</v>
      </c>
      <c r="U91">
        <v>183.04</v>
      </c>
      <c r="V91">
        <v>22.861999999999998</v>
      </c>
    </row>
    <row r="92" spans="1:22" x14ac:dyDescent="0.3">
      <c r="A92" t="s">
        <v>393</v>
      </c>
      <c r="B92" t="s">
        <v>45</v>
      </c>
      <c r="C92" t="s">
        <v>22</v>
      </c>
      <c r="D92">
        <v>17</v>
      </c>
      <c r="E92">
        <v>480.62</v>
      </c>
      <c r="F92" t="s">
        <v>36</v>
      </c>
      <c r="G92" t="s">
        <v>24</v>
      </c>
      <c r="H92">
        <v>0.15</v>
      </c>
      <c r="I92" t="s">
        <v>46</v>
      </c>
      <c r="J92">
        <v>6944.96</v>
      </c>
      <c r="K92" t="s">
        <v>26</v>
      </c>
      <c r="L92" t="s">
        <v>85</v>
      </c>
      <c r="M92">
        <v>0</v>
      </c>
      <c r="N92" t="s">
        <v>394</v>
      </c>
      <c r="O92" t="s">
        <v>395</v>
      </c>
      <c r="P92">
        <v>37.090000000000003</v>
      </c>
      <c r="Q92" s="2">
        <v>45295</v>
      </c>
      <c r="R92" t="s">
        <v>339</v>
      </c>
      <c r="S92" t="s">
        <v>51</v>
      </c>
      <c r="T92" t="s">
        <v>187</v>
      </c>
      <c r="U92">
        <v>6907.87</v>
      </c>
      <c r="V92">
        <v>1225.5809999999999</v>
      </c>
    </row>
    <row r="93" spans="1:22" x14ac:dyDescent="0.3">
      <c r="A93" t="s">
        <v>266</v>
      </c>
      <c r="B93" t="s">
        <v>45</v>
      </c>
      <c r="C93" t="s">
        <v>22</v>
      </c>
      <c r="D93">
        <v>11</v>
      </c>
      <c r="E93">
        <v>286.05</v>
      </c>
      <c r="F93" t="s">
        <v>84</v>
      </c>
      <c r="G93" t="s">
        <v>37</v>
      </c>
      <c r="H93">
        <v>0.1</v>
      </c>
      <c r="I93" t="s">
        <v>94</v>
      </c>
      <c r="J93">
        <v>2831.9</v>
      </c>
      <c r="K93" t="s">
        <v>38</v>
      </c>
      <c r="L93" t="s">
        <v>48</v>
      </c>
      <c r="M93">
        <v>1</v>
      </c>
      <c r="N93" t="s">
        <v>396</v>
      </c>
      <c r="O93" t="s">
        <v>397</v>
      </c>
      <c r="P93">
        <v>8.59</v>
      </c>
      <c r="Q93" s="2">
        <v>45607</v>
      </c>
      <c r="R93" t="s">
        <v>398</v>
      </c>
      <c r="S93" t="s">
        <v>51</v>
      </c>
      <c r="T93" t="s">
        <v>43</v>
      </c>
      <c r="U93">
        <v>2823.31</v>
      </c>
      <c r="V93">
        <v>314.65500000000003</v>
      </c>
    </row>
    <row r="94" spans="1:22" x14ac:dyDescent="0.3">
      <c r="A94" t="s">
        <v>399</v>
      </c>
      <c r="B94" t="s">
        <v>21</v>
      </c>
      <c r="C94" t="s">
        <v>22</v>
      </c>
      <c r="D94">
        <v>16</v>
      </c>
      <c r="E94">
        <v>40.729999999999997</v>
      </c>
      <c r="F94" t="s">
        <v>55</v>
      </c>
      <c r="G94" t="s">
        <v>37</v>
      </c>
      <c r="H94">
        <v>0</v>
      </c>
      <c r="I94" t="s">
        <v>25</v>
      </c>
      <c r="J94">
        <v>651.67999999999995</v>
      </c>
      <c r="K94" t="s">
        <v>101</v>
      </c>
      <c r="L94" t="s">
        <v>48</v>
      </c>
      <c r="M94">
        <v>0</v>
      </c>
      <c r="N94" t="s">
        <v>400</v>
      </c>
      <c r="O94" t="s">
        <v>401</v>
      </c>
      <c r="P94">
        <v>24.72</v>
      </c>
      <c r="Q94" s="2">
        <v>45393</v>
      </c>
      <c r="R94" t="s">
        <v>263</v>
      </c>
      <c r="S94" t="s">
        <v>31</v>
      </c>
      <c r="T94" t="s">
        <v>147</v>
      </c>
      <c r="U94">
        <v>626.95999999999992</v>
      </c>
      <c r="V94">
        <v>0</v>
      </c>
    </row>
    <row r="95" spans="1:22" x14ac:dyDescent="0.3">
      <c r="A95" t="s">
        <v>402</v>
      </c>
      <c r="B95" t="s">
        <v>45</v>
      </c>
      <c r="C95" t="s">
        <v>35</v>
      </c>
      <c r="D95">
        <v>11</v>
      </c>
      <c r="E95">
        <v>468.22</v>
      </c>
      <c r="F95" t="s">
        <v>55</v>
      </c>
      <c r="G95" t="s">
        <v>37</v>
      </c>
      <c r="H95">
        <v>0</v>
      </c>
      <c r="I95" t="s">
        <v>46</v>
      </c>
      <c r="J95">
        <v>5150.42</v>
      </c>
      <c r="K95" t="s">
        <v>38</v>
      </c>
      <c r="L95" t="s">
        <v>27</v>
      </c>
      <c r="M95">
        <v>0</v>
      </c>
      <c r="N95" t="s">
        <v>403</v>
      </c>
      <c r="O95" t="s">
        <v>404</v>
      </c>
      <c r="P95">
        <v>19.920000000000002</v>
      </c>
      <c r="Q95" s="2">
        <v>44927</v>
      </c>
      <c r="R95" t="s">
        <v>33</v>
      </c>
      <c r="S95" t="s">
        <v>51</v>
      </c>
      <c r="T95" t="s">
        <v>187</v>
      </c>
      <c r="U95">
        <v>5130.5</v>
      </c>
      <c r="V95">
        <v>0</v>
      </c>
    </row>
    <row r="96" spans="1:22" x14ac:dyDescent="0.3">
      <c r="A96" t="s">
        <v>405</v>
      </c>
      <c r="B96" t="s">
        <v>45</v>
      </c>
      <c r="C96" t="s">
        <v>140</v>
      </c>
      <c r="D96">
        <v>13</v>
      </c>
      <c r="E96">
        <v>134.19999999999999</v>
      </c>
      <c r="F96" t="s">
        <v>84</v>
      </c>
      <c r="G96" t="s">
        <v>24</v>
      </c>
      <c r="H96">
        <v>0.05</v>
      </c>
      <c r="I96" t="s">
        <v>65</v>
      </c>
      <c r="J96">
        <v>1657.37</v>
      </c>
      <c r="K96" t="s">
        <v>101</v>
      </c>
      <c r="L96" t="s">
        <v>27</v>
      </c>
      <c r="M96">
        <v>0</v>
      </c>
      <c r="N96" t="s">
        <v>406</v>
      </c>
      <c r="O96" t="s">
        <v>407</v>
      </c>
      <c r="P96">
        <v>9.6</v>
      </c>
      <c r="Q96" s="2">
        <v>44962</v>
      </c>
      <c r="R96" t="s">
        <v>20</v>
      </c>
      <c r="S96" t="s">
        <v>51</v>
      </c>
      <c r="T96" t="s">
        <v>199</v>
      </c>
      <c r="U96">
        <v>1647.77</v>
      </c>
      <c r="V96">
        <v>87.23</v>
      </c>
    </row>
    <row r="97" spans="1:22" x14ac:dyDescent="0.3">
      <c r="A97" t="s">
        <v>33</v>
      </c>
      <c r="B97" t="s">
        <v>21</v>
      </c>
      <c r="C97" t="s">
        <v>22</v>
      </c>
      <c r="D97">
        <v>6</v>
      </c>
      <c r="E97">
        <v>202.57</v>
      </c>
      <c r="F97" t="s">
        <v>55</v>
      </c>
      <c r="G97" t="s">
        <v>37</v>
      </c>
      <c r="H97">
        <v>0.05</v>
      </c>
      <c r="I97" t="s">
        <v>65</v>
      </c>
      <c r="J97">
        <v>1154.6500000000001</v>
      </c>
      <c r="K97" t="s">
        <v>57</v>
      </c>
      <c r="L97" t="s">
        <v>85</v>
      </c>
      <c r="M97">
        <v>0</v>
      </c>
      <c r="N97" t="s">
        <v>408</v>
      </c>
      <c r="O97" t="s">
        <v>409</v>
      </c>
      <c r="P97">
        <v>24.39</v>
      </c>
      <c r="Q97" s="2">
        <v>45231</v>
      </c>
      <c r="R97" t="s">
        <v>41</v>
      </c>
      <c r="S97" t="s">
        <v>31</v>
      </c>
      <c r="T97" t="s">
        <v>43</v>
      </c>
      <c r="U97">
        <v>1130.26</v>
      </c>
      <c r="V97">
        <v>60.771000000000008</v>
      </c>
    </row>
    <row r="98" spans="1:22" x14ac:dyDescent="0.3">
      <c r="A98" t="s">
        <v>410</v>
      </c>
      <c r="B98" t="s">
        <v>34</v>
      </c>
      <c r="C98" t="s">
        <v>100</v>
      </c>
      <c r="D98">
        <v>13</v>
      </c>
      <c r="E98">
        <v>306.16000000000003</v>
      </c>
      <c r="F98" t="s">
        <v>84</v>
      </c>
      <c r="G98" t="s">
        <v>24</v>
      </c>
      <c r="H98">
        <v>0.15</v>
      </c>
      <c r="I98" t="s">
        <v>56</v>
      </c>
      <c r="J98">
        <v>3383.07</v>
      </c>
      <c r="K98" t="s">
        <v>47</v>
      </c>
      <c r="L98" t="s">
        <v>58</v>
      </c>
      <c r="M98">
        <v>0</v>
      </c>
      <c r="N98" t="s">
        <v>411</v>
      </c>
      <c r="O98" t="s">
        <v>412</v>
      </c>
      <c r="P98">
        <v>25.16</v>
      </c>
      <c r="Q98" s="2">
        <v>45663</v>
      </c>
      <c r="R98" t="s">
        <v>413</v>
      </c>
      <c r="S98" t="s">
        <v>42</v>
      </c>
      <c r="T98" t="s">
        <v>187</v>
      </c>
      <c r="U98">
        <v>3357.9100000000003</v>
      </c>
      <c r="V98">
        <v>597.01200000000006</v>
      </c>
    </row>
    <row r="99" spans="1:22" x14ac:dyDescent="0.3">
      <c r="A99" t="s">
        <v>414</v>
      </c>
      <c r="B99" t="s">
        <v>70</v>
      </c>
      <c r="C99" t="s">
        <v>71</v>
      </c>
      <c r="D99">
        <v>20</v>
      </c>
      <c r="E99">
        <v>337.37</v>
      </c>
      <c r="F99" t="s">
        <v>36</v>
      </c>
      <c r="G99" t="s">
        <v>37</v>
      </c>
      <c r="H99">
        <v>0.1</v>
      </c>
      <c r="I99" t="s">
        <v>78</v>
      </c>
      <c r="J99">
        <v>6072.66</v>
      </c>
      <c r="K99" t="s">
        <v>57</v>
      </c>
      <c r="L99" t="s">
        <v>48</v>
      </c>
      <c r="M99">
        <v>0</v>
      </c>
      <c r="N99" t="s">
        <v>415</v>
      </c>
      <c r="O99" t="s">
        <v>416</v>
      </c>
      <c r="P99">
        <v>43.17</v>
      </c>
      <c r="Q99" s="2">
        <v>45573</v>
      </c>
      <c r="R99" t="s">
        <v>353</v>
      </c>
      <c r="S99" t="s">
        <v>75</v>
      </c>
      <c r="T99" t="s">
        <v>32</v>
      </c>
      <c r="U99">
        <v>6029.49</v>
      </c>
      <c r="V99">
        <v>674.74</v>
      </c>
    </row>
    <row r="100" spans="1:22" x14ac:dyDescent="0.3">
      <c r="A100" t="s">
        <v>417</v>
      </c>
      <c r="B100" t="s">
        <v>34</v>
      </c>
      <c r="C100" t="s">
        <v>71</v>
      </c>
      <c r="D100">
        <v>12</v>
      </c>
      <c r="E100">
        <v>34.24</v>
      </c>
      <c r="F100" t="s">
        <v>36</v>
      </c>
      <c r="G100" t="s">
        <v>37</v>
      </c>
      <c r="H100">
        <v>0.1</v>
      </c>
      <c r="I100" t="s">
        <v>56</v>
      </c>
      <c r="J100">
        <v>369.79</v>
      </c>
      <c r="K100" t="s">
        <v>47</v>
      </c>
      <c r="L100" t="s">
        <v>48</v>
      </c>
      <c r="M100">
        <v>0</v>
      </c>
      <c r="N100" t="s">
        <v>418</v>
      </c>
      <c r="O100" t="s">
        <v>419</v>
      </c>
      <c r="P100">
        <v>17.64</v>
      </c>
      <c r="Q100" s="2">
        <v>45691</v>
      </c>
      <c r="R100" t="s">
        <v>300</v>
      </c>
      <c r="S100" t="s">
        <v>42</v>
      </c>
      <c r="T100" t="s">
        <v>199</v>
      </c>
      <c r="U100">
        <v>352.15000000000003</v>
      </c>
      <c r="V100">
        <v>41.088000000000001</v>
      </c>
    </row>
    <row r="101" spans="1:22" x14ac:dyDescent="0.3">
      <c r="A101" t="s">
        <v>420</v>
      </c>
      <c r="B101" t="s">
        <v>34</v>
      </c>
      <c r="C101" t="s">
        <v>127</v>
      </c>
      <c r="D101">
        <v>7</v>
      </c>
      <c r="E101">
        <v>208.86</v>
      </c>
      <c r="F101" t="s">
        <v>23</v>
      </c>
      <c r="G101" t="s">
        <v>37</v>
      </c>
      <c r="H101">
        <v>0</v>
      </c>
      <c r="I101" t="s">
        <v>56</v>
      </c>
      <c r="J101">
        <v>1462.02</v>
      </c>
      <c r="K101" t="s">
        <v>47</v>
      </c>
      <c r="L101" t="s">
        <v>85</v>
      </c>
      <c r="M101">
        <v>0</v>
      </c>
      <c r="N101" t="s">
        <v>421</v>
      </c>
      <c r="O101" t="s">
        <v>422</v>
      </c>
      <c r="P101">
        <v>20.64</v>
      </c>
      <c r="Q101" s="2">
        <v>45292</v>
      </c>
      <c r="R101" t="s">
        <v>423</v>
      </c>
      <c r="S101" t="s">
        <v>42</v>
      </c>
      <c r="T101" t="s">
        <v>187</v>
      </c>
      <c r="U101">
        <v>1441.3799999999999</v>
      </c>
      <c r="V101">
        <v>0</v>
      </c>
    </row>
    <row r="102" spans="1:22" x14ac:dyDescent="0.3">
      <c r="A102" t="s">
        <v>424</v>
      </c>
      <c r="B102" t="s">
        <v>34</v>
      </c>
      <c r="C102" t="s">
        <v>100</v>
      </c>
      <c r="D102">
        <v>2</v>
      </c>
      <c r="E102">
        <v>374.59</v>
      </c>
      <c r="F102" t="s">
        <v>36</v>
      </c>
      <c r="G102" t="s">
        <v>24</v>
      </c>
      <c r="H102">
        <v>0.15</v>
      </c>
      <c r="I102" t="s">
        <v>46</v>
      </c>
      <c r="J102">
        <v>636.79999999999995</v>
      </c>
      <c r="K102" t="s">
        <v>26</v>
      </c>
      <c r="L102" t="s">
        <v>58</v>
      </c>
      <c r="M102">
        <v>0</v>
      </c>
      <c r="N102" t="s">
        <v>425</v>
      </c>
      <c r="O102" t="s">
        <v>426</v>
      </c>
      <c r="P102">
        <v>34.64</v>
      </c>
      <c r="Q102" s="2">
        <v>45205</v>
      </c>
      <c r="R102" t="s">
        <v>427</v>
      </c>
      <c r="S102" t="s">
        <v>42</v>
      </c>
      <c r="T102" t="s">
        <v>32</v>
      </c>
      <c r="U102">
        <v>602.16</v>
      </c>
      <c r="V102">
        <v>112.377</v>
      </c>
    </row>
    <row r="103" spans="1:22" x14ac:dyDescent="0.3">
      <c r="A103" t="s">
        <v>428</v>
      </c>
      <c r="B103" t="s">
        <v>21</v>
      </c>
      <c r="C103" t="s">
        <v>127</v>
      </c>
      <c r="D103">
        <v>3</v>
      </c>
      <c r="E103">
        <v>506.33</v>
      </c>
      <c r="F103" t="s">
        <v>23</v>
      </c>
      <c r="G103" t="s">
        <v>37</v>
      </c>
      <c r="H103">
        <v>0.15</v>
      </c>
      <c r="I103" t="s">
        <v>56</v>
      </c>
      <c r="J103">
        <v>1291.1400000000001</v>
      </c>
      <c r="K103" t="s">
        <v>38</v>
      </c>
      <c r="L103" t="s">
        <v>85</v>
      </c>
      <c r="M103">
        <v>0</v>
      </c>
      <c r="N103" t="s">
        <v>429</v>
      </c>
      <c r="O103" t="s">
        <v>430</v>
      </c>
      <c r="P103">
        <v>25.71</v>
      </c>
      <c r="Q103" s="2">
        <v>45109</v>
      </c>
      <c r="R103" t="s">
        <v>195</v>
      </c>
      <c r="S103" t="s">
        <v>31</v>
      </c>
      <c r="T103" t="s">
        <v>117</v>
      </c>
      <c r="U103">
        <v>1265.43</v>
      </c>
      <c r="V103">
        <v>227.8485</v>
      </c>
    </row>
    <row r="104" spans="1:22" x14ac:dyDescent="0.3">
      <c r="A104" t="s">
        <v>53</v>
      </c>
      <c r="B104" t="s">
        <v>34</v>
      </c>
      <c r="C104" t="s">
        <v>109</v>
      </c>
      <c r="D104">
        <v>18</v>
      </c>
      <c r="E104">
        <v>375.96</v>
      </c>
      <c r="F104" t="s">
        <v>55</v>
      </c>
      <c r="G104" t="s">
        <v>24</v>
      </c>
      <c r="H104">
        <v>0.05</v>
      </c>
      <c r="I104" t="s">
        <v>78</v>
      </c>
      <c r="J104">
        <v>6428.92</v>
      </c>
      <c r="K104" t="s">
        <v>38</v>
      </c>
      <c r="L104" t="s">
        <v>58</v>
      </c>
      <c r="M104">
        <v>0</v>
      </c>
      <c r="N104" t="s">
        <v>431</v>
      </c>
      <c r="O104" t="s">
        <v>432</v>
      </c>
      <c r="P104">
        <v>26.78</v>
      </c>
      <c r="Q104" s="2">
        <v>45780</v>
      </c>
      <c r="R104" t="s">
        <v>118</v>
      </c>
      <c r="S104" t="s">
        <v>42</v>
      </c>
      <c r="T104" t="s">
        <v>63</v>
      </c>
      <c r="U104">
        <v>6402.14</v>
      </c>
      <c r="V104">
        <v>338.36400000000003</v>
      </c>
    </row>
    <row r="105" spans="1:22" x14ac:dyDescent="0.3">
      <c r="A105" t="s">
        <v>433</v>
      </c>
      <c r="B105" t="s">
        <v>21</v>
      </c>
      <c r="C105" t="s">
        <v>140</v>
      </c>
      <c r="D105">
        <v>10</v>
      </c>
      <c r="E105">
        <v>538.47</v>
      </c>
      <c r="F105" t="s">
        <v>55</v>
      </c>
      <c r="G105" t="s">
        <v>37</v>
      </c>
      <c r="H105">
        <v>0.1</v>
      </c>
      <c r="I105" t="s">
        <v>94</v>
      </c>
      <c r="J105">
        <v>4846.2299999999996</v>
      </c>
      <c r="K105" t="s">
        <v>57</v>
      </c>
      <c r="L105" t="s">
        <v>27</v>
      </c>
      <c r="M105">
        <v>1</v>
      </c>
      <c r="N105" t="s">
        <v>434</v>
      </c>
      <c r="O105" t="s">
        <v>435</v>
      </c>
      <c r="P105">
        <v>17.25</v>
      </c>
      <c r="Q105" s="2">
        <v>44959</v>
      </c>
      <c r="R105" t="s">
        <v>436</v>
      </c>
      <c r="S105" t="s">
        <v>31</v>
      </c>
      <c r="T105" t="s">
        <v>199</v>
      </c>
      <c r="U105">
        <v>4828.9799999999996</v>
      </c>
      <c r="V105">
        <v>538.47000000000014</v>
      </c>
    </row>
    <row r="106" spans="1:22" x14ac:dyDescent="0.3">
      <c r="A106" t="s">
        <v>437</v>
      </c>
      <c r="B106" t="s">
        <v>21</v>
      </c>
      <c r="C106" t="s">
        <v>35</v>
      </c>
      <c r="D106">
        <v>10</v>
      </c>
      <c r="E106">
        <v>217.43</v>
      </c>
      <c r="F106" t="s">
        <v>84</v>
      </c>
      <c r="G106" t="s">
        <v>37</v>
      </c>
      <c r="H106">
        <v>0.15</v>
      </c>
      <c r="I106" t="s">
        <v>94</v>
      </c>
      <c r="J106">
        <v>1848.16</v>
      </c>
      <c r="K106" t="s">
        <v>101</v>
      </c>
      <c r="L106" t="s">
        <v>85</v>
      </c>
      <c r="M106">
        <v>0</v>
      </c>
      <c r="N106" t="s">
        <v>438</v>
      </c>
      <c r="O106" t="s">
        <v>439</v>
      </c>
      <c r="P106">
        <v>33.14</v>
      </c>
      <c r="Q106" s="2">
        <v>45079</v>
      </c>
      <c r="R106" t="s">
        <v>440</v>
      </c>
      <c r="S106" t="s">
        <v>31</v>
      </c>
      <c r="T106" t="s">
        <v>105</v>
      </c>
      <c r="U106">
        <v>1815.02</v>
      </c>
      <c r="V106">
        <v>326.14500000000004</v>
      </c>
    </row>
    <row r="107" spans="1:22" x14ac:dyDescent="0.3">
      <c r="A107" t="s">
        <v>172</v>
      </c>
      <c r="B107" t="s">
        <v>70</v>
      </c>
      <c r="C107" t="s">
        <v>35</v>
      </c>
      <c r="D107">
        <v>5</v>
      </c>
      <c r="E107">
        <v>89.03</v>
      </c>
      <c r="F107" t="s">
        <v>36</v>
      </c>
      <c r="G107" t="s">
        <v>24</v>
      </c>
      <c r="H107">
        <v>0.1</v>
      </c>
      <c r="I107" t="s">
        <v>56</v>
      </c>
      <c r="J107">
        <v>400.64</v>
      </c>
      <c r="K107" t="s">
        <v>38</v>
      </c>
      <c r="L107" t="s">
        <v>27</v>
      </c>
      <c r="M107">
        <v>0</v>
      </c>
      <c r="N107" t="s">
        <v>441</v>
      </c>
      <c r="O107" t="s">
        <v>442</v>
      </c>
      <c r="P107">
        <v>22.42</v>
      </c>
      <c r="Q107" s="2">
        <v>45811</v>
      </c>
      <c r="R107" t="s">
        <v>443</v>
      </c>
      <c r="S107" t="s">
        <v>75</v>
      </c>
      <c r="T107" t="s">
        <v>105</v>
      </c>
      <c r="U107">
        <v>378.21999999999997</v>
      </c>
      <c r="V107">
        <v>44.515000000000001</v>
      </c>
    </row>
    <row r="108" spans="1:22" x14ac:dyDescent="0.3">
      <c r="A108" t="s">
        <v>64</v>
      </c>
      <c r="B108" t="s">
        <v>54</v>
      </c>
      <c r="C108" t="s">
        <v>109</v>
      </c>
      <c r="D108">
        <v>8</v>
      </c>
      <c r="E108">
        <v>294.76</v>
      </c>
      <c r="F108" t="s">
        <v>36</v>
      </c>
      <c r="G108" t="s">
        <v>37</v>
      </c>
      <c r="H108">
        <v>0.1</v>
      </c>
      <c r="I108" t="s">
        <v>78</v>
      </c>
      <c r="J108">
        <v>2122.27</v>
      </c>
      <c r="K108" t="s">
        <v>26</v>
      </c>
      <c r="L108" t="s">
        <v>58</v>
      </c>
      <c r="M108">
        <v>0</v>
      </c>
      <c r="N108" t="s">
        <v>444</v>
      </c>
      <c r="O108" t="s">
        <v>445</v>
      </c>
      <c r="P108">
        <v>36.04</v>
      </c>
      <c r="Q108" s="2">
        <v>45569</v>
      </c>
      <c r="R108" t="s">
        <v>446</v>
      </c>
      <c r="S108" t="s">
        <v>62</v>
      </c>
      <c r="T108" t="s">
        <v>32</v>
      </c>
      <c r="U108">
        <v>2086.23</v>
      </c>
      <c r="V108">
        <v>235.80799999999999</v>
      </c>
    </row>
    <row r="109" spans="1:22" x14ac:dyDescent="0.3">
      <c r="A109" t="s">
        <v>362</v>
      </c>
      <c r="B109" t="s">
        <v>70</v>
      </c>
      <c r="C109" t="s">
        <v>71</v>
      </c>
      <c r="D109">
        <v>19</v>
      </c>
      <c r="E109">
        <v>271.22000000000003</v>
      </c>
      <c r="F109" t="s">
        <v>84</v>
      </c>
      <c r="G109" t="s">
        <v>24</v>
      </c>
      <c r="H109">
        <v>0.1</v>
      </c>
      <c r="I109" t="s">
        <v>25</v>
      </c>
      <c r="J109">
        <v>4637.8599999999997</v>
      </c>
      <c r="K109" t="s">
        <v>101</v>
      </c>
      <c r="L109" t="s">
        <v>27</v>
      </c>
      <c r="M109">
        <v>0</v>
      </c>
      <c r="N109" t="s">
        <v>447</v>
      </c>
      <c r="O109" t="s">
        <v>448</v>
      </c>
      <c r="P109">
        <v>35.33</v>
      </c>
      <c r="Q109" s="2">
        <v>45420</v>
      </c>
      <c r="R109" t="s">
        <v>449</v>
      </c>
      <c r="S109" t="s">
        <v>75</v>
      </c>
      <c r="T109" t="s">
        <v>63</v>
      </c>
      <c r="U109">
        <v>4602.53</v>
      </c>
      <c r="V109">
        <v>515.3180000000001</v>
      </c>
    </row>
    <row r="110" spans="1:22" x14ac:dyDescent="0.3">
      <c r="A110" t="s">
        <v>450</v>
      </c>
      <c r="B110" t="s">
        <v>54</v>
      </c>
      <c r="C110" t="s">
        <v>100</v>
      </c>
      <c r="D110">
        <v>19</v>
      </c>
      <c r="E110">
        <v>212.83</v>
      </c>
      <c r="F110" t="s">
        <v>55</v>
      </c>
      <c r="G110" t="s">
        <v>24</v>
      </c>
      <c r="H110">
        <v>0.15</v>
      </c>
      <c r="I110" t="s">
        <v>46</v>
      </c>
      <c r="J110">
        <v>3437.2</v>
      </c>
      <c r="K110" t="s">
        <v>26</v>
      </c>
      <c r="L110" t="s">
        <v>27</v>
      </c>
      <c r="M110">
        <v>0</v>
      </c>
      <c r="N110" t="s">
        <v>451</v>
      </c>
      <c r="O110" t="s">
        <v>452</v>
      </c>
      <c r="P110">
        <v>42.88</v>
      </c>
      <c r="Q110" s="2">
        <v>45147</v>
      </c>
      <c r="R110" t="s">
        <v>453</v>
      </c>
      <c r="S110" t="s">
        <v>62</v>
      </c>
      <c r="T110" t="s">
        <v>82</v>
      </c>
      <c r="U110">
        <v>3394.3199999999997</v>
      </c>
      <c r="V110">
        <v>606.56550000000004</v>
      </c>
    </row>
    <row r="111" spans="1:22" x14ac:dyDescent="0.3">
      <c r="A111" t="s">
        <v>33</v>
      </c>
      <c r="B111" t="s">
        <v>70</v>
      </c>
      <c r="C111" t="s">
        <v>109</v>
      </c>
      <c r="D111">
        <v>12</v>
      </c>
      <c r="E111">
        <v>521.53</v>
      </c>
      <c r="F111" t="s">
        <v>55</v>
      </c>
      <c r="G111" t="s">
        <v>37</v>
      </c>
      <c r="H111">
        <v>0</v>
      </c>
      <c r="I111" t="s">
        <v>65</v>
      </c>
      <c r="J111">
        <v>6258.36</v>
      </c>
      <c r="K111" t="s">
        <v>101</v>
      </c>
      <c r="L111" t="s">
        <v>58</v>
      </c>
      <c r="M111">
        <v>1</v>
      </c>
      <c r="N111" t="s">
        <v>454</v>
      </c>
      <c r="O111" t="s">
        <v>455</v>
      </c>
      <c r="P111">
        <v>49.59</v>
      </c>
      <c r="Q111" s="2">
        <v>45231</v>
      </c>
      <c r="R111" t="s">
        <v>456</v>
      </c>
      <c r="S111" t="s">
        <v>75</v>
      </c>
      <c r="T111" t="s">
        <v>43</v>
      </c>
      <c r="U111">
        <v>6208.7699999999995</v>
      </c>
      <c r="V111">
        <v>0</v>
      </c>
    </row>
    <row r="112" spans="1:22" x14ac:dyDescent="0.3">
      <c r="A112" t="s">
        <v>457</v>
      </c>
      <c r="B112" t="s">
        <v>21</v>
      </c>
      <c r="C112" t="s">
        <v>22</v>
      </c>
      <c r="D112">
        <v>17</v>
      </c>
      <c r="E112">
        <v>468.19</v>
      </c>
      <c r="F112" t="s">
        <v>55</v>
      </c>
      <c r="G112" t="s">
        <v>37</v>
      </c>
      <c r="H112">
        <v>0.05</v>
      </c>
      <c r="I112" t="s">
        <v>78</v>
      </c>
      <c r="J112">
        <v>7561.27</v>
      </c>
      <c r="K112" t="s">
        <v>47</v>
      </c>
      <c r="L112" t="s">
        <v>48</v>
      </c>
      <c r="M112">
        <v>0</v>
      </c>
      <c r="N112" t="s">
        <v>458</v>
      </c>
      <c r="O112" t="s">
        <v>459</v>
      </c>
      <c r="P112">
        <v>13.84</v>
      </c>
      <c r="Q112" s="2">
        <v>45023</v>
      </c>
      <c r="R112" t="s">
        <v>379</v>
      </c>
      <c r="S112" t="s">
        <v>31</v>
      </c>
      <c r="T112" t="s">
        <v>147</v>
      </c>
      <c r="U112">
        <v>7547.43</v>
      </c>
      <c r="V112">
        <v>397.9615</v>
      </c>
    </row>
    <row r="113" spans="1:22" x14ac:dyDescent="0.3">
      <c r="A113" t="s">
        <v>460</v>
      </c>
      <c r="B113" t="s">
        <v>45</v>
      </c>
      <c r="C113" t="s">
        <v>127</v>
      </c>
      <c r="D113">
        <v>9</v>
      </c>
      <c r="E113">
        <v>8.81</v>
      </c>
      <c r="F113" t="s">
        <v>55</v>
      </c>
      <c r="G113" t="s">
        <v>37</v>
      </c>
      <c r="H113">
        <v>0.15</v>
      </c>
      <c r="I113" t="s">
        <v>25</v>
      </c>
      <c r="J113">
        <v>67.400000000000006</v>
      </c>
      <c r="K113" t="s">
        <v>26</v>
      </c>
      <c r="L113" t="s">
        <v>58</v>
      </c>
      <c r="M113">
        <v>0</v>
      </c>
      <c r="N113" t="s">
        <v>461</v>
      </c>
      <c r="O113" t="s">
        <v>462</v>
      </c>
      <c r="P113">
        <v>42.7</v>
      </c>
      <c r="Q113" s="2">
        <v>45872</v>
      </c>
      <c r="R113" t="s">
        <v>463</v>
      </c>
      <c r="S113" t="s">
        <v>51</v>
      </c>
      <c r="T113" t="s">
        <v>82</v>
      </c>
      <c r="U113">
        <v>24.700000000000003</v>
      </c>
      <c r="V113">
        <v>11.893500000000001</v>
      </c>
    </row>
    <row r="114" spans="1:22" x14ac:dyDescent="0.3">
      <c r="A114" t="s">
        <v>464</v>
      </c>
      <c r="B114" t="s">
        <v>34</v>
      </c>
      <c r="C114" t="s">
        <v>35</v>
      </c>
      <c r="D114">
        <v>6</v>
      </c>
      <c r="E114">
        <v>521.1</v>
      </c>
      <c r="F114" t="s">
        <v>84</v>
      </c>
      <c r="G114" t="s">
        <v>24</v>
      </c>
      <c r="H114">
        <v>0.15</v>
      </c>
      <c r="I114" t="s">
        <v>56</v>
      </c>
      <c r="J114">
        <v>2657.61</v>
      </c>
      <c r="K114" t="s">
        <v>47</v>
      </c>
      <c r="L114" t="s">
        <v>48</v>
      </c>
      <c r="M114">
        <v>0</v>
      </c>
      <c r="N114" t="s">
        <v>465</v>
      </c>
      <c r="O114" t="s">
        <v>466</v>
      </c>
      <c r="P114">
        <v>31.14</v>
      </c>
      <c r="Q114" s="2">
        <v>45932</v>
      </c>
      <c r="R114" t="s">
        <v>277</v>
      </c>
      <c r="S114" t="s">
        <v>42</v>
      </c>
      <c r="T114" t="s">
        <v>32</v>
      </c>
      <c r="U114">
        <v>2626.4700000000003</v>
      </c>
      <c r="V114">
        <v>468.99</v>
      </c>
    </row>
    <row r="115" spans="1:22" x14ac:dyDescent="0.3">
      <c r="A115" t="s">
        <v>467</v>
      </c>
      <c r="B115" t="s">
        <v>70</v>
      </c>
      <c r="C115" t="s">
        <v>140</v>
      </c>
      <c r="D115">
        <v>3</v>
      </c>
      <c r="E115">
        <v>142.27000000000001</v>
      </c>
      <c r="F115" t="s">
        <v>55</v>
      </c>
      <c r="G115" t="s">
        <v>37</v>
      </c>
      <c r="H115">
        <v>0.05</v>
      </c>
      <c r="I115" t="s">
        <v>94</v>
      </c>
      <c r="J115">
        <v>405.47</v>
      </c>
      <c r="K115" t="s">
        <v>26</v>
      </c>
      <c r="L115" t="s">
        <v>58</v>
      </c>
      <c r="M115">
        <v>0</v>
      </c>
      <c r="N115" t="s">
        <v>468</v>
      </c>
      <c r="O115" t="s">
        <v>469</v>
      </c>
      <c r="P115">
        <v>32.799999999999997</v>
      </c>
      <c r="Q115" s="2">
        <v>45180</v>
      </c>
      <c r="R115" t="s">
        <v>372</v>
      </c>
      <c r="S115" t="s">
        <v>75</v>
      </c>
      <c r="T115" t="s">
        <v>52</v>
      </c>
      <c r="U115">
        <v>372.67</v>
      </c>
      <c r="V115">
        <v>21.340500000000006</v>
      </c>
    </row>
    <row r="116" spans="1:22" x14ac:dyDescent="0.3">
      <c r="A116" t="s">
        <v>470</v>
      </c>
      <c r="B116" t="s">
        <v>54</v>
      </c>
      <c r="C116" t="s">
        <v>71</v>
      </c>
      <c r="D116">
        <v>12</v>
      </c>
      <c r="E116">
        <v>17.760000000000002</v>
      </c>
      <c r="F116" t="s">
        <v>55</v>
      </c>
      <c r="G116" t="s">
        <v>37</v>
      </c>
      <c r="H116">
        <v>0.1</v>
      </c>
      <c r="I116" t="s">
        <v>46</v>
      </c>
      <c r="J116">
        <v>191.81</v>
      </c>
      <c r="K116" t="s">
        <v>26</v>
      </c>
      <c r="L116" t="s">
        <v>85</v>
      </c>
      <c r="M116">
        <v>0</v>
      </c>
      <c r="N116" t="s">
        <v>471</v>
      </c>
      <c r="O116" t="s">
        <v>472</v>
      </c>
      <c r="P116">
        <v>12.18</v>
      </c>
      <c r="Q116" s="2">
        <v>44996</v>
      </c>
      <c r="R116" t="s">
        <v>389</v>
      </c>
      <c r="S116" t="s">
        <v>62</v>
      </c>
      <c r="T116" t="s">
        <v>98</v>
      </c>
      <c r="U116">
        <v>179.63</v>
      </c>
      <c r="V116">
        <v>21.312000000000001</v>
      </c>
    </row>
    <row r="117" spans="1:22" x14ac:dyDescent="0.3">
      <c r="A117" t="s">
        <v>473</v>
      </c>
      <c r="B117" t="s">
        <v>45</v>
      </c>
      <c r="C117" t="s">
        <v>35</v>
      </c>
      <c r="D117">
        <v>16</v>
      </c>
      <c r="E117">
        <v>89.76</v>
      </c>
      <c r="F117" t="s">
        <v>84</v>
      </c>
      <c r="G117" t="s">
        <v>24</v>
      </c>
      <c r="H117">
        <v>0</v>
      </c>
      <c r="I117" t="s">
        <v>25</v>
      </c>
      <c r="J117">
        <v>1436.16</v>
      </c>
      <c r="K117" t="s">
        <v>38</v>
      </c>
      <c r="L117" t="s">
        <v>27</v>
      </c>
      <c r="M117">
        <v>1</v>
      </c>
      <c r="N117" t="s">
        <v>474</v>
      </c>
      <c r="O117" t="s">
        <v>475</v>
      </c>
      <c r="P117">
        <v>44.69</v>
      </c>
      <c r="Q117" s="2">
        <v>45333</v>
      </c>
      <c r="R117" t="s">
        <v>476</v>
      </c>
      <c r="S117" t="s">
        <v>51</v>
      </c>
      <c r="T117" t="s">
        <v>199</v>
      </c>
      <c r="U117">
        <v>1391.47</v>
      </c>
      <c r="V117">
        <v>0</v>
      </c>
    </row>
    <row r="118" spans="1:22" x14ac:dyDescent="0.3">
      <c r="A118" t="s">
        <v>33</v>
      </c>
      <c r="B118" t="s">
        <v>34</v>
      </c>
      <c r="C118" t="s">
        <v>109</v>
      </c>
      <c r="D118">
        <v>9</v>
      </c>
      <c r="E118">
        <v>15.58</v>
      </c>
      <c r="F118" t="s">
        <v>55</v>
      </c>
      <c r="G118" t="s">
        <v>37</v>
      </c>
      <c r="H118">
        <v>0.1</v>
      </c>
      <c r="I118" t="s">
        <v>56</v>
      </c>
      <c r="J118">
        <v>126.2</v>
      </c>
      <c r="K118" t="s">
        <v>57</v>
      </c>
      <c r="L118" t="s">
        <v>85</v>
      </c>
      <c r="M118">
        <v>1</v>
      </c>
      <c r="N118" t="s">
        <v>477</v>
      </c>
      <c r="O118" t="s">
        <v>478</v>
      </c>
      <c r="P118">
        <v>27.81</v>
      </c>
      <c r="Q118" s="2">
        <v>45231</v>
      </c>
      <c r="R118" t="s">
        <v>479</v>
      </c>
      <c r="S118" t="s">
        <v>42</v>
      </c>
      <c r="T118" t="s">
        <v>43</v>
      </c>
      <c r="U118">
        <v>98.39</v>
      </c>
      <c r="V118">
        <v>14.022</v>
      </c>
    </row>
    <row r="119" spans="1:22" x14ac:dyDescent="0.3">
      <c r="A119" t="s">
        <v>89</v>
      </c>
      <c r="B119" t="s">
        <v>21</v>
      </c>
      <c r="C119" t="s">
        <v>22</v>
      </c>
      <c r="D119">
        <v>13</v>
      </c>
      <c r="E119">
        <v>466.54</v>
      </c>
      <c r="F119" t="s">
        <v>36</v>
      </c>
      <c r="G119" t="s">
        <v>24</v>
      </c>
      <c r="H119">
        <v>0</v>
      </c>
      <c r="I119" t="s">
        <v>65</v>
      </c>
      <c r="J119">
        <v>6065.02</v>
      </c>
      <c r="K119" t="s">
        <v>47</v>
      </c>
      <c r="L119" t="s">
        <v>85</v>
      </c>
      <c r="M119">
        <v>0</v>
      </c>
      <c r="N119" t="s">
        <v>480</v>
      </c>
      <c r="O119" t="s">
        <v>481</v>
      </c>
      <c r="P119">
        <v>18.63</v>
      </c>
      <c r="Q119" s="2">
        <v>45783</v>
      </c>
      <c r="R119" t="s">
        <v>232</v>
      </c>
      <c r="S119" t="s">
        <v>31</v>
      </c>
      <c r="T119" t="s">
        <v>63</v>
      </c>
      <c r="U119">
        <v>6046.39</v>
      </c>
      <c r="V119">
        <v>0</v>
      </c>
    </row>
    <row r="120" spans="1:22" x14ac:dyDescent="0.3">
      <c r="A120" t="s">
        <v>482</v>
      </c>
      <c r="B120" t="s">
        <v>34</v>
      </c>
      <c r="C120" t="s">
        <v>71</v>
      </c>
      <c r="D120">
        <v>17</v>
      </c>
      <c r="E120">
        <v>523.04</v>
      </c>
      <c r="F120" t="s">
        <v>84</v>
      </c>
      <c r="G120" t="s">
        <v>37</v>
      </c>
      <c r="H120">
        <v>0.05</v>
      </c>
      <c r="I120" t="s">
        <v>65</v>
      </c>
      <c r="J120">
        <v>8447.1</v>
      </c>
      <c r="K120" t="s">
        <v>38</v>
      </c>
      <c r="L120" t="s">
        <v>85</v>
      </c>
      <c r="M120">
        <v>0</v>
      </c>
      <c r="N120" t="s">
        <v>483</v>
      </c>
      <c r="O120" t="s">
        <v>484</v>
      </c>
      <c r="P120">
        <v>37.380000000000003</v>
      </c>
      <c r="Q120" s="2">
        <v>45483</v>
      </c>
      <c r="R120" t="s">
        <v>485</v>
      </c>
      <c r="S120" t="s">
        <v>42</v>
      </c>
      <c r="T120" t="s">
        <v>117</v>
      </c>
      <c r="U120">
        <v>8409.7200000000012</v>
      </c>
      <c r="V120">
        <v>444.58400000000006</v>
      </c>
    </row>
    <row r="121" spans="1:22" x14ac:dyDescent="0.3">
      <c r="A121" t="s">
        <v>486</v>
      </c>
      <c r="B121" t="s">
        <v>21</v>
      </c>
      <c r="C121" t="s">
        <v>100</v>
      </c>
      <c r="D121">
        <v>17</v>
      </c>
      <c r="E121">
        <v>376.4</v>
      </c>
      <c r="F121" t="s">
        <v>36</v>
      </c>
      <c r="G121" t="s">
        <v>24</v>
      </c>
      <c r="H121">
        <v>0</v>
      </c>
      <c r="I121" t="s">
        <v>25</v>
      </c>
      <c r="J121">
        <v>6398.8</v>
      </c>
      <c r="K121" t="s">
        <v>38</v>
      </c>
      <c r="L121" t="s">
        <v>85</v>
      </c>
      <c r="M121">
        <v>0</v>
      </c>
      <c r="N121" t="s">
        <v>487</v>
      </c>
      <c r="O121" t="s">
        <v>488</v>
      </c>
      <c r="P121">
        <v>33.380000000000003</v>
      </c>
      <c r="Q121" s="2">
        <v>45264</v>
      </c>
      <c r="R121" t="s">
        <v>489</v>
      </c>
      <c r="S121" t="s">
        <v>31</v>
      </c>
      <c r="T121" t="s">
        <v>76</v>
      </c>
      <c r="U121">
        <v>6365.42</v>
      </c>
      <c r="V121">
        <v>0</v>
      </c>
    </row>
    <row r="122" spans="1:22" x14ac:dyDescent="0.3">
      <c r="A122" t="s">
        <v>490</v>
      </c>
      <c r="B122" t="s">
        <v>34</v>
      </c>
      <c r="C122" t="s">
        <v>140</v>
      </c>
      <c r="D122">
        <v>5</v>
      </c>
      <c r="E122">
        <v>95.19</v>
      </c>
      <c r="F122" t="s">
        <v>84</v>
      </c>
      <c r="G122" t="s">
        <v>37</v>
      </c>
      <c r="H122">
        <v>0.15</v>
      </c>
      <c r="I122" t="s">
        <v>56</v>
      </c>
      <c r="J122">
        <v>404.56</v>
      </c>
      <c r="K122" t="s">
        <v>101</v>
      </c>
      <c r="L122" t="s">
        <v>27</v>
      </c>
      <c r="M122">
        <v>0</v>
      </c>
      <c r="N122" t="s">
        <v>491</v>
      </c>
      <c r="O122" t="s">
        <v>492</v>
      </c>
      <c r="P122">
        <v>48.55</v>
      </c>
      <c r="Q122" s="2">
        <v>45088</v>
      </c>
      <c r="R122" t="s">
        <v>392</v>
      </c>
      <c r="S122" t="s">
        <v>42</v>
      </c>
      <c r="T122" t="s">
        <v>105</v>
      </c>
      <c r="U122">
        <v>356.01</v>
      </c>
      <c r="V122">
        <v>71.392499999999998</v>
      </c>
    </row>
    <row r="123" spans="1:22" x14ac:dyDescent="0.3">
      <c r="A123" t="s">
        <v>493</v>
      </c>
      <c r="B123" t="s">
        <v>34</v>
      </c>
      <c r="C123" t="s">
        <v>71</v>
      </c>
      <c r="D123">
        <v>13</v>
      </c>
      <c r="E123">
        <v>114.03</v>
      </c>
      <c r="F123" t="s">
        <v>84</v>
      </c>
      <c r="G123" t="s">
        <v>37</v>
      </c>
      <c r="H123">
        <v>0</v>
      </c>
      <c r="I123" t="s">
        <v>94</v>
      </c>
      <c r="J123">
        <v>1482.39</v>
      </c>
      <c r="K123" t="s">
        <v>47</v>
      </c>
      <c r="L123" t="s">
        <v>48</v>
      </c>
      <c r="M123">
        <v>0</v>
      </c>
      <c r="N123" t="s">
        <v>494</v>
      </c>
      <c r="O123" t="s">
        <v>495</v>
      </c>
      <c r="P123">
        <v>43.81</v>
      </c>
      <c r="Q123" s="2">
        <v>45575</v>
      </c>
      <c r="R123" t="s">
        <v>496</v>
      </c>
      <c r="S123" t="s">
        <v>42</v>
      </c>
      <c r="T123" t="s">
        <v>32</v>
      </c>
      <c r="U123">
        <v>1438.5800000000002</v>
      </c>
      <c r="V123">
        <v>0</v>
      </c>
    </row>
    <row r="124" spans="1:22" x14ac:dyDescent="0.3">
      <c r="A124" t="s">
        <v>497</v>
      </c>
      <c r="B124" t="s">
        <v>21</v>
      </c>
      <c r="C124" t="s">
        <v>109</v>
      </c>
      <c r="D124">
        <v>18</v>
      </c>
      <c r="E124">
        <v>336.48</v>
      </c>
      <c r="F124" t="s">
        <v>23</v>
      </c>
      <c r="G124" t="s">
        <v>37</v>
      </c>
      <c r="H124">
        <v>0</v>
      </c>
      <c r="I124" t="s">
        <v>56</v>
      </c>
      <c r="J124">
        <v>6056.64</v>
      </c>
      <c r="K124" t="s">
        <v>26</v>
      </c>
      <c r="L124" t="s">
        <v>27</v>
      </c>
      <c r="M124">
        <v>0</v>
      </c>
      <c r="N124" t="s">
        <v>498</v>
      </c>
      <c r="O124" t="s">
        <v>499</v>
      </c>
      <c r="P124">
        <v>18.59</v>
      </c>
      <c r="Q124" s="2">
        <v>45048</v>
      </c>
      <c r="R124" t="s">
        <v>428</v>
      </c>
      <c r="S124" t="s">
        <v>31</v>
      </c>
      <c r="T124" t="s">
        <v>63</v>
      </c>
      <c r="U124">
        <v>6038.05</v>
      </c>
      <c r="V124">
        <v>0</v>
      </c>
    </row>
    <row r="125" spans="1:22" x14ac:dyDescent="0.3">
      <c r="A125" t="s">
        <v>500</v>
      </c>
      <c r="B125" t="s">
        <v>45</v>
      </c>
      <c r="C125" t="s">
        <v>127</v>
      </c>
      <c r="D125">
        <v>9</v>
      </c>
      <c r="E125">
        <v>24.44</v>
      </c>
      <c r="F125" t="s">
        <v>36</v>
      </c>
      <c r="G125" t="s">
        <v>24</v>
      </c>
      <c r="H125">
        <v>0.15</v>
      </c>
      <c r="I125" t="s">
        <v>65</v>
      </c>
      <c r="J125">
        <v>186.97</v>
      </c>
      <c r="K125" t="s">
        <v>57</v>
      </c>
      <c r="L125" t="s">
        <v>58</v>
      </c>
      <c r="M125">
        <v>1</v>
      </c>
      <c r="N125" t="s">
        <v>501</v>
      </c>
      <c r="O125" t="s">
        <v>502</v>
      </c>
      <c r="P125">
        <v>22.06</v>
      </c>
      <c r="Q125" s="2">
        <v>45390</v>
      </c>
      <c r="R125" t="s">
        <v>503</v>
      </c>
      <c r="S125" t="s">
        <v>51</v>
      </c>
      <c r="T125" t="s">
        <v>147</v>
      </c>
      <c r="U125">
        <v>164.91</v>
      </c>
      <c r="V125">
        <v>32.994</v>
      </c>
    </row>
    <row r="126" spans="1:22" x14ac:dyDescent="0.3">
      <c r="A126" t="s">
        <v>365</v>
      </c>
      <c r="B126" t="s">
        <v>34</v>
      </c>
      <c r="C126" t="s">
        <v>109</v>
      </c>
      <c r="D126">
        <v>15</v>
      </c>
      <c r="E126">
        <v>10.220000000000001</v>
      </c>
      <c r="F126" t="s">
        <v>36</v>
      </c>
      <c r="G126" t="s">
        <v>37</v>
      </c>
      <c r="H126">
        <v>0</v>
      </c>
      <c r="I126" t="s">
        <v>25</v>
      </c>
      <c r="J126">
        <v>153.30000000000001</v>
      </c>
      <c r="K126" t="s">
        <v>57</v>
      </c>
      <c r="L126" t="s">
        <v>85</v>
      </c>
      <c r="M126">
        <v>0</v>
      </c>
      <c r="N126" t="s">
        <v>504</v>
      </c>
      <c r="O126" t="s">
        <v>505</v>
      </c>
      <c r="P126">
        <v>36.270000000000003</v>
      </c>
      <c r="Q126" s="2">
        <v>45357</v>
      </c>
      <c r="R126" t="s">
        <v>506</v>
      </c>
      <c r="S126" t="s">
        <v>42</v>
      </c>
      <c r="T126" t="s">
        <v>98</v>
      </c>
      <c r="U126">
        <v>117.03</v>
      </c>
      <c r="V126">
        <v>0</v>
      </c>
    </row>
    <row r="127" spans="1:22" x14ac:dyDescent="0.3">
      <c r="A127" t="s">
        <v>507</v>
      </c>
      <c r="B127" t="s">
        <v>34</v>
      </c>
      <c r="C127" t="s">
        <v>127</v>
      </c>
      <c r="D127">
        <v>9</v>
      </c>
      <c r="E127">
        <v>124.17</v>
      </c>
      <c r="F127" t="s">
        <v>36</v>
      </c>
      <c r="G127" t="s">
        <v>24</v>
      </c>
      <c r="H127">
        <v>0</v>
      </c>
      <c r="I127" t="s">
        <v>65</v>
      </c>
      <c r="J127">
        <v>1117.53</v>
      </c>
      <c r="K127" t="s">
        <v>38</v>
      </c>
      <c r="L127" t="s">
        <v>27</v>
      </c>
      <c r="M127">
        <v>0</v>
      </c>
      <c r="N127" t="s">
        <v>508</v>
      </c>
      <c r="O127" t="s">
        <v>509</v>
      </c>
      <c r="P127">
        <v>13.31</v>
      </c>
      <c r="Q127" s="2">
        <v>45813</v>
      </c>
      <c r="R127" t="s">
        <v>510</v>
      </c>
      <c r="S127" t="s">
        <v>42</v>
      </c>
      <c r="T127" t="s">
        <v>105</v>
      </c>
      <c r="U127">
        <v>1104.22</v>
      </c>
      <c r="V127">
        <v>0</v>
      </c>
    </row>
    <row r="128" spans="1:22" x14ac:dyDescent="0.3">
      <c r="A128" t="s">
        <v>511</v>
      </c>
      <c r="B128" t="s">
        <v>54</v>
      </c>
      <c r="C128" t="s">
        <v>127</v>
      </c>
      <c r="D128">
        <v>11</v>
      </c>
      <c r="E128">
        <v>151.25</v>
      </c>
      <c r="F128" t="s">
        <v>23</v>
      </c>
      <c r="G128" t="s">
        <v>24</v>
      </c>
      <c r="H128">
        <v>0.1</v>
      </c>
      <c r="I128" t="s">
        <v>56</v>
      </c>
      <c r="J128">
        <v>1497.38</v>
      </c>
      <c r="K128" t="s">
        <v>101</v>
      </c>
      <c r="L128" t="s">
        <v>48</v>
      </c>
      <c r="M128">
        <v>1</v>
      </c>
      <c r="N128" t="s">
        <v>512</v>
      </c>
      <c r="O128" t="s">
        <v>513</v>
      </c>
      <c r="P128">
        <v>22.65</v>
      </c>
      <c r="Q128" s="2">
        <v>45506</v>
      </c>
      <c r="R128" t="s">
        <v>514</v>
      </c>
      <c r="S128" t="s">
        <v>62</v>
      </c>
      <c r="T128" t="s">
        <v>82</v>
      </c>
      <c r="U128">
        <v>1474.73</v>
      </c>
      <c r="V128">
        <v>166.375</v>
      </c>
    </row>
    <row r="129" spans="1:22" x14ac:dyDescent="0.3">
      <c r="A129" t="s">
        <v>515</v>
      </c>
      <c r="B129" t="s">
        <v>70</v>
      </c>
      <c r="C129" t="s">
        <v>22</v>
      </c>
      <c r="D129">
        <v>3</v>
      </c>
      <c r="E129">
        <v>204.79</v>
      </c>
      <c r="F129" t="s">
        <v>23</v>
      </c>
      <c r="G129" t="s">
        <v>37</v>
      </c>
      <c r="H129">
        <v>0.1</v>
      </c>
      <c r="I129" t="s">
        <v>56</v>
      </c>
      <c r="J129">
        <v>552.92999999999995</v>
      </c>
      <c r="K129" t="s">
        <v>26</v>
      </c>
      <c r="L129" t="s">
        <v>85</v>
      </c>
      <c r="M129">
        <v>1</v>
      </c>
      <c r="N129" t="s">
        <v>516</v>
      </c>
      <c r="O129" t="s">
        <v>517</v>
      </c>
      <c r="P129">
        <v>7.72</v>
      </c>
      <c r="Q129" s="2">
        <v>45297</v>
      </c>
      <c r="R129" t="s">
        <v>143</v>
      </c>
      <c r="S129" t="s">
        <v>75</v>
      </c>
      <c r="T129" t="s">
        <v>187</v>
      </c>
      <c r="U129">
        <v>545.20999999999992</v>
      </c>
      <c r="V129">
        <v>61.437000000000005</v>
      </c>
    </row>
    <row r="130" spans="1:22" x14ac:dyDescent="0.3">
      <c r="A130" t="s">
        <v>113</v>
      </c>
      <c r="B130" t="s">
        <v>34</v>
      </c>
      <c r="C130" t="s">
        <v>35</v>
      </c>
      <c r="D130">
        <v>8</v>
      </c>
      <c r="E130">
        <v>367.89</v>
      </c>
      <c r="F130" t="s">
        <v>23</v>
      </c>
      <c r="G130" t="s">
        <v>37</v>
      </c>
      <c r="H130">
        <v>0.05</v>
      </c>
      <c r="I130" t="s">
        <v>25</v>
      </c>
      <c r="J130">
        <v>2795.96</v>
      </c>
      <c r="K130" t="s">
        <v>47</v>
      </c>
      <c r="L130" t="s">
        <v>85</v>
      </c>
      <c r="M130">
        <v>0</v>
      </c>
      <c r="N130" t="s">
        <v>518</v>
      </c>
      <c r="O130" t="s">
        <v>519</v>
      </c>
      <c r="P130">
        <v>18.100000000000001</v>
      </c>
      <c r="Q130" s="2">
        <v>45485</v>
      </c>
      <c r="R130" t="s">
        <v>520</v>
      </c>
      <c r="S130" t="s">
        <v>42</v>
      </c>
      <c r="T130" t="s">
        <v>117</v>
      </c>
      <c r="U130">
        <v>2777.86</v>
      </c>
      <c r="V130">
        <v>147.15600000000001</v>
      </c>
    </row>
    <row r="131" spans="1:22" x14ac:dyDescent="0.3">
      <c r="A131" t="s">
        <v>521</v>
      </c>
      <c r="B131" t="s">
        <v>45</v>
      </c>
      <c r="C131" t="s">
        <v>127</v>
      </c>
      <c r="D131">
        <v>12</v>
      </c>
      <c r="E131">
        <v>169.2</v>
      </c>
      <c r="F131" t="s">
        <v>36</v>
      </c>
      <c r="G131" t="s">
        <v>37</v>
      </c>
      <c r="H131">
        <v>0.05</v>
      </c>
      <c r="I131" t="s">
        <v>78</v>
      </c>
      <c r="J131">
        <v>1928.88</v>
      </c>
      <c r="K131" t="s">
        <v>57</v>
      </c>
      <c r="L131" t="s">
        <v>58</v>
      </c>
      <c r="M131">
        <v>0</v>
      </c>
      <c r="N131" t="s">
        <v>522</v>
      </c>
      <c r="O131" t="s">
        <v>523</v>
      </c>
      <c r="P131">
        <v>28.65</v>
      </c>
      <c r="Q131" s="2">
        <v>45054</v>
      </c>
      <c r="R131" t="s">
        <v>357</v>
      </c>
      <c r="S131" t="s">
        <v>51</v>
      </c>
      <c r="T131" t="s">
        <v>63</v>
      </c>
      <c r="U131">
        <v>1900.23</v>
      </c>
      <c r="V131">
        <v>101.52</v>
      </c>
    </row>
    <row r="132" spans="1:22" x14ac:dyDescent="0.3">
      <c r="A132" t="s">
        <v>361</v>
      </c>
      <c r="B132" t="s">
        <v>45</v>
      </c>
      <c r="C132" t="s">
        <v>71</v>
      </c>
      <c r="D132">
        <v>14</v>
      </c>
      <c r="E132">
        <v>52.09</v>
      </c>
      <c r="F132" t="s">
        <v>84</v>
      </c>
      <c r="G132" t="s">
        <v>37</v>
      </c>
      <c r="H132">
        <v>0</v>
      </c>
      <c r="I132" t="s">
        <v>94</v>
      </c>
      <c r="J132">
        <v>729.26</v>
      </c>
      <c r="K132" t="s">
        <v>57</v>
      </c>
      <c r="L132" t="s">
        <v>48</v>
      </c>
      <c r="M132">
        <v>1</v>
      </c>
      <c r="N132" t="s">
        <v>524</v>
      </c>
      <c r="O132" t="s">
        <v>525</v>
      </c>
      <c r="P132">
        <v>48.02</v>
      </c>
      <c r="Q132" s="2">
        <v>45116</v>
      </c>
      <c r="R132" t="s">
        <v>526</v>
      </c>
      <c r="S132" t="s">
        <v>51</v>
      </c>
      <c r="T132" t="s">
        <v>117</v>
      </c>
      <c r="U132">
        <v>681.24</v>
      </c>
      <c r="V132">
        <v>0</v>
      </c>
    </row>
    <row r="133" spans="1:22" x14ac:dyDescent="0.3">
      <c r="A133" t="s">
        <v>182</v>
      </c>
      <c r="B133" t="s">
        <v>21</v>
      </c>
      <c r="C133" t="s">
        <v>127</v>
      </c>
      <c r="D133">
        <v>7</v>
      </c>
      <c r="E133">
        <v>570.01</v>
      </c>
      <c r="F133" t="s">
        <v>36</v>
      </c>
      <c r="G133" t="s">
        <v>24</v>
      </c>
      <c r="H133">
        <v>0</v>
      </c>
      <c r="I133" t="s">
        <v>46</v>
      </c>
      <c r="J133">
        <v>3990.07</v>
      </c>
      <c r="K133" t="s">
        <v>101</v>
      </c>
      <c r="L133" t="s">
        <v>27</v>
      </c>
      <c r="M133">
        <v>0</v>
      </c>
      <c r="N133" t="s">
        <v>527</v>
      </c>
      <c r="O133" t="s">
        <v>528</v>
      </c>
      <c r="P133">
        <v>42.33</v>
      </c>
      <c r="Q133" s="2">
        <v>45272</v>
      </c>
      <c r="R133" t="s">
        <v>529</v>
      </c>
      <c r="S133" t="s">
        <v>31</v>
      </c>
      <c r="T133" t="s">
        <v>76</v>
      </c>
      <c r="U133">
        <v>3947.7400000000002</v>
      </c>
      <c r="V133">
        <v>0</v>
      </c>
    </row>
    <row r="134" spans="1:22" x14ac:dyDescent="0.3">
      <c r="A134" t="s">
        <v>530</v>
      </c>
      <c r="B134" t="s">
        <v>21</v>
      </c>
      <c r="C134" t="s">
        <v>100</v>
      </c>
      <c r="D134">
        <v>8</v>
      </c>
      <c r="E134">
        <v>294.51</v>
      </c>
      <c r="F134" t="s">
        <v>84</v>
      </c>
      <c r="G134" t="s">
        <v>24</v>
      </c>
      <c r="H134">
        <v>0.15</v>
      </c>
      <c r="I134" t="s">
        <v>78</v>
      </c>
      <c r="J134">
        <v>2002.67</v>
      </c>
      <c r="K134" t="s">
        <v>57</v>
      </c>
      <c r="L134" t="s">
        <v>48</v>
      </c>
      <c r="M134">
        <v>0</v>
      </c>
      <c r="N134" t="s">
        <v>531</v>
      </c>
      <c r="O134" t="s">
        <v>532</v>
      </c>
      <c r="P134">
        <v>10.46</v>
      </c>
      <c r="Q134" s="2">
        <v>45752</v>
      </c>
      <c r="R134" t="s">
        <v>533</v>
      </c>
      <c r="S134" t="s">
        <v>31</v>
      </c>
      <c r="T134" t="s">
        <v>147</v>
      </c>
      <c r="U134">
        <v>1992.21</v>
      </c>
      <c r="V134">
        <v>353.41199999999998</v>
      </c>
    </row>
    <row r="135" spans="1:22" x14ac:dyDescent="0.3">
      <c r="A135" t="s">
        <v>534</v>
      </c>
      <c r="B135" t="s">
        <v>21</v>
      </c>
      <c r="C135" t="s">
        <v>22</v>
      </c>
      <c r="D135">
        <v>2</v>
      </c>
      <c r="E135">
        <v>97.5</v>
      </c>
      <c r="F135" t="s">
        <v>55</v>
      </c>
      <c r="G135" t="s">
        <v>37</v>
      </c>
      <c r="H135">
        <v>0.1</v>
      </c>
      <c r="I135" t="s">
        <v>25</v>
      </c>
      <c r="J135">
        <v>175.5</v>
      </c>
      <c r="K135" t="s">
        <v>47</v>
      </c>
      <c r="L135" t="s">
        <v>48</v>
      </c>
      <c r="M135">
        <v>1</v>
      </c>
      <c r="N135" t="s">
        <v>535</v>
      </c>
      <c r="O135" t="s">
        <v>536</v>
      </c>
      <c r="P135">
        <v>46.37</v>
      </c>
      <c r="Q135" s="2">
        <v>44990</v>
      </c>
      <c r="R135" t="s">
        <v>537</v>
      </c>
      <c r="S135" t="s">
        <v>31</v>
      </c>
      <c r="T135" t="s">
        <v>98</v>
      </c>
      <c r="U135">
        <v>129.13</v>
      </c>
      <c r="V135">
        <v>19.5</v>
      </c>
    </row>
    <row r="136" spans="1:22" x14ac:dyDescent="0.3">
      <c r="A136" t="s">
        <v>53</v>
      </c>
      <c r="B136" t="s">
        <v>34</v>
      </c>
      <c r="C136" t="s">
        <v>71</v>
      </c>
      <c r="D136">
        <v>6</v>
      </c>
      <c r="E136">
        <v>525.42999999999995</v>
      </c>
      <c r="F136" t="s">
        <v>36</v>
      </c>
      <c r="G136" t="s">
        <v>24</v>
      </c>
      <c r="H136">
        <v>0.05</v>
      </c>
      <c r="I136" t="s">
        <v>25</v>
      </c>
      <c r="J136">
        <v>2994.95</v>
      </c>
      <c r="K136" t="s">
        <v>101</v>
      </c>
      <c r="L136" t="s">
        <v>48</v>
      </c>
      <c r="M136">
        <v>0</v>
      </c>
      <c r="N136" t="s">
        <v>538</v>
      </c>
      <c r="O136" t="s">
        <v>539</v>
      </c>
      <c r="P136">
        <v>39.28</v>
      </c>
      <c r="Q136" s="2">
        <v>45780</v>
      </c>
      <c r="R136" t="s">
        <v>540</v>
      </c>
      <c r="S136" t="s">
        <v>42</v>
      </c>
      <c r="T136" t="s">
        <v>63</v>
      </c>
      <c r="U136">
        <v>2955.6699999999996</v>
      </c>
      <c r="V136">
        <v>157.62900000000002</v>
      </c>
    </row>
    <row r="137" spans="1:22" x14ac:dyDescent="0.3">
      <c r="A137" t="s">
        <v>99</v>
      </c>
      <c r="B137" t="s">
        <v>54</v>
      </c>
      <c r="C137" t="s">
        <v>109</v>
      </c>
      <c r="D137">
        <v>4</v>
      </c>
      <c r="E137">
        <v>555.86</v>
      </c>
      <c r="F137" t="s">
        <v>36</v>
      </c>
      <c r="G137" t="s">
        <v>37</v>
      </c>
      <c r="H137">
        <v>0.05</v>
      </c>
      <c r="I137" t="s">
        <v>94</v>
      </c>
      <c r="J137">
        <v>2112.27</v>
      </c>
      <c r="K137" t="s">
        <v>47</v>
      </c>
      <c r="L137" t="s">
        <v>85</v>
      </c>
      <c r="M137">
        <v>0</v>
      </c>
      <c r="N137" t="s">
        <v>541</v>
      </c>
      <c r="O137" t="s">
        <v>542</v>
      </c>
      <c r="P137">
        <v>28.92</v>
      </c>
      <c r="Q137" s="2">
        <v>45085</v>
      </c>
      <c r="R137" t="s">
        <v>543</v>
      </c>
      <c r="S137" t="s">
        <v>62</v>
      </c>
      <c r="T137" t="s">
        <v>105</v>
      </c>
      <c r="U137">
        <v>2083.35</v>
      </c>
      <c r="V137">
        <v>111.17200000000001</v>
      </c>
    </row>
    <row r="138" spans="1:22" x14ac:dyDescent="0.3">
      <c r="A138" t="s">
        <v>544</v>
      </c>
      <c r="B138" t="s">
        <v>45</v>
      </c>
      <c r="C138" t="s">
        <v>127</v>
      </c>
      <c r="D138">
        <v>15</v>
      </c>
      <c r="E138">
        <v>202.72</v>
      </c>
      <c r="F138" t="s">
        <v>55</v>
      </c>
      <c r="G138" t="s">
        <v>37</v>
      </c>
      <c r="H138">
        <v>0.05</v>
      </c>
      <c r="I138" t="s">
        <v>65</v>
      </c>
      <c r="J138">
        <v>2888.76</v>
      </c>
      <c r="K138" t="s">
        <v>38</v>
      </c>
      <c r="L138" t="s">
        <v>27</v>
      </c>
      <c r="M138">
        <v>1</v>
      </c>
      <c r="N138" t="s">
        <v>545</v>
      </c>
      <c r="O138" t="s">
        <v>546</v>
      </c>
      <c r="P138">
        <v>41.61</v>
      </c>
      <c r="Q138" s="2">
        <v>45605</v>
      </c>
      <c r="R138" t="s">
        <v>547</v>
      </c>
      <c r="S138" t="s">
        <v>51</v>
      </c>
      <c r="T138" t="s">
        <v>43</v>
      </c>
      <c r="U138">
        <v>2847.15</v>
      </c>
      <c r="V138">
        <v>152.04000000000002</v>
      </c>
    </row>
    <row r="139" spans="1:22" x14ac:dyDescent="0.3">
      <c r="A139" t="s">
        <v>548</v>
      </c>
      <c r="B139" t="s">
        <v>45</v>
      </c>
      <c r="C139" t="s">
        <v>35</v>
      </c>
      <c r="D139">
        <v>4</v>
      </c>
      <c r="E139">
        <v>353.7</v>
      </c>
      <c r="F139" t="s">
        <v>84</v>
      </c>
      <c r="G139" t="s">
        <v>24</v>
      </c>
      <c r="H139">
        <v>0</v>
      </c>
      <c r="I139" t="s">
        <v>56</v>
      </c>
      <c r="J139">
        <v>1414.8</v>
      </c>
      <c r="K139" t="s">
        <v>101</v>
      </c>
      <c r="L139" t="s">
        <v>85</v>
      </c>
      <c r="M139">
        <v>0</v>
      </c>
      <c r="N139" t="s">
        <v>549</v>
      </c>
      <c r="O139" t="s">
        <v>550</v>
      </c>
      <c r="P139">
        <v>41.98</v>
      </c>
      <c r="Q139" s="2">
        <v>45870</v>
      </c>
      <c r="R139" t="s">
        <v>207</v>
      </c>
      <c r="S139" t="s">
        <v>51</v>
      </c>
      <c r="T139" t="s">
        <v>82</v>
      </c>
      <c r="U139">
        <v>1372.82</v>
      </c>
      <c r="V139">
        <v>0</v>
      </c>
    </row>
    <row r="140" spans="1:22" x14ac:dyDescent="0.3">
      <c r="A140" t="s">
        <v>551</v>
      </c>
      <c r="B140" t="s">
        <v>45</v>
      </c>
      <c r="C140" t="s">
        <v>35</v>
      </c>
      <c r="D140">
        <v>3</v>
      </c>
      <c r="E140">
        <v>149.25</v>
      </c>
      <c r="F140" t="s">
        <v>55</v>
      </c>
      <c r="G140" t="s">
        <v>24</v>
      </c>
      <c r="H140">
        <v>0</v>
      </c>
      <c r="I140" t="s">
        <v>46</v>
      </c>
      <c r="J140">
        <v>447.75</v>
      </c>
      <c r="K140" t="s">
        <v>38</v>
      </c>
      <c r="L140" t="s">
        <v>48</v>
      </c>
      <c r="M140">
        <v>1</v>
      </c>
      <c r="N140" t="s">
        <v>552</v>
      </c>
      <c r="O140" t="s">
        <v>553</v>
      </c>
      <c r="P140">
        <v>13.17</v>
      </c>
      <c r="Q140" s="2">
        <v>45634</v>
      </c>
      <c r="R140" t="s">
        <v>503</v>
      </c>
      <c r="S140" t="s">
        <v>51</v>
      </c>
      <c r="T140" t="s">
        <v>76</v>
      </c>
      <c r="U140">
        <v>434.58</v>
      </c>
      <c r="V140">
        <v>0</v>
      </c>
    </row>
    <row r="141" spans="1:22" x14ac:dyDescent="0.3">
      <c r="A141" t="s">
        <v>554</v>
      </c>
      <c r="B141" t="s">
        <v>45</v>
      </c>
      <c r="C141" t="s">
        <v>71</v>
      </c>
      <c r="D141">
        <v>7</v>
      </c>
      <c r="E141">
        <v>241.76</v>
      </c>
      <c r="F141" t="s">
        <v>55</v>
      </c>
      <c r="G141" t="s">
        <v>24</v>
      </c>
      <c r="H141">
        <v>0</v>
      </c>
      <c r="I141" t="s">
        <v>46</v>
      </c>
      <c r="J141">
        <v>1692.32</v>
      </c>
      <c r="K141" t="s">
        <v>26</v>
      </c>
      <c r="L141" t="s">
        <v>58</v>
      </c>
      <c r="M141">
        <v>0</v>
      </c>
      <c r="N141" t="s">
        <v>555</v>
      </c>
      <c r="O141" t="s">
        <v>556</v>
      </c>
      <c r="P141">
        <v>48.13</v>
      </c>
      <c r="Q141" s="2">
        <v>44928</v>
      </c>
      <c r="R141" t="s">
        <v>557</v>
      </c>
      <c r="S141" t="s">
        <v>51</v>
      </c>
      <c r="T141" t="s">
        <v>187</v>
      </c>
      <c r="U141">
        <v>1644.1899999999998</v>
      </c>
      <c r="V141">
        <v>0</v>
      </c>
    </row>
    <row r="142" spans="1:22" x14ac:dyDescent="0.3">
      <c r="A142" t="s">
        <v>521</v>
      </c>
      <c r="B142" t="s">
        <v>45</v>
      </c>
      <c r="C142" t="s">
        <v>109</v>
      </c>
      <c r="D142">
        <v>9</v>
      </c>
      <c r="E142">
        <v>245.14</v>
      </c>
      <c r="F142" t="s">
        <v>23</v>
      </c>
      <c r="G142" t="s">
        <v>24</v>
      </c>
      <c r="H142">
        <v>0</v>
      </c>
      <c r="I142" t="s">
        <v>25</v>
      </c>
      <c r="J142">
        <v>2206.2600000000002</v>
      </c>
      <c r="K142" t="s">
        <v>26</v>
      </c>
      <c r="L142" t="s">
        <v>58</v>
      </c>
      <c r="M142">
        <v>1</v>
      </c>
      <c r="N142" t="s">
        <v>558</v>
      </c>
      <c r="O142" t="s">
        <v>559</v>
      </c>
      <c r="P142">
        <v>44.6</v>
      </c>
      <c r="Q142" s="2">
        <v>45054</v>
      </c>
      <c r="R142" t="s">
        <v>104</v>
      </c>
      <c r="S142" t="s">
        <v>51</v>
      </c>
      <c r="T142" t="s">
        <v>63</v>
      </c>
      <c r="U142">
        <v>2161.6600000000003</v>
      </c>
      <c r="V142">
        <v>0</v>
      </c>
    </row>
    <row r="143" spans="1:22" x14ac:dyDescent="0.3">
      <c r="A143" t="s">
        <v>506</v>
      </c>
      <c r="B143" t="s">
        <v>34</v>
      </c>
      <c r="C143" t="s">
        <v>22</v>
      </c>
      <c r="D143">
        <v>1</v>
      </c>
      <c r="E143">
        <v>423.08</v>
      </c>
      <c r="F143" t="s">
        <v>23</v>
      </c>
      <c r="G143" t="s">
        <v>24</v>
      </c>
      <c r="H143">
        <v>0.05</v>
      </c>
      <c r="I143" t="s">
        <v>94</v>
      </c>
      <c r="J143">
        <v>401.93</v>
      </c>
      <c r="K143" t="s">
        <v>57</v>
      </c>
      <c r="L143" t="s">
        <v>27</v>
      </c>
      <c r="M143">
        <v>0</v>
      </c>
      <c r="N143" t="s">
        <v>560</v>
      </c>
      <c r="O143" t="s">
        <v>561</v>
      </c>
      <c r="P143">
        <v>31.75</v>
      </c>
      <c r="Q143" s="2">
        <v>45479</v>
      </c>
      <c r="R143" t="s">
        <v>562</v>
      </c>
      <c r="S143" t="s">
        <v>42</v>
      </c>
      <c r="T143" t="s">
        <v>117</v>
      </c>
      <c r="U143">
        <v>370.18</v>
      </c>
      <c r="V143">
        <v>21.154</v>
      </c>
    </row>
    <row r="144" spans="1:22" x14ac:dyDescent="0.3">
      <c r="A144" t="s">
        <v>563</v>
      </c>
      <c r="B144" t="s">
        <v>34</v>
      </c>
      <c r="C144" t="s">
        <v>140</v>
      </c>
      <c r="D144">
        <v>2</v>
      </c>
      <c r="E144">
        <v>279.38</v>
      </c>
      <c r="F144" t="s">
        <v>55</v>
      </c>
      <c r="G144" t="s">
        <v>37</v>
      </c>
      <c r="H144">
        <v>0.1</v>
      </c>
      <c r="I144" t="s">
        <v>46</v>
      </c>
      <c r="J144">
        <v>502.88</v>
      </c>
      <c r="K144" t="s">
        <v>26</v>
      </c>
      <c r="L144" t="s">
        <v>85</v>
      </c>
      <c r="M144">
        <v>0</v>
      </c>
      <c r="N144" t="s">
        <v>564</v>
      </c>
      <c r="O144" t="s">
        <v>565</v>
      </c>
      <c r="P144">
        <v>22.95</v>
      </c>
      <c r="Q144" s="2">
        <v>44932</v>
      </c>
      <c r="R144" t="s">
        <v>566</v>
      </c>
      <c r="S144" t="s">
        <v>42</v>
      </c>
      <c r="T144" t="s">
        <v>187</v>
      </c>
      <c r="U144">
        <v>479.93</v>
      </c>
      <c r="V144">
        <v>55.876000000000005</v>
      </c>
    </row>
    <row r="145" spans="1:22" x14ac:dyDescent="0.3">
      <c r="A145" t="s">
        <v>567</v>
      </c>
      <c r="B145" t="s">
        <v>45</v>
      </c>
      <c r="C145" t="s">
        <v>71</v>
      </c>
      <c r="D145">
        <v>13</v>
      </c>
      <c r="E145">
        <v>186.69</v>
      </c>
      <c r="F145" t="s">
        <v>55</v>
      </c>
      <c r="G145" t="s">
        <v>24</v>
      </c>
      <c r="H145">
        <v>0</v>
      </c>
      <c r="I145" t="s">
        <v>94</v>
      </c>
      <c r="J145">
        <v>2426.9699999999998</v>
      </c>
      <c r="K145" t="s">
        <v>47</v>
      </c>
      <c r="L145" t="s">
        <v>85</v>
      </c>
      <c r="M145">
        <v>0</v>
      </c>
      <c r="N145" t="s">
        <v>568</v>
      </c>
      <c r="O145" t="s">
        <v>569</v>
      </c>
      <c r="P145">
        <v>19.920000000000002</v>
      </c>
      <c r="Q145" s="2">
        <v>45839</v>
      </c>
      <c r="R145" t="s">
        <v>570</v>
      </c>
      <c r="S145" t="s">
        <v>51</v>
      </c>
      <c r="T145" t="s">
        <v>117</v>
      </c>
      <c r="U145">
        <v>2407.0499999999997</v>
      </c>
      <c r="V145">
        <v>0</v>
      </c>
    </row>
    <row r="146" spans="1:22" x14ac:dyDescent="0.3">
      <c r="A146" t="s">
        <v>151</v>
      </c>
      <c r="B146" t="s">
        <v>34</v>
      </c>
      <c r="C146" t="s">
        <v>71</v>
      </c>
      <c r="D146">
        <v>16</v>
      </c>
      <c r="E146">
        <v>34.659999999999997</v>
      </c>
      <c r="F146" t="s">
        <v>36</v>
      </c>
      <c r="G146" t="s">
        <v>37</v>
      </c>
      <c r="H146">
        <v>0.05</v>
      </c>
      <c r="I146" t="s">
        <v>25</v>
      </c>
      <c r="J146">
        <v>526.83000000000004</v>
      </c>
      <c r="K146" t="s">
        <v>38</v>
      </c>
      <c r="L146" t="s">
        <v>48</v>
      </c>
      <c r="M146">
        <v>0</v>
      </c>
      <c r="N146" t="s">
        <v>571</v>
      </c>
      <c r="O146" t="s">
        <v>572</v>
      </c>
      <c r="P146">
        <v>49.9</v>
      </c>
      <c r="Q146" s="2">
        <v>45779</v>
      </c>
      <c r="R146" t="s">
        <v>573</v>
      </c>
      <c r="S146" t="s">
        <v>42</v>
      </c>
      <c r="T146" t="s">
        <v>63</v>
      </c>
      <c r="U146">
        <v>476.93000000000006</v>
      </c>
      <c r="V146">
        <v>27.727999999999998</v>
      </c>
    </row>
    <row r="147" spans="1:22" x14ac:dyDescent="0.3">
      <c r="A147" t="s">
        <v>393</v>
      </c>
      <c r="B147" t="s">
        <v>21</v>
      </c>
      <c r="C147" t="s">
        <v>140</v>
      </c>
      <c r="D147">
        <v>18</v>
      </c>
      <c r="E147">
        <v>155.04</v>
      </c>
      <c r="F147" t="s">
        <v>23</v>
      </c>
      <c r="G147" t="s">
        <v>24</v>
      </c>
      <c r="H147">
        <v>0.15</v>
      </c>
      <c r="I147" t="s">
        <v>56</v>
      </c>
      <c r="J147">
        <v>2372.11</v>
      </c>
      <c r="K147" t="s">
        <v>47</v>
      </c>
      <c r="L147" t="s">
        <v>27</v>
      </c>
      <c r="M147">
        <v>0</v>
      </c>
      <c r="N147" t="s">
        <v>574</v>
      </c>
      <c r="O147" t="s">
        <v>575</v>
      </c>
      <c r="P147">
        <v>39.99</v>
      </c>
      <c r="Q147" s="2">
        <v>45295</v>
      </c>
      <c r="R147" t="s">
        <v>576</v>
      </c>
      <c r="S147" t="s">
        <v>31</v>
      </c>
      <c r="T147" t="s">
        <v>187</v>
      </c>
      <c r="U147">
        <v>2332.1200000000003</v>
      </c>
      <c r="V147">
        <v>418.60799999999995</v>
      </c>
    </row>
    <row r="148" spans="1:22" x14ac:dyDescent="0.3">
      <c r="A148" t="s">
        <v>211</v>
      </c>
      <c r="B148" t="s">
        <v>54</v>
      </c>
      <c r="C148" t="s">
        <v>127</v>
      </c>
      <c r="D148">
        <v>4</v>
      </c>
      <c r="E148">
        <v>69.599999999999994</v>
      </c>
      <c r="F148" t="s">
        <v>55</v>
      </c>
      <c r="G148" t="s">
        <v>24</v>
      </c>
      <c r="H148">
        <v>0.05</v>
      </c>
      <c r="I148" t="s">
        <v>65</v>
      </c>
      <c r="J148">
        <v>264.48</v>
      </c>
      <c r="K148" t="s">
        <v>57</v>
      </c>
      <c r="L148" t="s">
        <v>58</v>
      </c>
      <c r="M148">
        <v>0</v>
      </c>
      <c r="N148" t="s">
        <v>577</v>
      </c>
      <c r="O148" t="s">
        <v>578</v>
      </c>
      <c r="P148">
        <v>17.68</v>
      </c>
      <c r="Q148" s="2">
        <v>45660</v>
      </c>
      <c r="R148" t="s">
        <v>118</v>
      </c>
      <c r="S148" t="s">
        <v>62</v>
      </c>
      <c r="T148" t="s">
        <v>187</v>
      </c>
      <c r="U148">
        <v>246.8</v>
      </c>
      <c r="V148">
        <v>13.92</v>
      </c>
    </row>
    <row r="149" spans="1:22" x14ac:dyDescent="0.3">
      <c r="A149" t="s">
        <v>579</v>
      </c>
      <c r="B149" t="s">
        <v>45</v>
      </c>
      <c r="C149" t="s">
        <v>127</v>
      </c>
      <c r="D149">
        <v>13</v>
      </c>
      <c r="E149">
        <v>55.09</v>
      </c>
      <c r="F149" t="s">
        <v>84</v>
      </c>
      <c r="G149" t="s">
        <v>24</v>
      </c>
      <c r="H149">
        <v>0.15</v>
      </c>
      <c r="I149" t="s">
        <v>78</v>
      </c>
      <c r="J149">
        <v>608.74</v>
      </c>
      <c r="K149" t="s">
        <v>47</v>
      </c>
      <c r="L149" t="s">
        <v>85</v>
      </c>
      <c r="M149">
        <v>1</v>
      </c>
      <c r="N149" t="s">
        <v>580</v>
      </c>
      <c r="O149" t="s">
        <v>581</v>
      </c>
      <c r="P149">
        <v>47.78</v>
      </c>
      <c r="Q149" s="2">
        <v>44992</v>
      </c>
      <c r="R149" t="s">
        <v>582</v>
      </c>
      <c r="S149" t="s">
        <v>51</v>
      </c>
      <c r="T149" t="s">
        <v>98</v>
      </c>
      <c r="U149">
        <v>560.96</v>
      </c>
      <c r="V149">
        <v>107.42550000000001</v>
      </c>
    </row>
    <row r="150" spans="1:22" x14ac:dyDescent="0.3">
      <c r="A150" t="s">
        <v>583</v>
      </c>
      <c r="B150" t="s">
        <v>54</v>
      </c>
      <c r="C150" t="s">
        <v>109</v>
      </c>
      <c r="D150">
        <v>14</v>
      </c>
      <c r="E150">
        <v>484.38</v>
      </c>
      <c r="F150" t="s">
        <v>55</v>
      </c>
      <c r="G150" t="s">
        <v>37</v>
      </c>
      <c r="H150">
        <v>0.05</v>
      </c>
      <c r="I150" t="s">
        <v>56</v>
      </c>
      <c r="J150">
        <v>6442.25</v>
      </c>
      <c r="K150" t="s">
        <v>38</v>
      </c>
      <c r="L150" t="s">
        <v>58</v>
      </c>
      <c r="M150">
        <v>0</v>
      </c>
      <c r="N150" t="s">
        <v>584</v>
      </c>
      <c r="O150" t="s">
        <v>585</v>
      </c>
      <c r="P150">
        <v>29.24</v>
      </c>
      <c r="Q150" s="2">
        <v>45904</v>
      </c>
      <c r="R150" t="s">
        <v>586</v>
      </c>
      <c r="S150" t="s">
        <v>62</v>
      </c>
      <c r="T150" t="s">
        <v>52</v>
      </c>
      <c r="U150">
        <v>6413.01</v>
      </c>
      <c r="V150">
        <v>339.06600000000003</v>
      </c>
    </row>
    <row r="151" spans="1:22" x14ac:dyDescent="0.3">
      <c r="A151" t="s">
        <v>587</v>
      </c>
      <c r="B151" t="s">
        <v>21</v>
      </c>
      <c r="C151" t="s">
        <v>127</v>
      </c>
      <c r="D151">
        <v>6</v>
      </c>
      <c r="E151">
        <v>449.57</v>
      </c>
      <c r="F151" t="s">
        <v>55</v>
      </c>
      <c r="G151" t="s">
        <v>24</v>
      </c>
      <c r="H151">
        <v>0</v>
      </c>
      <c r="I151" t="s">
        <v>56</v>
      </c>
      <c r="J151">
        <v>2697.42</v>
      </c>
      <c r="K151" t="s">
        <v>57</v>
      </c>
      <c r="L151" t="s">
        <v>27</v>
      </c>
      <c r="M151">
        <v>0</v>
      </c>
      <c r="N151" t="s">
        <v>588</v>
      </c>
      <c r="O151" t="s">
        <v>589</v>
      </c>
      <c r="P151">
        <v>23.09</v>
      </c>
      <c r="Q151" s="2">
        <v>45057</v>
      </c>
      <c r="R151" t="s">
        <v>590</v>
      </c>
      <c r="S151" t="s">
        <v>31</v>
      </c>
      <c r="T151" t="s">
        <v>63</v>
      </c>
      <c r="U151">
        <v>2674.33</v>
      </c>
      <c r="V151">
        <v>0</v>
      </c>
    </row>
    <row r="152" spans="1:22" x14ac:dyDescent="0.3">
      <c r="A152" t="s">
        <v>329</v>
      </c>
      <c r="B152" t="s">
        <v>54</v>
      </c>
      <c r="C152" t="s">
        <v>35</v>
      </c>
      <c r="D152">
        <v>14</v>
      </c>
      <c r="E152">
        <v>291.91000000000003</v>
      </c>
      <c r="F152" t="s">
        <v>84</v>
      </c>
      <c r="G152" t="s">
        <v>37</v>
      </c>
      <c r="H152">
        <v>0.15</v>
      </c>
      <c r="I152" t="s">
        <v>56</v>
      </c>
      <c r="J152">
        <v>3473.73</v>
      </c>
      <c r="K152" t="s">
        <v>101</v>
      </c>
      <c r="L152" t="s">
        <v>48</v>
      </c>
      <c r="M152">
        <v>0</v>
      </c>
      <c r="N152" t="s">
        <v>591</v>
      </c>
      <c r="O152" t="s">
        <v>592</v>
      </c>
      <c r="P152">
        <v>27.51</v>
      </c>
      <c r="Q152" s="2">
        <v>45810</v>
      </c>
      <c r="R152" t="s">
        <v>464</v>
      </c>
      <c r="S152" t="s">
        <v>62</v>
      </c>
      <c r="T152" t="s">
        <v>105</v>
      </c>
      <c r="U152">
        <v>3446.22</v>
      </c>
      <c r="V152">
        <v>613.01099999999997</v>
      </c>
    </row>
    <row r="153" spans="1:22" x14ac:dyDescent="0.3">
      <c r="A153" t="s">
        <v>476</v>
      </c>
      <c r="B153" t="s">
        <v>70</v>
      </c>
      <c r="C153" t="s">
        <v>140</v>
      </c>
      <c r="D153">
        <v>15</v>
      </c>
      <c r="E153">
        <v>380.03</v>
      </c>
      <c r="F153" t="s">
        <v>84</v>
      </c>
      <c r="G153" t="s">
        <v>37</v>
      </c>
      <c r="H153">
        <v>0</v>
      </c>
      <c r="I153" t="s">
        <v>94</v>
      </c>
      <c r="J153">
        <v>5700.45</v>
      </c>
      <c r="K153" t="s">
        <v>26</v>
      </c>
      <c r="L153" t="s">
        <v>48</v>
      </c>
      <c r="M153">
        <v>0</v>
      </c>
      <c r="N153" t="s">
        <v>593</v>
      </c>
      <c r="O153" t="s">
        <v>594</v>
      </c>
      <c r="P153">
        <v>25.72</v>
      </c>
      <c r="Q153" s="2">
        <v>45546</v>
      </c>
      <c r="R153" t="s">
        <v>595</v>
      </c>
      <c r="S153" t="s">
        <v>75</v>
      </c>
      <c r="T153" t="s">
        <v>52</v>
      </c>
      <c r="U153">
        <v>5674.73</v>
      </c>
      <c r="V153">
        <v>0</v>
      </c>
    </row>
    <row r="154" spans="1:22" x14ac:dyDescent="0.3">
      <c r="A154" t="s">
        <v>596</v>
      </c>
      <c r="B154" t="s">
        <v>54</v>
      </c>
      <c r="C154" t="s">
        <v>109</v>
      </c>
      <c r="D154">
        <v>13</v>
      </c>
      <c r="E154">
        <v>442.99</v>
      </c>
      <c r="F154" t="s">
        <v>84</v>
      </c>
      <c r="G154" t="s">
        <v>24</v>
      </c>
      <c r="H154">
        <v>0.05</v>
      </c>
      <c r="I154" t="s">
        <v>25</v>
      </c>
      <c r="J154">
        <v>5470.93</v>
      </c>
      <c r="K154" t="s">
        <v>57</v>
      </c>
      <c r="L154" t="s">
        <v>58</v>
      </c>
      <c r="M154">
        <v>0</v>
      </c>
      <c r="N154" t="s">
        <v>597</v>
      </c>
      <c r="O154" t="s">
        <v>598</v>
      </c>
      <c r="P154">
        <v>37.119999999999997</v>
      </c>
      <c r="Q154" s="2">
        <v>45574</v>
      </c>
      <c r="R154" t="s">
        <v>163</v>
      </c>
      <c r="S154" t="s">
        <v>62</v>
      </c>
      <c r="T154" t="s">
        <v>32</v>
      </c>
      <c r="U154">
        <v>5433.81</v>
      </c>
      <c r="V154">
        <v>287.94350000000003</v>
      </c>
    </row>
    <row r="155" spans="1:22" x14ac:dyDescent="0.3">
      <c r="A155" t="s">
        <v>599</v>
      </c>
      <c r="B155" t="s">
        <v>70</v>
      </c>
      <c r="C155" t="s">
        <v>109</v>
      </c>
      <c r="D155">
        <v>15</v>
      </c>
      <c r="E155">
        <v>469.52</v>
      </c>
      <c r="F155" t="s">
        <v>36</v>
      </c>
      <c r="G155" t="s">
        <v>24</v>
      </c>
      <c r="H155">
        <v>0</v>
      </c>
      <c r="I155" t="s">
        <v>25</v>
      </c>
      <c r="J155">
        <v>7042.8</v>
      </c>
      <c r="K155" t="s">
        <v>101</v>
      </c>
      <c r="L155" t="s">
        <v>85</v>
      </c>
      <c r="M155">
        <v>0</v>
      </c>
      <c r="N155" t="s">
        <v>600</v>
      </c>
      <c r="O155" t="s">
        <v>601</v>
      </c>
      <c r="P155">
        <v>35.6</v>
      </c>
      <c r="Q155" s="2">
        <v>45576</v>
      </c>
      <c r="R155" t="s">
        <v>602</v>
      </c>
      <c r="S155" t="s">
        <v>75</v>
      </c>
      <c r="T155" t="s">
        <v>32</v>
      </c>
      <c r="U155">
        <v>7007.2</v>
      </c>
      <c r="V155">
        <v>0</v>
      </c>
    </row>
    <row r="156" spans="1:22" x14ac:dyDescent="0.3">
      <c r="A156" t="s">
        <v>603</v>
      </c>
      <c r="B156" t="s">
        <v>45</v>
      </c>
      <c r="C156" t="s">
        <v>127</v>
      </c>
      <c r="D156">
        <v>11</v>
      </c>
      <c r="E156">
        <v>558.5</v>
      </c>
      <c r="F156" t="s">
        <v>23</v>
      </c>
      <c r="G156" t="s">
        <v>37</v>
      </c>
      <c r="H156">
        <v>0.15</v>
      </c>
      <c r="I156" t="s">
        <v>46</v>
      </c>
      <c r="J156">
        <v>5221.9799999999996</v>
      </c>
      <c r="K156" t="s">
        <v>47</v>
      </c>
      <c r="L156" t="s">
        <v>27</v>
      </c>
      <c r="M156">
        <v>0</v>
      </c>
      <c r="N156" t="s">
        <v>604</v>
      </c>
      <c r="O156" t="s">
        <v>258</v>
      </c>
      <c r="P156">
        <v>48.15</v>
      </c>
      <c r="Q156" s="2">
        <v>45019</v>
      </c>
      <c r="R156" t="s">
        <v>605</v>
      </c>
      <c r="S156" t="s">
        <v>51</v>
      </c>
      <c r="T156" t="s">
        <v>147</v>
      </c>
      <c r="U156">
        <v>5173.83</v>
      </c>
      <c r="V156">
        <v>921.52499999999998</v>
      </c>
    </row>
    <row r="157" spans="1:22" x14ac:dyDescent="0.3">
      <c r="A157" t="s">
        <v>486</v>
      </c>
      <c r="B157" t="s">
        <v>70</v>
      </c>
      <c r="C157" t="s">
        <v>22</v>
      </c>
      <c r="D157">
        <v>5</v>
      </c>
      <c r="E157">
        <v>365.38</v>
      </c>
      <c r="F157" t="s">
        <v>55</v>
      </c>
      <c r="G157" t="s">
        <v>24</v>
      </c>
      <c r="H157">
        <v>0.15</v>
      </c>
      <c r="I157" t="s">
        <v>25</v>
      </c>
      <c r="J157">
        <v>1552.87</v>
      </c>
      <c r="K157" t="s">
        <v>38</v>
      </c>
      <c r="L157" t="s">
        <v>58</v>
      </c>
      <c r="M157">
        <v>1</v>
      </c>
      <c r="N157" t="s">
        <v>606</v>
      </c>
      <c r="O157" t="s">
        <v>607</v>
      </c>
      <c r="P157">
        <v>5.66</v>
      </c>
      <c r="Q157" s="2">
        <v>45264</v>
      </c>
      <c r="R157" t="s">
        <v>489</v>
      </c>
      <c r="S157" t="s">
        <v>75</v>
      </c>
      <c r="T157" t="s">
        <v>76</v>
      </c>
      <c r="U157">
        <v>1547.2099999999998</v>
      </c>
      <c r="V157">
        <v>274.03500000000003</v>
      </c>
    </row>
    <row r="158" spans="1:22" x14ac:dyDescent="0.3">
      <c r="A158" t="s">
        <v>608</v>
      </c>
      <c r="B158" t="s">
        <v>34</v>
      </c>
      <c r="C158" t="s">
        <v>22</v>
      </c>
      <c r="D158">
        <v>10</v>
      </c>
      <c r="E158">
        <v>397.33</v>
      </c>
      <c r="F158" t="s">
        <v>23</v>
      </c>
      <c r="G158" t="s">
        <v>37</v>
      </c>
      <c r="H158">
        <v>0.15</v>
      </c>
      <c r="I158" t="s">
        <v>25</v>
      </c>
      <c r="J158">
        <v>3377.31</v>
      </c>
      <c r="K158" t="s">
        <v>101</v>
      </c>
      <c r="L158" t="s">
        <v>48</v>
      </c>
      <c r="M158">
        <v>0</v>
      </c>
      <c r="N158" t="s">
        <v>609</v>
      </c>
      <c r="O158" t="s">
        <v>610</v>
      </c>
      <c r="P158">
        <v>10.199999999999999</v>
      </c>
      <c r="Q158" s="2">
        <v>45110</v>
      </c>
      <c r="R158" t="s">
        <v>611</v>
      </c>
      <c r="S158" t="s">
        <v>42</v>
      </c>
      <c r="T158" t="s">
        <v>117</v>
      </c>
      <c r="U158">
        <v>3367.11</v>
      </c>
      <c r="V158">
        <v>595.99499999999989</v>
      </c>
    </row>
    <row r="159" spans="1:22" x14ac:dyDescent="0.3">
      <c r="A159" t="s">
        <v>164</v>
      </c>
      <c r="B159" t="s">
        <v>45</v>
      </c>
      <c r="C159" t="s">
        <v>35</v>
      </c>
      <c r="D159">
        <v>17</v>
      </c>
      <c r="E159">
        <v>241.01</v>
      </c>
      <c r="F159" t="s">
        <v>84</v>
      </c>
      <c r="G159" t="s">
        <v>37</v>
      </c>
      <c r="H159">
        <v>0.1</v>
      </c>
      <c r="I159" t="s">
        <v>94</v>
      </c>
      <c r="J159">
        <v>3687.45</v>
      </c>
      <c r="K159" t="s">
        <v>38</v>
      </c>
      <c r="L159" t="s">
        <v>27</v>
      </c>
      <c r="M159">
        <v>0</v>
      </c>
      <c r="N159" t="s">
        <v>612</v>
      </c>
      <c r="O159" t="s">
        <v>613</v>
      </c>
      <c r="P159">
        <v>24.69</v>
      </c>
      <c r="Q159" s="2">
        <v>45413</v>
      </c>
      <c r="R159" t="s">
        <v>614</v>
      </c>
      <c r="S159" t="s">
        <v>51</v>
      </c>
      <c r="T159" t="s">
        <v>63</v>
      </c>
      <c r="U159">
        <v>3662.7599999999998</v>
      </c>
      <c r="V159">
        <v>409.71700000000004</v>
      </c>
    </row>
    <row r="160" spans="1:22" x14ac:dyDescent="0.3">
      <c r="A160" t="s">
        <v>615</v>
      </c>
      <c r="B160" t="s">
        <v>54</v>
      </c>
      <c r="C160" t="s">
        <v>127</v>
      </c>
      <c r="D160">
        <v>16</v>
      </c>
      <c r="E160">
        <v>170.77</v>
      </c>
      <c r="F160" t="s">
        <v>36</v>
      </c>
      <c r="G160" t="s">
        <v>37</v>
      </c>
      <c r="H160">
        <v>0.1</v>
      </c>
      <c r="I160" t="s">
        <v>56</v>
      </c>
      <c r="J160">
        <v>2459.09</v>
      </c>
      <c r="K160" t="s">
        <v>26</v>
      </c>
      <c r="L160" t="s">
        <v>58</v>
      </c>
      <c r="M160">
        <v>1</v>
      </c>
      <c r="N160" t="s">
        <v>616</v>
      </c>
      <c r="O160" t="s">
        <v>617</v>
      </c>
      <c r="P160">
        <v>45.93</v>
      </c>
      <c r="Q160" s="2">
        <v>45509</v>
      </c>
      <c r="R160" t="s">
        <v>618</v>
      </c>
      <c r="S160" t="s">
        <v>62</v>
      </c>
      <c r="T160" t="s">
        <v>82</v>
      </c>
      <c r="U160">
        <v>2413.1600000000003</v>
      </c>
      <c r="V160">
        <v>273.23200000000003</v>
      </c>
    </row>
    <row r="161" spans="1:22" x14ac:dyDescent="0.3">
      <c r="A161" t="s">
        <v>262</v>
      </c>
      <c r="B161" t="s">
        <v>45</v>
      </c>
      <c r="C161" t="s">
        <v>127</v>
      </c>
      <c r="D161">
        <v>1</v>
      </c>
      <c r="E161">
        <v>8.1999999999999993</v>
      </c>
      <c r="F161" t="s">
        <v>36</v>
      </c>
      <c r="G161" t="s">
        <v>24</v>
      </c>
      <c r="H161">
        <v>0.15</v>
      </c>
      <c r="I161" t="s">
        <v>56</v>
      </c>
      <c r="J161">
        <v>6.97</v>
      </c>
      <c r="K161" t="s">
        <v>38</v>
      </c>
      <c r="L161" t="s">
        <v>48</v>
      </c>
      <c r="M161">
        <v>0</v>
      </c>
      <c r="N161" t="s">
        <v>619</v>
      </c>
      <c r="O161" t="s">
        <v>620</v>
      </c>
      <c r="P161">
        <v>30.35</v>
      </c>
      <c r="Q161" s="2">
        <v>45415</v>
      </c>
      <c r="R161" t="s">
        <v>621</v>
      </c>
      <c r="S161" t="s">
        <v>51</v>
      </c>
      <c r="T161" t="s">
        <v>63</v>
      </c>
      <c r="U161">
        <v>-23.380000000000003</v>
      </c>
      <c r="V161">
        <v>1.2299999999999998</v>
      </c>
    </row>
    <row r="162" spans="1:22" x14ac:dyDescent="0.3">
      <c r="A162" t="s">
        <v>521</v>
      </c>
      <c r="B162" t="s">
        <v>34</v>
      </c>
      <c r="C162" t="s">
        <v>140</v>
      </c>
      <c r="D162">
        <v>20</v>
      </c>
      <c r="E162">
        <v>121.14</v>
      </c>
      <c r="F162" t="s">
        <v>36</v>
      </c>
      <c r="G162" t="s">
        <v>37</v>
      </c>
      <c r="H162">
        <v>0.1</v>
      </c>
      <c r="I162" t="s">
        <v>94</v>
      </c>
      <c r="J162">
        <v>2180.52</v>
      </c>
      <c r="K162" t="s">
        <v>101</v>
      </c>
      <c r="L162" t="s">
        <v>85</v>
      </c>
      <c r="M162">
        <v>0</v>
      </c>
      <c r="N162" t="s">
        <v>622</v>
      </c>
      <c r="O162" t="s">
        <v>623</v>
      </c>
      <c r="P162">
        <v>21.47</v>
      </c>
      <c r="Q162" s="2">
        <v>45054</v>
      </c>
      <c r="R162" t="s">
        <v>104</v>
      </c>
      <c r="S162" t="s">
        <v>42</v>
      </c>
      <c r="T162" t="s">
        <v>63</v>
      </c>
      <c r="U162">
        <v>2159.0500000000002</v>
      </c>
      <c r="V162">
        <v>242.28000000000003</v>
      </c>
    </row>
    <row r="163" spans="1:22" x14ac:dyDescent="0.3">
      <c r="A163" t="s">
        <v>97</v>
      </c>
      <c r="B163" t="s">
        <v>70</v>
      </c>
      <c r="C163" t="s">
        <v>35</v>
      </c>
      <c r="D163">
        <v>19</v>
      </c>
      <c r="E163">
        <v>191.44</v>
      </c>
      <c r="F163" t="s">
        <v>36</v>
      </c>
      <c r="G163" t="s">
        <v>24</v>
      </c>
      <c r="H163">
        <v>0.15</v>
      </c>
      <c r="I163" t="s">
        <v>46</v>
      </c>
      <c r="J163">
        <v>3091.76</v>
      </c>
      <c r="K163" t="s">
        <v>47</v>
      </c>
      <c r="L163" t="s">
        <v>27</v>
      </c>
      <c r="M163">
        <v>1</v>
      </c>
      <c r="N163" t="s">
        <v>624</v>
      </c>
      <c r="O163" t="s">
        <v>625</v>
      </c>
      <c r="P163">
        <v>35.54</v>
      </c>
      <c r="Q163" s="2">
        <v>45141</v>
      </c>
      <c r="R163" t="s">
        <v>626</v>
      </c>
      <c r="S163" t="s">
        <v>75</v>
      </c>
      <c r="T163" t="s">
        <v>82</v>
      </c>
      <c r="U163">
        <v>3056.2200000000003</v>
      </c>
      <c r="V163">
        <v>545.60400000000004</v>
      </c>
    </row>
    <row r="164" spans="1:22" x14ac:dyDescent="0.3">
      <c r="A164" t="s">
        <v>627</v>
      </c>
      <c r="B164" t="s">
        <v>54</v>
      </c>
      <c r="C164" t="s">
        <v>22</v>
      </c>
      <c r="D164">
        <v>5</v>
      </c>
      <c r="E164">
        <v>245.2</v>
      </c>
      <c r="F164" t="s">
        <v>23</v>
      </c>
      <c r="G164" t="s">
        <v>37</v>
      </c>
      <c r="H164">
        <v>0.15</v>
      </c>
      <c r="I164" t="s">
        <v>65</v>
      </c>
      <c r="J164">
        <v>1042.0999999999999</v>
      </c>
      <c r="K164" t="s">
        <v>26</v>
      </c>
      <c r="L164" t="s">
        <v>48</v>
      </c>
      <c r="M164">
        <v>0</v>
      </c>
      <c r="N164" t="s">
        <v>628</v>
      </c>
      <c r="O164" t="s">
        <v>629</v>
      </c>
      <c r="P164">
        <v>46.37</v>
      </c>
      <c r="Q164" s="2">
        <v>45327</v>
      </c>
      <c r="R164" t="s">
        <v>630</v>
      </c>
      <c r="S164" t="s">
        <v>62</v>
      </c>
      <c r="T164" t="s">
        <v>199</v>
      </c>
      <c r="U164">
        <v>995.7299999999999</v>
      </c>
      <c r="V164">
        <v>183.9</v>
      </c>
    </row>
    <row r="165" spans="1:22" x14ac:dyDescent="0.3">
      <c r="A165" t="s">
        <v>587</v>
      </c>
      <c r="B165" t="s">
        <v>21</v>
      </c>
      <c r="C165" t="s">
        <v>22</v>
      </c>
      <c r="D165">
        <v>16</v>
      </c>
      <c r="E165">
        <v>181.08</v>
      </c>
      <c r="F165" t="s">
        <v>36</v>
      </c>
      <c r="G165" t="s">
        <v>37</v>
      </c>
      <c r="H165">
        <v>0.1</v>
      </c>
      <c r="I165" t="s">
        <v>46</v>
      </c>
      <c r="J165">
        <v>2607.5500000000002</v>
      </c>
      <c r="K165" t="s">
        <v>26</v>
      </c>
      <c r="L165" t="s">
        <v>27</v>
      </c>
      <c r="M165">
        <v>0</v>
      </c>
      <c r="N165" t="s">
        <v>631</v>
      </c>
      <c r="O165" t="s">
        <v>632</v>
      </c>
      <c r="P165">
        <v>39.840000000000003</v>
      </c>
      <c r="Q165" s="2">
        <v>45057</v>
      </c>
      <c r="R165" t="s">
        <v>369</v>
      </c>
      <c r="S165" t="s">
        <v>31</v>
      </c>
      <c r="T165" t="s">
        <v>63</v>
      </c>
      <c r="U165">
        <v>2567.71</v>
      </c>
      <c r="V165">
        <v>289.72800000000001</v>
      </c>
    </row>
    <row r="166" spans="1:22" x14ac:dyDescent="0.3">
      <c r="A166" t="s">
        <v>633</v>
      </c>
      <c r="B166" t="s">
        <v>45</v>
      </c>
      <c r="C166" t="s">
        <v>71</v>
      </c>
      <c r="D166">
        <v>16</v>
      </c>
      <c r="E166">
        <v>442.22</v>
      </c>
      <c r="F166" t="s">
        <v>23</v>
      </c>
      <c r="G166" t="s">
        <v>37</v>
      </c>
      <c r="H166">
        <v>0</v>
      </c>
      <c r="I166" t="s">
        <v>25</v>
      </c>
      <c r="J166">
        <v>7075.52</v>
      </c>
      <c r="K166" t="s">
        <v>47</v>
      </c>
      <c r="L166" t="s">
        <v>85</v>
      </c>
      <c r="M166">
        <v>0</v>
      </c>
      <c r="N166" t="s">
        <v>634</v>
      </c>
      <c r="O166" t="s">
        <v>635</v>
      </c>
      <c r="P166">
        <v>27.36</v>
      </c>
      <c r="Q166" s="2">
        <v>45537</v>
      </c>
      <c r="R166" t="s">
        <v>636</v>
      </c>
      <c r="S166" t="s">
        <v>51</v>
      </c>
      <c r="T166" t="s">
        <v>52</v>
      </c>
      <c r="U166">
        <v>7048.1600000000008</v>
      </c>
      <c r="V166">
        <v>0</v>
      </c>
    </row>
    <row r="167" spans="1:22" x14ac:dyDescent="0.3">
      <c r="A167" t="s">
        <v>507</v>
      </c>
      <c r="B167" t="s">
        <v>45</v>
      </c>
      <c r="C167" t="s">
        <v>109</v>
      </c>
      <c r="D167">
        <v>7</v>
      </c>
      <c r="E167">
        <v>319.58999999999997</v>
      </c>
      <c r="F167" t="s">
        <v>36</v>
      </c>
      <c r="G167" t="s">
        <v>24</v>
      </c>
      <c r="H167">
        <v>0.15</v>
      </c>
      <c r="I167" t="s">
        <v>46</v>
      </c>
      <c r="J167">
        <v>1901.56</v>
      </c>
      <c r="K167" t="s">
        <v>57</v>
      </c>
      <c r="L167" t="s">
        <v>27</v>
      </c>
      <c r="M167">
        <v>1</v>
      </c>
      <c r="N167" t="s">
        <v>637</v>
      </c>
      <c r="O167" t="s">
        <v>638</v>
      </c>
      <c r="P167">
        <v>8.4700000000000006</v>
      </c>
      <c r="Q167" s="2">
        <v>45813</v>
      </c>
      <c r="R167" t="s">
        <v>639</v>
      </c>
      <c r="S167" t="s">
        <v>51</v>
      </c>
      <c r="T167" t="s">
        <v>105</v>
      </c>
      <c r="U167">
        <v>1893.09</v>
      </c>
      <c r="V167">
        <v>335.56949999999995</v>
      </c>
    </row>
    <row r="168" spans="1:22" x14ac:dyDescent="0.3">
      <c r="A168" t="s">
        <v>640</v>
      </c>
      <c r="B168" t="s">
        <v>34</v>
      </c>
      <c r="C168" t="s">
        <v>100</v>
      </c>
      <c r="D168">
        <v>18</v>
      </c>
      <c r="E168">
        <v>426.3</v>
      </c>
      <c r="F168" t="s">
        <v>84</v>
      </c>
      <c r="G168" t="s">
        <v>24</v>
      </c>
      <c r="H168">
        <v>0.15</v>
      </c>
      <c r="I168" t="s">
        <v>46</v>
      </c>
      <c r="J168">
        <v>6522.39</v>
      </c>
      <c r="K168" t="s">
        <v>101</v>
      </c>
      <c r="L168" t="s">
        <v>48</v>
      </c>
      <c r="M168">
        <v>1</v>
      </c>
      <c r="N168" t="s">
        <v>641</v>
      </c>
      <c r="O168" t="s">
        <v>642</v>
      </c>
      <c r="P168">
        <v>29.81</v>
      </c>
      <c r="Q168" s="2">
        <v>45027</v>
      </c>
      <c r="R168" t="s">
        <v>643</v>
      </c>
      <c r="S168" t="s">
        <v>42</v>
      </c>
      <c r="T168" t="s">
        <v>147</v>
      </c>
      <c r="U168">
        <v>6492.58</v>
      </c>
      <c r="V168">
        <v>1151.01</v>
      </c>
    </row>
    <row r="169" spans="1:22" x14ac:dyDescent="0.3">
      <c r="A169" t="s">
        <v>644</v>
      </c>
      <c r="B169" t="s">
        <v>21</v>
      </c>
      <c r="C169" t="s">
        <v>109</v>
      </c>
      <c r="D169">
        <v>19</v>
      </c>
      <c r="E169">
        <v>385.72</v>
      </c>
      <c r="F169" t="s">
        <v>84</v>
      </c>
      <c r="G169" t="s">
        <v>37</v>
      </c>
      <c r="H169">
        <v>0.05</v>
      </c>
      <c r="I169" t="s">
        <v>46</v>
      </c>
      <c r="J169">
        <v>6962.25</v>
      </c>
      <c r="K169" t="s">
        <v>47</v>
      </c>
      <c r="L169" t="s">
        <v>58</v>
      </c>
      <c r="M169">
        <v>1</v>
      </c>
      <c r="N169" t="s">
        <v>645</v>
      </c>
      <c r="O169" t="s">
        <v>646</v>
      </c>
      <c r="P169">
        <v>12.46</v>
      </c>
      <c r="Q169" s="2">
        <v>45332</v>
      </c>
      <c r="R169" t="s">
        <v>647</v>
      </c>
      <c r="S169" t="s">
        <v>31</v>
      </c>
      <c r="T169" t="s">
        <v>199</v>
      </c>
      <c r="U169">
        <v>6949.79</v>
      </c>
      <c r="V169">
        <v>366.43400000000003</v>
      </c>
    </row>
    <row r="170" spans="1:22" x14ac:dyDescent="0.3">
      <c r="A170" t="s">
        <v>648</v>
      </c>
      <c r="B170" t="s">
        <v>54</v>
      </c>
      <c r="C170" t="s">
        <v>109</v>
      </c>
      <c r="D170">
        <v>3</v>
      </c>
      <c r="E170">
        <v>54.37</v>
      </c>
      <c r="F170" t="s">
        <v>23</v>
      </c>
      <c r="G170" t="s">
        <v>24</v>
      </c>
      <c r="H170">
        <v>0.1</v>
      </c>
      <c r="I170" t="s">
        <v>56</v>
      </c>
      <c r="J170">
        <v>146.80000000000001</v>
      </c>
      <c r="K170" t="s">
        <v>101</v>
      </c>
      <c r="L170" t="s">
        <v>27</v>
      </c>
      <c r="M170">
        <v>0</v>
      </c>
      <c r="N170" t="s">
        <v>649</v>
      </c>
      <c r="O170" t="s">
        <v>650</v>
      </c>
      <c r="P170">
        <v>48.71</v>
      </c>
      <c r="Q170" s="2">
        <v>44991</v>
      </c>
      <c r="R170" t="s">
        <v>651</v>
      </c>
      <c r="S170" t="s">
        <v>62</v>
      </c>
      <c r="T170" t="s">
        <v>98</v>
      </c>
      <c r="U170">
        <v>98.09</v>
      </c>
      <c r="V170">
        <v>16.311</v>
      </c>
    </row>
    <row r="171" spans="1:22" x14ac:dyDescent="0.3">
      <c r="A171" t="s">
        <v>652</v>
      </c>
      <c r="B171" t="s">
        <v>70</v>
      </c>
      <c r="C171" t="s">
        <v>71</v>
      </c>
      <c r="D171">
        <v>6</v>
      </c>
      <c r="E171">
        <v>471.74</v>
      </c>
      <c r="F171" t="s">
        <v>36</v>
      </c>
      <c r="G171" t="s">
        <v>37</v>
      </c>
      <c r="H171">
        <v>0.15</v>
      </c>
      <c r="I171" t="s">
        <v>46</v>
      </c>
      <c r="J171">
        <v>2405.87</v>
      </c>
      <c r="K171" t="s">
        <v>26</v>
      </c>
      <c r="L171" t="s">
        <v>48</v>
      </c>
      <c r="M171">
        <v>0</v>
      </c>
      <c r="N171" t="s">
        <v>653</v>
      </c>
      <c r="O171" t="s">
        <v>654</v>
      </c>
      <c r="P171">
        <v>36.79</v>
      </c>
      <c r="Q171" s="2">
        <v>45208</v>
      </c>
      <c r="R171" t="s">
        <v>655</v>
      </c>
      <c r="S171" t="s">
        <v>75</v>
      </c>
      <c r="T171" t="s">
        <v>32</v>
      </c>
      <c r="U171">
        <v>2369.08</v>
      </c>
      <c r="V171">
        <v>424.56599999999997</v>
      </c>
    </row>
    <row r="172" spans="1:22" x14ac:dyDescent="0.3">
      <c r="A172" t="s">
        <v>656</v>
      </c>
      <c r="B172" t="s">
        <v>70</v>
      </c>
      <c r="C172" t="s">
        <v>100</v>
      </c>
      <c r="D172">
        <v>12</v>
      </c>
      <c r="E172">
        <v>148.66</v>
      </c>
      <c r="F172" t="s">
        <v>84</v>
      </c>
      <c r="G172" t="s">
        <v>24</v>
      </c>
      <c r="H172">
        <v>0</v>
      </c>
      <c r="I172" t="s">
        <v>78</v>
      </c>
      <c r="J172">
        <v>1783.92</v>
      </c>
      <c r="K172" t="s">
        <v>26</v>
      </c>
      <c r="L172" t="s">
        <v>48</v>
      </c>
      <c r="M172">
        <v>1</v>
      </c>
      <c r="N172" t="s">
        <v>657</v>
      </c>
      <c r="O172" t="s">
        <v>658</v>
      </c>
      <c r="P172">
        <v>27.16</v>
      </c>
      <c r="Q172" s="2">
        <v>45901</v>
      </c>
      <c r="R172" t="s">
        <v>659</v>
      </c>
      <c r="S172" t="s">
        <v>75</v>
      </c>
      <c r="T172" t="s">
        <v>52</v>
      </c>
      <c r="U172">
        <v>1756.76</v>
      </c>
      <c r="V172">
        <v>0</v>
      </c>
    </row>
    <row r="173" spans="1:22" x14ac:dyDescent="0.3">
      <c r="A173" t="s">
        <v>92</v>
      </c>
      <c r="B173" t="s">
        <v>54</v>
      </c>
      <c r="C173" t="s">
        <v>127</v>
      </c>
      <c r="D173">
        <v>3</v>
      </c>
      <c r="E173">
        <v>599.72</v>
      </c>
      <c r="F173" t="s">
        <v>55</v>
      </c>
      <c r="G173" t="s">
        <v>37</v>
      </c>
      <c r="H173">
        <v>0.15</v>
      </c>
      <c r="I173" t="s">
        <v>25</v>
      </c>
      <c r="J173">
        <v>1529.29</v>
      </c>
      <c r="K173" t="s">
        <v>26</v>
      </c>
      <c r="L173" t="s">
        <v>27</v>
      </c>
      <c r="M173">
        <v>1</v>
      </c>
      <c r="N173" t="s">
        <v>660</v>
      </c>
      <c r="O173" t="s">
        <v>661</v>
      </c>
      <c r="P173">
        <v>14.93</v>
      </c>
      <c r="Q173" s="2">
        <v>45875</v>
      </c>
      <c r="R173" t="s">
        <v>232</v>
      </c>
      <c r="S173" t="s">
        <v>62</v>
      </c>
      <c r="T173" t="s">
        <v>82</v>
      </c>
      <c r="U173">
        <v>1514.36</v>
      </c>
      <c r="V173">
        <v>269.87400000000002</v>
      </c>
    </row>
    <row r="174" spans="1:22" x14ac:dyDescent="0.3">
      <c r="A174" t="s">
        <v>640</v>
      </c>
      <c r="B174" t="s">
        <v>21</v>
      </c>
      <c r="C174" t="s">
        <v>140</v>
      </c>
      <c r="D174">
        <v>13</v>
      </c>
      <c r="E174">
        <v>179.37</v>
      </c>
      <c r="F174" t="s">
        <v>84</v>
      </c>
      <c r="G174" t="s">
        <v>37</v>
      </c>
      <c r="H174">
        <v>0.05</v>
      </c>
      <c r="I174" t="s">
        <v>65</v>
      </c>
      <c r="J174">
        <v>2215.2199999999998</v>
      </c>
      <c r="K174" t="s">
        <v>26</v>
      </c>
      <c r="L174" t="s">
        <v>85</v>
      </c>
      <c r="M174">
        <v>0</v>
      </c>
      <c r="N174" t="s">
        <v>662</v>
      </c>
      <c r="O174" t="s">
        <v>663</v>
      </c>
      <c r="P174">
        <v>35.28</v>
      </c>
      <c r="Q174" s="2">
        <v>45027</v>
      </c>
      <c r="R174" t="s">
        <v>590</v>
      </c>
      <c r="S174" t="s">
        <v>31</v>
      </c>
      <c r="T174" t="s">
        <v>147</v>
      </c>
      <c r="U174">
        <v>2179.9399999999996</v>
      </c>
      <c r="V174">
        <v>116.59050000000001</v>
      </c>
    </row>
    <row r="175" spans="1:22" x14ac:dyDescent="0.3">
      <c r="A175" t="s">
        <v>89</v>
      </c>
      <c r="B175" t="s">
        <v>70</v>
      </c>
      <c r="C175" t="s">
        <v>140</v>
      </c>
      <c r="D175">
        <v>19</v>
      </c>
      <c r="E175">
        <v>491.15</v>
      </c>
      <c r="F175" t="s">
        <v>36</v>
      </c>
      <c r="G175" t="s">
        <v>37</v>
      </c>
      <c r="H175">
        <v>0</v>
      </c>
      <c r="I175" t="s">
        <v>56</v>
      </c>
      <c r="J175">
        <v>9331.85</v>
      </c>
      <c r="K175" t="s">
        <v>26</v>
      </c>
      <c r="L175" t="s">
        <v>48</v>
      </c>
      <c r="M175">
        <v>0</v>
      </c>
      <c r="N175" t="s">
        <v>664</v>
      </c>
      <c r="O175" t="s">
        <v>665</v>
      </c>
      <c r="P175">
        <v>48.68</v>
      </c>
      <c r="Q175" s="2">
        <v>45783</v>
      </c>
      <c r="R175" t="s">
        <v>250</v>
      </c>
      <c r="S175" t="s">
        <v>75</v>
      </c>
      <c r="T175" t="s">
        <v>63</v>
      </c>
      <c r="U175">
        <v>9283.17</v>
      </c>
      <c r="V175">
        <v>0</v>
      </c>
    </row>
    <row r="176" spans="1:22" x14ac:dyDescent="0.3">
      <c r="A176" t="s">
        <v>420</v>
      </c>
      <c r="B176" t="s">
        <v>34</v>
      </c>
      <c r="C176" t="s">
        <v>22</v>
      </c>
      <c r="D176">
        <v>3</v>
      </c>
      <c r="E176">
        <v>599.41999999999996</v>
      </c>
      <c r="F176" t="s">
        <v>84</v>
      </c>
      <c r="G176" t="s">
        <v>24</v>
      </c>
      <c r="H176">
        <v>0.1</v>
      </c>
      <c r="I176" t="s">
        <v>94</v>
      </c>
      <c r="J176">
        <v>1618.43</v>
      </c>
      <c r="K176" t="s">
        <v>26</v>
      </c>
      <c r="L176" t="s">
        <v>58</v>
      </c>
      <c r="M176">
        <v>0</v>
      </c>
      <c r="N176" t="s">
        <v>666</v>
      </c>
      <c r="O176" t="s">
        <v>667</v>
      </c>
      <c r="P176">
        <v>48.02</v>
      </c>
      <c r="Q176" s="2">
        <v>45292</v>
      </c>
      <c r="R176" t="s">
        <v>281</v>
      </c>
      <c r="S176" t="s">
        <v>42</v>
      </c>
      <c r="T176" t="s">
        <v>187</v>
      </c>
      <c r="U176">
        <v>1570.41</v>
      </c>
      <c r="V176">
        <v>179.82599999999999</v>
      </c>
    </row>
    <row r="177" spans="1:22" x14ac:dyDescent="0.3">
      <c r="A177" t="s">
        <v>668</v>
      </c>
      <c r="B177" t="s">
        <v>54</v>
      </c>
      <c r="C177" t="s">
        <v>100</v>
      </c>
      <c r="D177">
        <v>1</v>
      </c>
      <c r="E177">
        <v>374.33</v>
      </c>
      <c r="F177" t="s">
        <v>23</v>
      </c>
      <c r="G177" t="s">
        <v>24</v>
      </c>
      <c r="H177">
        <v>0</v>
      </c>
      <c r="I177" t="s">
        <v>46</v>
      </c>
      <c r="J177">
        <v>374.33</v>
      </c>
      <c r="K177" t="s">
        <v>101</v>
      </c>
      <c r="L177" t="s">
        <v>85</v>
      </c>
      <c r="M177">
        <v>0</v>
      </c>
      <c r="N177" t="s">
        <v>669</v>
      </c>
      <c r="O177" t="s">
        <v>670</v>
      </c>
      <c r="P177">
        <v>33.31</v>
      </c>
      <c r="Q177" s="2">
        <v>45689</v>
      </c>
      <c r="R177" t="s">
        <v>207</v>
      </c>
      <c r="S177" t="s">
        <v>62</v>
      </c>
      <c r="T177" t="s">
        <v>199</v>
      </c>
      <c r="U177">
        <v>341.02</v>
      </c>
      <c r="V177">
        <v>0</v>
      </c>
    </row>
    <row r="178" spans="1:22" x14ac:dyDescent="0.3">
      <c r="A178" t="s">
        <v>671</v>
      </c>
      <c r="B178" t="s">
        <v>54</v>
      </c>
      <c r="C178" t="s">
        <v>127</v>
      </c>
      <c r="D178">
        <v>13</v>
      </c>
      <c r="E178">
        <v>198.44</v>
      </c>
      <c r="F178" t="s">
        <v>55</v>
      </c>
      <c r="G178" t="s">
        <v>24</v>
      </c>
      <c r="H178">
        <v>0</v>
      </c>
      <c r="I178" t="s">
        <v>46</v>
      </c>
      <c r="J178">
        <v>2579.7199999999998</v>
      </c>
      <c r="K178" t="s">
        <v>47</v>
      </c>
      <c r="L178" t="s">
        <v>58</v>
      </c>
      <c r="M178">
        <v>1</v>
      </c>
      <c r="N178" t="s">
        <v>672</v>
      </c>
      <c r="O178" t="s">
        <v>673</v>
      </c>
      <c r="P178">
        <v>31.51</v>
      </c>
      <c r="Q178" s="2">
        <v>45387</v>
      </c>
      <c r="R178" t="s">
        <v>674</v>
      </c>
      <c r="S178" t="s">
        <v>62</v>
      </c>
      <c r="T178" t="s">
        <v>147</v>
      </c>
      <c r="U178">
        <v>2548.2099999999996</v>
      </c>
      <c r="V178">
        <v>0</v>
      </c>
    </row>
    <row r="179" spans="1:22" x14ac:dyDescent="0.3">
      <c r="A179" t="s">
        <v>675</v>
      </c>
      <c r="B179" t="s">
        <v>54</v>
      </c>
      <c r="C179" t="s">
        <v>140</v>
      </c>
      <c r="D179">
        <v>1</v>
      </c>
      <c r="E179">
        <v>268.19</v>
      </c>
      <c r="F179" t="s">
        <v>23</v>
      </c>
      <c r="G179" t="s">
        <v>24</v>
      </c>
      <c r="H179">
        <v>0.1</v>
      </c>
      <c r="I179" t="s">
        <v>46</v>
      </c>
      <c r="J179">
        <v>241.37</v>
      </c>
      <c r="K179" t="s">
        <v>57</v>
      </c>
      <c r="L179" t="s">
        <v>27</v>
      </c>
      <c r="M179">
        <v>0</v>
      </c>
      <c r="N179" t="s">
        <v>676</v>
      </c>
      <c r="O179" t="s">
        <v>677</v>
      </c>
      <c r="P179">
        <v>9.48</v>
      </c>
      <c r="Q179" s="2">
        <v>45028</v>
      </c>
      <c r="R179" t="s">
        <v>678</v>
      </c>
      <c r="S179" t="s">
        <v>62</v>
      </c>
      <c r="T179" t="s">
        <v>147</v>
      </c>
      <c r="U179">
        <v>231.89000000000001</v>
      </c>
      <c r="V179">
        <v>26.819000000000003</v>
      </c>
    </row>
    <row r="180" spans="1:22" x14ac:dyDescent="0.3">
      <c r="A180" t="s">
        <v>168</v>
      </c>
      <c r="B180" t="s">
        <v>70</v>
      </c>
      <c r="C180" t="s">
        <v>71</v>
      </c>
      <c r="D180">
        <v>15</v>
      </c>
      <c r="E180">
        <v>13.66</v>
      </c>
      <c r="F180" t="s">
        <v>23</v>
      </c>
      <c r="G180" t="s">
        <v>37</v>
      </c>
      <c r="H180">
        <v>0.1</v>
      </c>
      <c r="I180" t="s">
        <v>25</v>
      </c>
      <c r="J180">
        <v>184.41</v>
      </c>
      <c r="K180" t="s">
        <v>38</v>
      </c>
      <c r="L180" t="s">
        <v>85</v>
      </c>
      <c r="M180">
        <v>0</v>
      </c>
      <c r="N180" t="s">
        <v>679</v>
      </c>
      <c r="O180" t="s">
        <v>680</v>
      </c>
      <c r="P180">
        <v>38.04</v>
      </c>
      <c r="Q180" s="2">
        <v>45967</v>
      </c>
      <c r="R180" t="s">
        <v>681</v>
      </c>
      <c r="S180" t="s">
        <v>75</v>
      </c>
      <c r="T180" t="s">
        <v>43</v>
      </c>
      <c r="U180">
        <v>146.37</v>
      </c>
      <c r="V180">
        <v>20.490000000000002</v>
      </c>
    </row>
    <row r="181" spans="1:22" x14ac:dyDescent="0.3">
      <c r="A181" t="s">
        <v>682</v>
      </c>
      <c r="B181" t="s">
        <v>70</v>
      </c>
      <c r="C181" t="s">
        <v>35</v>
      </c>
      <c r="D181">
        <v>11</v>
      </c>
      <c r="E181">
        <v>495.03</v>
      </c>
      <c r="F181" t="s">
        <v>55</v>
      </c>
      <c r="G181" t="s">
        <v>24</v>
      </c>
      <c r="H181">
        <v>0.15</v>
      </c>
      <c r="I181" t="s">
        <v>56</v>
      </c>
      <c r="J181">
        <v>4628.53</v>
      </c>
      <c r="K181" t="s">
        <v>47</v>
      </c>
      <c r="L181" t="s">
        <v>27</v>
      </c>
      <c r="M181">
        <v>0</v>
      </c>
      <c r="N181" t="s">
        <v>683</v>
      </c>
      <c r="O181" t="s">
        <v>684</v>
      </c>
      <c r="P181">
        <v>27.37</v>
      </c>
      <c r="Q181" s="2">
        <v>44997</v>
      </c>
      <c r="R181" t="s">
        <v>685</v>
      </c>
      <c r="S181" t="s">
        <v>75</v>
      </c>
      <c r="T181" t="s">
        <v>98</v>
      </c>
      <c r="U181">
        <v>4601.16</v>
      </c>
      <c r="V181">
        <v>816.79949999999997</v>
      </c>
    </row>
    <row r="182" spans="1:22" x14ac:dyDescent="0.3">
      <c r="A182" t="s">
        <v>686</v>
      </c>
      <c r="B182" t="s">
        <v>45</v>
      </c>
      <c r="C182" t="s">
        <v>100</v>
      </c>
      <c r="D182">
        <v>9</v>
      </c>
      <c r="E182">
        <v>146.72</v>
      </c>
      <c r="F182" t="s">
        <v>84</v>
      </c>
      <c r="G182" t="s">
        <v>24</v>
      </c>
      <c r="H182">
        <v>0.1</v>
      </c>
      <c r="I182" t="s">
        <v>78</v>
      </c>
      <c r="J182">
        <v>1188.43</v>
      </c>
      <c r="K182" t="s">
        <v>101</v>
      </c>
      <c r="L182" t="s">
        <v>48</v>
      </c>
      <c r="M182">
        <v>0</v>
      </c>
      <c r="N182" t="s">
        <v>687</v>
      </c>
      <c r="O182" t="s">
        <v>688</v>
      </c>
      <c r="P182">
        <v>10.45</v>
      </c>
      <c r="Q182" s="2">
        <v>44967</v>
      </c>
      <c r="R182" t="s">
        <v>689</v>
      </c>
      <c r="S182" t="s">
        <v>51</v>
      </c>
      <c r="T182" t="s">
        <v>199</v>
      </c>
      <c r="U182">
        <v>1177.98</v>
      </c>
      <c r="V182">
        <v>132.048</v>
      </c>
    </row>
    <row r="183" spans="1:22" x14ac:dyDescent="0.3">
      <c r="A183" t="s">
        <v>587</v>
      </c>
      <c r="B183" t="s">
        <v>70</v>
      </c>
      <c r="C183" t="s">
        <v>22</v>
      </c>
      <c r="D183">
        <v>12</v>
      </c>
      <c r="E183">
        <v>159.85</v>
      </c>
      <c r="F183" t="s">
        <v>55</v>
      </c>
      <c r="G183" t="s">
        <v>37</v>
      </c>
      <c r="H183">
        <v>0.1</v>
      </c>
      <c r="I183" t="s">
        <v>25</v>
      </c>
      <c r="J183">
        <v>1726.38</v>
      </c>
      <c r="K183" t="s">
        <v>47</v>
      </c>
      <c r="L183" t="s">
        <v>27</v>
      </c>
      <c r="M183">
        <v>0</v>
      </c>
      <c r="N183" t="s">
        <v>690</v>
      </c>
      <c r="O183" t="s">
        <v>691</v>
      </c>
      <c r="P183">
        <v>32.61</v>
      </c>
      <c r="Q183" s="2">
        <v>45057</v>
      </c>
      <c r="R183" t="s">
        <v>692</v>
      </c>
      <c r="S183" t="s">
        <v>75</v>
      </c>
      <c r="T183" t="s">
        <v>63</v>
      </c>
      <c r="U183">
        <v>1693.7700000000002</v>
      </c>
      <c r="V183">
        <v>191.82</v>
      </c>
    </row>
    <row r="184" spans="1:22" x14ac:dyDescent="0.3">
      <c r="A184" t="s">
        <v>693</v>
      </c>
      <c r="B184" t="s">
        <v>70</v>
      </c>
      <c r="C184" t="s">
        <v>127</v>
      </c>
      <c r="D184">
        <v>15</v>
      </c>
      <c r="E184">
        <v>405.95</v>
      </c>
      <c r="F184" t="s">
        <v>55</v>
      </c>
      <c r="G184" t="s">
        <v>24</v>
      </c>
      <c r="H184">
        <v>0.15</v>
      </c>
      <c r="I184" t="s">
        <v>65</v>
      </c>
      <c r="J184">
        <v>5175.8599999999997</v>
      </c>
      <c r="K184" t="s">
        <v>57</v>
      </c>
      <c r="L184" t="s">
        <v>48</v>
      </c>
      <c r="M184">
        <v>0</v>
      </c>
      <c r="N184" t="s">
        <v>694</v>
      </c>
      <c r="O184" t="s">
        <v>695</v>
      </c>
      <c r="P184">
        <v>32.04</v>
      </c>
      <c r="Q184" s="2">
        <v>45416</v>
      </c>
      <c r="R184" t="s">
        <v>64</v>
      </c>
      <c r="S184" t="s">
        <v>75</v>
      </c>
      <c r="T184" t="s">
        <v>63</v>
      </c>
      <c r="U184">
        <v>5143.82</v>
      </c>
      <c r="V184">
        <v>913.38749999999993</v>
      </c>
    </row>
    <row r="185" spans="1:22" x14ac:dyDescent="0.3">
      <c r="A185" t="s">
        <v>93</v>
      </c>
      <c r="B185" t="s">
        <v>54</v>
      </c>
      <c r="C185" t="s">
        <v>100</v>
      </c>
      <c r="D185">
        <v>13</v>
      </c>
      <c r="E185">
        <v>522.97</v>
      </c>
      <c r="F185" t="s">
        <v>36</v>
      </c>
      <c r="G185" t="s">
        <v>37</v>
      </c>
      <c r="H185">
        <v>0.15</v>
      </c>
      <c r="I185" t="s">
        <v>46</v>
      </c>
      <c r="J185">
        <v>5778.82</v>
      </c>
      <c r="K185" t="s">
        <v>38</v>
      </c>
      <c r="L185" t="s">
        <v>85</v>
      </c>
      <c r="M185">
        <v>0</v>
      </c>
      <c r="N185" t="s">
        <v>696</v>
      </c>
      <c r="O185" t="s">
        <v>697</v>
      </c>
      <c r="P185">
        <v>33.9</v>
      </c>
      <c r="Q185" s="2">
        <v>44988</v>
      </c>
      <c r="R185" t="s">
        <v>698</v>
      </c>
      <c r="S185" t="s">
        <v>62</v>
      </c>
      <c r="T185" t="s">
        <v>98</v>
      </c>
      <c r="U185">
        <v>5744.92</v>
      </c>
      <c r="V185">
        <v>1019.7915</v>
      </c>
    </row>
    <row r="186" spans="1:22" x14ac:dyDescent="0.3">
      <c r="A186" t="s">
        <v>699</v>
      </c>
      <c r="B186" t="s">
        <v>54</v>
      </c>
      <c r="C186" t="s">
        <v>100</v>
      </c>
      <c r="D186">
        <v>9</v>
      </c>
      <c r="E186">
        <v>596.83000000000004</v>
      </c>
      <c r="F186" t="s">
        <v>84</v>
      </c>
      <c r="G186" t="s">
        <v>37</v>
      </c>
      <c r="H186">
        <v>0</v>
      </c>
      <c r="I186" t="s">
        <v>65</v>
      </c>
      <c r="J186">
        <v>5371.47</v>
      </c>
      <c r="K186" t="s">
        <v>47</v>
      </c>
      <c r="L186" t="s">
        <v>27</v>
      </c>
      <c r="M186">
        <v>0</v>
      </c>
      <c r="N186" t="s">
        <v>700</v>
      </c>
      <c r="O186" t="s">
        <v>701</v>
      </c>
      <c r="P186">
        <v>6.43</v>
      </c>
      <c r="Q186" s="2">
        <v>45606</v>
      </c>
      <c r="R186" t="s">
        <v>702</v>
      </c>
      <c r="S186" t="s">
        <v>62</v>
      </c>
      <c r="T186" t="s">
        <v>43</v>
      </c>
      <c r="U186">
        <v>5365.04</v>
      </c>
      <c r="V186">
        <v>0</v>
      </c>
    </row>
    <row r="187" spans="1:22" x14ac:dyDescent="0.3">
      <c r="A187" t="s">
        <v>537</v>
      </c>
      <c r="B187" t="s">
        <v>21</v>
      </c>
      <c r="C187" t="s">
        <v>100</v>
      </c>
      <c r="D187">
        <v>18</v>
      </c>
      <c r="E187">
        <v>414.77</v>
      </c>
      <c r="F187" t="s">
        <v>36</v>
      </c>
      <c r="G187" t="s">
        <v>24</v>
      </c>
      <c r="H187">
        <v>0.1</v>
      </c>
      <c r="I187" t="s">
        <v>65</v>
      </c>
      <c r="J187">
        <v>6719.27</v>
      </c>
      <c r="K187" t="s">
        <v>101</v>
      </c>
      <c r="L187" t="s">
        <v>48</v>
      </c>
      <c r="M187">
        <v>1</v>
      </c>
      <c r="N187" t="s">
        <v>703</v>
      </c>
      <c r="O187" t="s">
        <v>704</v>
      </c>
      <c r="P187">
        <v>28.55</v>
      </c>
      <c r="Q187" s="2">
        <v>45082</v>
      </c>
      <c r="R187" t="s">
        <v>705</v>
      </c>
      <c r="S187" t="s">
        <v>31</v>
      </c>
      <c r="T187" t="s">
        <v>105</v>
      </c>
      <c r="U187">
        <v>6690.72</v>
      </c>
      <c r="V187">
        <v>746.58600000000001</v>
      </c>
    </row>
    <row r="188" spans="1:22" x14ac:dyDescent="0.3">
      <c r="A188" t="s">
        <v>83</v>
      </c>
      <c r="B188" t="s">
        <v>45</v>
      </c>
      <c r="C188" t="s">
        <v>127</v>
      </c>
      <c r="D188">
        <v>5</v>
      </c>
      <c r="E188">
        <v>136.13</v>
      </c>
      <c r="F188" t="s">
        <v>36</v>
      </c>
      <c r="G188" t="s">
        <v>37</v>
      </c>
      <c r="H188">
        <v>0.15</v>
      </c>
      <c r="I188" t="s">
        <v>46</v>
      </c>
      <c r="J188">
        <v>578.54999999999995</v>
      </c>
      <c r="K188" t="s">
        <v>26</v>
      </c>
      <c r="L188" t="s">
        <v>48</v>
      </c>
      <c r="M188">
        <v>0</v>
      </c>
      <c r="N188" t="s">
        <v>706</v>
      </c>
      <c r="O188" t="s">
        <v>707</v>
      </c>
      <c r="P188">
        <v>10.02</v>
      </c>
      <c r="Q188" s="2">
        <v>45966</v>
      </c>
      <c r="R188" t="s">
        <v>708</v>
      </c>
      <c r="S188" t="s">
        <v>51</v>
      </c>
      <c r="T188" t="s">
        <v>43</v>
      </c>
      <c r="U188">
        <v>568.53</v>
      </c>
      <c r="V188">
        <v>102.0975</v>
      </c>
    </row>
    <row r="189" spans="1:22" x14ac:dyDescent="0.3">
      <c r="A189" t="s">
        <v>540</v>
      </c>
      <c r="B189" t="s">
        <v>70</v>
      </c>
      <c r="C189" t="s">
        <v>100</v>
      </c>
      <c r="D189">
        <v>6</v>
      </c>
      <c r="E189">
        <v>138.26</v>
      </c>
      <c r="F189" t="s">
        <v>23</v>
      </c>
      <c r="G189" t="s">
        <v>37</v>
      </c>
      <c r="H189">
        <v>0.15</v>
      </c>
      <c r="I189" t="s">
        <v>65</v>
      </c>
      <c r="J189">
        <v>705.13</v>
      </c>
      <c r="K189" t="s">
        <v>26</v>
      </c>
      <c r="L189" t="s">
        <v>48</v>
      </c>
      <c r="M189">
        <v>1</v>
      </c>
      <c r="N189" t="s">
        <v>709</v>
      </c>
      <c r="O189" t="s">
        <v>710</v>
      </c>
      <c r="P189">
        <v>31.4</v>
      </c>
      <c r="Q189" s="2">
        <v>45964</v>
      </c>
      <c r="R189" t="s">
        <v>61</v>
      </c>
      <c r="S189" t="s">
        <v>75</v>
      </c>
      <c r="T189" t="s">
        <v>43</v>
      </c>
      <c r="U189">
        <v>673.73</v>
      </c>
      <c r="V189">
        <v>124.43399999999998</v>
      </c>
    </row>
    <row r="190" spans="1:22" x14ac:dyDescent="0.3">
      <c r="A190" t="s">
        <v>711</v>
      </c>
      <c r="B190" t="s">
        <v>21</v>
      </c>
      <c r="C190" t="s">
        <v>35</v>
      </c>
      <c r="D190">
        <v>20</v>
      </c>
      <c r="E190">
        <v>427.3</v>
      </c>
      <c r="F190" t="s">
        <v>36</v>
      </c>
      <c r="G190" t="s">
        <v>24</v>
      </c>
      <c r="H190">
        <v>0.05</v>
      </c>
      <c r="I190" t="s">
        <v>56</v>
      </c>
      <c r="J190">
        <v>8118.7</v>
      </c>
      <c r="K190" t="s">
        <v>57</v>
      </c>
      <c r="L190" t="s">
        <v>85</v>
      </c>
      <c r="M190">
        <v>1</v>
      </c>
      <c r="N190" t="s">
        <v>712</v>
      </c>
      <c r="O190" t="s">
        <v>713</v>
      </c>
      <c r="P190">
        <v>25.19</v>
      </c>
      <c r="Q190" s="2">
        <v>45328</v>
      </c>
      <c r="R190" t="s">
        <v>714</v>
      </c>
      <c r="S190" t="s">
        <v>31</v>
      </c>
      <c r="T190" t="s">
        <v>199</v>
      </c>
      <c r="U190">
        <v>8093.51</v>
      </c>
      <c r="V190">
        <v>427.3</v>
      </c>
    </row>
    <row r="191" spans="1:22" x14ac:dyDescent="0.3">
      <c r="A191" t="s">
        <v>715</v>
      </c>
      <c r="B191" t="s">
        <v>34</v>
      </c>
      <c r="C191" t="s">
        <v>100</v>
      </c>
      <c r="D191">
        <v>16</v>
      </c>
      <c r="E191">
        <v>588.91999999999996</v>
      </c>
      <c r="F191" t="s">
        <v>55</v>
      </c>
      <c r="G191" t="s">
        <v>24</v>
      </c>
      <c r="H191">
        <v>0.15</v>
      </c>
      <c r="I191" t="s">
        <v>25</v>
      </c>
      <c r="J191">
        <v>8009.31</v>
      </c>
      <c r="K191" t="s">
        <v>47</v>
      </c>
      <c r="L191" t="s">
        <v>85</v>
      </c>
      <c r="M191">
        <v>0</v>
      </c>
      <c r="N191" t="s">
        <v>716</v>
      </c>
      <c r="O191" t="s">
        <v>717</v>
      </c>
      <c r="P191">
        <v>7.89</v>
      </c>
      <c r="Q191" s="2">
        <v>45300</v>
      </c>
      <c r="R191" t="s">
        <v>718</v>
      </c>
      <c r="S191" t="s">
        <v>42</v>
      </c>
      <c r="T191" t="s">
        <v>187</v>
      </c>
      <c r="U191">
        <v>8001.42</v>
      </c>
      <c r="V191">
        <v>1413.4079999999999</v>
      </c>
    </row>
    <row r="192" spans="1:22" x14ac:dyDescent="0.3">
      <c r="A192" t="s">
        <v>719</v>
      </c>
      <c r="B192" t="s">
        <v>34</v>
      </c>
      <c r="C192" t="s">
        <v>100</v>
      </c>
      <c r="D192">
        <v>6</v>
      </c>
      <c r="E192">
        <v>429.45</v>
      </c>
      <c r="F192" t="s">
        <v>23</v>
      </c>
      <c r="G192" t="s">
        <v>37</v>
      </c>
      <c r="H192">
        <v>0.1</v>
      </c>
      <c r="I192" t="s">
        <v>25</v>
      </c>
      <c r="J192">
        <v>2319.0300000000002</v>
      </c>
      <c r="K192" t="s">
        <v>47</v>
      </c>
      <c r="L192" t="s">
        <v>48</v>
      </c>
      <c r="M192">
        <v>0</v>
      </c>
      <c r="N192" t="s">
        <v>720</v>
      </c>
      <c r="O192" t="s">
        <v>721</v>
      </c>
      <c r="P192">
        <v>47.18</v>
      </c>
      <c r="Q192" s="2">
        <v>45962</v>
      </c>
      <c r="R192" t="s">
        <v>722</v>
      </c>
      <c r="S192" t="s">
        <v>42</v>
      </c>
      <c r="T192" t="s">
        <v>43</v>
      </c>
      <c r="U192">
        <v>2271.8500000000004</v>
      </c>
      <c r="V192">
        <v>257.67</v>
      </c>
    </row>
    <row r="193" spans="1:22" x14ac:dyDescent="0.3">
      <c r="A193" t="s">
        <v>723</v>
      </c>
      <c r="B193" t="s">
        <v>21</v>
      </c>
      <c r="C193" t="s">
        <v>35</v>
      </c>
      <c r="D193">
        <v>3</v>
      </c>
      <c r="E193">
        <v>250.65</v>
      </c>
      <c r="F193" t="s">
        <v>55</v>
      </c>
      <c r="G193" t="s">
        <v>37</v>
      </c>
      <c r="H193">
        <v>0.15</v>
      </c>
      <c r="I193" t="s">
        <v>65</v>
      </c>
      <c r="J193">
        <v>639.16</v>
      </c>
      <c r="K193" t="s">
        <v>101</v>
      </c>
      <c r="L193" t="s">
        <v>58</v>
      </c>
      <c r="M193">
        <v>0</v>
      </c>
      <c r="N193" t="s">
        <v>724</v>
      </c>
      <c r="O193" t="s">
        <v>725</v>
      </c>
      <c r="P193">
        <v>44.46</v>
      </c>
      <c r="Q193" s="2">
        <v>45053</v>
      </c>
      <c r="R193" t="s">
        <v>379</v>
      </c>
      <c r="S193" t="s">
        <v>31</v>
      </c>
      <c r="T193" t="s">
        <v>63</v>
      </c>
      <c r="U193">
        <v>594.69999999999993</v>
      </c>
      <c r="V193">
        <v>112.7925</v>
      </c>
    </row>
    <row r="194" spans="1:22" x14ac:dyDescent="0.3">
      <c r="A194" t="s">
        <v>349</v>
      </c>
      <c r="B194" t="s">
        <v>21</v>
      </c>
      <c r="C194" t="s">
        <v>35</v>
      </c>
      <c r="D194">
        <v>7</v>
      </c>
      <c r="E194">
        <v>30.79</v>
      </c>
      <c r="F194" t="s">
        <v>36</v>
      </c>
      <c r="G194" t="s">
        <v>37</v>
      </c>
      <c r="H194">
        <v>0.1</v>
      </c>
      <c r="I194" t="s">
        <v>94</v>
      </c>
      <c r="J194">
        <v>193.98</v>
      </c>
      <c r="K194" t="s">
        <v>47</v>
      </c>
      <c r="L194" t="s">
        <v>27</v>
      </c>
      <c r="M194">
        <v>1</v>
      </c>
      <c r="N194" t="s">
        <v>726</v>
      </c>
      <c r="O194" t="s">
        <v>727</v>
      </c>
      <c r="P194">
        <v>11.39</v>
      </c>
      <c r="Q194" s="2">
        <v>45873</v>
      </c>
      <c r="R194" t="s">
        <v>728</v>
      </c>
      <c r="S194" t="s">
        <v>31</v>
      </c>
      <c r="T194" t="s">
        <v>82</v>
      </c>
      <c r="U194">
        <v>182.58999999999997</v>
      </c>
      <c r="V194">
        <v>21.553000000000001</v>
      </c>
    </row>
    <row r="195" spans="1:22" x14ac:dyDescent="0.3">
      <c r="A195" t="s">
        <v>729</v>
      </c>
      <c r="B195" t="s">
        <v>70</v>
      </c>
      <c r="C195" t="s">
        <v>100</v>
      </c>
      <c r="D195">
        <v>1</v>
      </c>
      <c r="E195">
        <v>561.6</v>
      </c>
      <c r="F195" t="s">
        <v>84</v>
      </c>
      <c r="G195" t="s">
        <v>24</v>
      </c>
      <c r="H195">
        <v>0.15</v>
      </c>
      <c r="I195" t="s">
        <v>25</v>
      </c>
      <c r="J195">
        <v>477.36</v>
      </c>
      <c r="K195" t="s">
        <v>38</v>
      </c>
      <c r="L195" t="s">
        <v>58</v>
      </c>
      <c r="M195">
        <v>0</v>
      </c>
      <c r="N195" t="s">
        <v>730</v>
      </c>
      <c r="O195" t="s">
        <v>731</v>
      </c>
      <c r="P195">
        <v>38.020000000000003</v>
      </c>
      <c r="Q195" s="2">
        <v>45418</v>
      </c>
      <c r="R195" t="s">
        <v>732</v>
      </c>
      <c r="S195" t="s">
        <v>75</v>
      </c>
      <c r="T195" t="s">
        <v>63</v>
      </c>
      <c r="U195">
        <v>439.34000000000003</v>
      </c>
      <c r="V195">
        <v>84.24</v>
      </c>
    </row>
    <row r="196" spans="1:22" x14ac:dyDescent="0.3">
      <c r="A196" t="s">
        <v>399</v>
      </c>
      <c r="B196" t="s">
        <v>45</v>
      </c>
      <c r="C196" t="s">
        <v>109</v>
      </c>
      <c r="D196">
        <v>17</v>
      </c>
      <c r="E196">
        <v>310.02999999999997</v>
      </c>
      <c r="F196" t="s">
        <v>55</v>
      </c>
      <c r="G196" t="s">
        <v>37</v>
      </c>
      <c r="H196">
        <v>0.05</v>
      </c>
      <c r="I196" t="s">
        <v>46</v>
      </c>
      <c r="J196">
        <v>5006.9799999999996</v>
      </c>
      <c r="K196" t="s">
        <v>26</v>
      </c>
      <c r="L196" t="s">
        <v>85</v>
      </c>
      <c r="M196">
        <v>0</v>
      </c>
      <c r="N196" t="s">
        <v>733</v>
      </c>
      <c r="O196" t="s">
        <v>734</v>
      </c>
      <c r="P196">
        <v>8.06</v>
      </c>
      <c r="Q196" s="2">
        <v>45393</v>
      </c>
      <c r="R196" t="s">
        <v>595</v>
      </c>
      <c r="S196" t="s">
        <v>51</v>
      </c>
      <c r="T196" t="s">
        <v>147</v>
      </c>
      <c r="U196">
        <v>4998.9199999999992</v>
      </c>
      <c r="V196">
        <v>263.52549999999997</v>
      </c>
    </row>
    <row r="197" spans="1:22" x14ac:dyDescent="0.3">
      <c r="A197" t="s">
        <v>420</v>
      </c>
      <c r="B197" t="s">
        <v>54</v>
      </c>
      <c r="C197" t="s">
        <v>140</v>
      </c>
      <c r="D197">
        <v>13</v>
      </c>
      <c r="E197">
        <v>204.67</v>
      </c>
      <c r="F197" t="s">
        <v>84</v>
      </c>
      <c r="G197" t="s">
        <v>37</v>
      </c>
      <c r="H197">
        <v>0.15</v>
      </c>
      <c r="I197" t="s">
        <v>25</v>
      </c>
      <c r="J197">
        <v>2261.6</v>
      </c>
      <c r="K197" t="s">
        <v>26</v>
      </c>
      <c r="L197" t="s">
        <v>48</v>
      </c>
      <c r="M197">
        <v>0</v>
      </c>
      <c r="N197" t="s">
        <v>735</v>
      </c>
      <c r="O197" t="s">
        <v>736</v>
      </c>
      <c r="P197">
        <v>6.76</v>
      </c>
      <c r="Q197" s="2">
        <v>45292</v>
      </c>
      <c r="R197" t="s">
        <v>164</v>
      </c>
      <c r="S197" t="s">
        <v>62</v>
      </c>
      <c r="T197" t="s">
        <v>187</v>
      </c>
      <c r="U197">
        <v>2254.8399999999997</v>
      </c>
      <c r="V197">
        <v>399.10649999999998</v>
      </c>
    </row>
    <row r="198" spans="1:22" x14ac:dyDescent="0.3">
      <c r="A198" t="s">
        <v>339</v>
      </c>
      <c r="B198" t="s">
        <v>45</v>
      </c>
      <c r="C198" t="s">
        <v>140</v>
      </c>
      <c r="D198">
        <v>3</v>
      </c>
      <c r="E198">
        <v>250.11</v>
      </c>
      <c r="F198" t="s">
        <v>55</v>
      </c>
      <c r="G198" t="s">
        <v>24</v>
      </c>
      <c r="H198">
        <v>0</v>
      </c>
      <c r="I198" t="s">
        <v>25</v>
      </c>
      <c r="J198">
        <v>750.33</v>
      </c>
      <c r="K198" t="s">
        <v>57</v>
      </c>
      <c r="L198" t="s">
        <v>85</v>
      </c>
      <c r="M198">
        <v>0</v>
      </c>
      <c r="N198" t="s">
        <v>737</v>
      </c>
      <c r="O198" t="s">
        <v>738</v>
      </c>
      <c r="P198">
        <v>36.35</v>
      </c>
      <c r="Q198" s="2">
        <v>45539</v>
      </c>
      <c r="R198" t="s">
        <v>68</v>
      </c>
      <c r="S198" t="s">
        <v>51</v>
      </c>
      <c r="T198" t="s">
        <v>52</v>
      </c>
      <c r="U198">
        <v>713.98</v>
      </c>
      <c r="V198">
        <v>0</v>
      </c>
    </row>
    <row r="199" spans="1:22" x14ac:dyDescent="0.3">
      <c r="A199" t="s">
        <v>739</v>
      </c>
      <c r="B199" t="s">
        <v>21</v>
      </c>
      <c r="C199" t="s">
        <v>127</v>
      </c>
      <c r="D199">
        <v>14</v>
      </c>
      <c r="E199">
        <v>157.13999999999999</v>
      </c>
      <c r="F199" t="s">
        <v>84</v>
      </c>
      <c r="G199" t="s">
        <v>24</v>
      </c>
      <c r="H199">
        <v>0.15</v>
      </c>
      <c r="I199" t="s">
        <v>78</v>
      </c>
      <c r="J199">
        <v>1869.97</v>
      </c>
      <c r="K199" t="s">
        <v>57</v>
      </c>
      <c r="L199" t="s">
        <v>58</v>
      </c>
      <c r="M199">
        <v>0</v>
      </c>
      <c r="N199" t="s">
        <v>740</v>
      </c>
      <c r="O199" t="s">
        <v>741</v>
      </c>
      <c r="P199">
        <v>36.04</v>
      </c>
      <c r="Q199" s="2">
        <v>45627</v>
      </c>
      <c r="R199" t="s">
        <v>742</v>
      </c>
      <c r="S199" t="s">
        <v>31</v>
      </c>
      <c r="T199" t="s">
        <v>76</v>
      </c>
      <c r="U199">
        <v>1833.93</v>
      </c>
      <c r="V199">
        <v>329.99399999999997</v>
      </c>
    </row>
    <row r="200" spans="1:22" x14ac:dyDescent="0.3">
      <c r="A200" t="s">
        <v>743</v>
      </c>
      <c r="B200" t="s">
        <v>45</v>
      </c>
      <c r="C200" t="s">
        <v>100</v>
      </c>
      <c r="D200">
        <v>10</v>
      </c>
      <c r="E200">
        <v>100.26</v>
      </c>
      <c r="F200" t="s">
        <v>55</v>
      </c>
      <c r="G200" t="s">
        <v>24</v>
      </c>
      <c r="H200">
        <v>0.05</v>
      </c>
      <c r="I200" t="s">
        <v>46</v>
      </c>
      <c r="J200">
        <v>952.47</v>
      </c>
      <c r="K200" t="s">
        <v>57</v>
      </c>
      <c r="L200" t="s">
        <v>58</v>
      </c>
      <c r="M200">
        <v>0</v>
      </c>
      <c r="N200" t="s">
        <v>744</v>
      </c>
      <c r="O200" t="s">
        <v>745</v>
      </c>
      <c r="P200">
        <v>36.71</v>
      </c>
      <c r="Q200" s="2">
        <v>45508</v>
      </c>
      <c r="R200" t="s">
        <v>269</v>
      </c>
      <c r="S200" t="s">
        <v>51</v>
      </c>
      <c r="T200" t="s">
        <v>82</v>
      </c>
      <c r="U200">
        <v>915.76</v>
      </c>
      <c r="V200">
        <v>50.13</v>
      </c>
    </row>
    <row r="201" spans="1:22" x14ac:dyDescent="0.3">
      <c r="A201" t="s">
        <v>746</v>
      </c>
      <c r="B201" t="s">
        <v>45</v>
      </c>
      <c r="C201" t="s">
        <v>35</v>
      </c>
      <c r="D201">
        <v>10</v>
      </c>
      <c r="E201">
        <v>397.39</v>
      </c>
      <c r="F201" t="s">
        <v>55</v>
      </c>
      <c r="G201" t="s">
        <v>37</v>
      </c>
      <c r="H201">
        <v>0.15</v>
      </c>
      <c r="I201" t="s">
        <v>25</v>
      </c>
      <c r="J201">
        <v>3377.82</v>
      </c>
      <c r="K201" t="s">
        <v>57</v>
      </c>
      <c r="L201" t="s">
        <v>48</v>
      </c>
      <c r="M201">
        <v>0</v>
      </c>
      <c r="N201" t="s">
        <v>747</v>
      </c>
      <c r="O201" t="s">
        <v>748</v>
      </c>
      <c r="P201">
        <v>25.27</v>
      </c>
      <c r="Q201" s="2">
        <v>45447</v>
      </c>
      <c r="R201" t="s">
        <v>342</v>
      </c>
      <c r="S201" t="s">
        <v>51</v>
      </c>
      <c r="T201" t="s">
        <v>105</v>
      </c>
      <c r="U201">
        <v>3352.55</v>
      </c>
      <c r="V201">
        <v>596.08499999999992</v>
      </c>
    </row>
    <row r="202" spans="1:22" x14ac:dyDescent="0.3">
      <c r="A202" t="s">
        <v>276</v>
      </c>
      <c r="B202" t="s">
        <v>34</v>
      </c>
      <c r="C202" t="s">
        <v>22</v>
      </c>
      <c r="D202">
        <v>6</v>
      </c>
      <c r="E202">
        <v>581.66999999999996</v>
      </c>
      <c r="F202" t="s">
        <v>84</v>
      </c>
      <c r="G202" t="s">
        <v>24</v>
      </c>
      <c r="H202">
        <v>0</v>
      </c>
      <c r="I202" t="s">
        <v>56</v>
      </c>
      <c r="J202">
        <v>3490.02</v>
      </c>
      <c r="K202" t="s">
        <v>38</v>
      </c>
      <c r="L202" t="s">
        <v>48</v>
      </c>
      <c r="M202">
        <v>0</v>
      </c>
      <c r="N202" t="s">
        <v>749</v>
      </c>
      <c r="O202" t="s">
        <v>750</v>
      </c>
      <c r="P202">
        <v>39.4</v>
      </c>
      <c r="Q202" s="2">
        <v>45139</v>
      </c>
      <c r="R202" t="s">
        <v>33</v>
      </c>
      <c r="S202" t="s">
        <v>42</v>
      </c>
      <c r="T202" t="s">
        <v>82</v>
      </c>
      <c r="U202">
        <v>3450.62</v>
      </c>
      <c r="V202">
        <v>0</v>
      </c>
    </row>
    <row r="203" spans="1:22" x14ac:dyDescent="0.3">
      <c r="A203" t="s">
        <v>751</v>
      </c>
      <c r="B203" t="s">
        <v>34</v>
      </c>
      <c r="C203" t="s">
        <v>140</v>
      </c>
      <c r="D203">
        <v>2</v>
      </c>
      <c r="E203">
        <v>264</v>
      </c>
      <c r="F203" t="s">
        <v>55</v>
      </c>
      <c r="G203" t="s">
        <v>37</v>
      </c>
      <c r="H203">
        <v>0</v>
      </c>
      <c r="I203" t="s">
        <v>94</v>
      </c>
      <c r="J203">
        <v>528</v>
      </c>
      <c r="K203" t="s">
        <v>57</v>
      </c>
      <c r="L203" t="s">
        <v>58</v>
      </c>
      <c r="M203">
        <v>0</v>
      </c>
      <c r="N203" t="s">
        <v>752</v>
      </c>
      <c r="O203" t="s">
        <v>753</v>
      </c>
      <c r="P203">
        <v>26.73</v>
      </c>
      <c r="Q203" s="2">
        <v>45809</v>
      </c>
      <c r="R203" t="s">
        <v>754</v>
      </c>
      <c r="S203" t="s">
        <v>42</v>
      </c>
      <c r="T203" t="s">
        <v>105</v>
      </c>
      <c r="U203">
        <v>501.27</v>
      </c>
      <c r="V203">
        <v>0</v>
      </c>
    </row>
    <row r="204" spans="1:22" x14ac:dyDescent="0.3">
      <c r="A204" t="s">
        <v>668</v>
      </c>
      <c r="B204" t="s">
        <v>45</v>
      </c>
      <c r="C204" t="s">
        <v>100</v>
      </c>
      <c r="D204">
        <v>4</v>
      </c>
      <c r="E204">
        <v>403.97</v>
      </c>
      <c r="F204" t="s">
        <v>84</v>
      </c>
      <c r="G204" t="s">
        <v>24</v>
      </c>
      <c r="H204">
        <v>0.05</v>
      </c>
      <c r="I204" t="s">
        <v>25</v>
      </c>
      <c r="J204">
        <v>1535.09</v>
      </c>
      <c r="K204" t="s">
        <v>47</v>
      </c>
      <c r="L204" t="s">
        <v>27</v>
      </c>
      <c r="M204">
        <v>0</v>
      </c>
      <c r="N204" t="s">
        <v>755</v>
      </c>
      <c r="O204" t="s">
        <v>756</v>
      </c>
      <c r="P204">
        <v>39.92</v>
      </c>
      <c r="Q204" s="2">
        <v>45689</v>
      </c>
      <c r="R204" t="s">
        <v>656</v>
      </c>
      <c r="S204" t="s">
        <v>51</v>
      </c>
      <c r="T204" t="s">
        <v>199</v>
      </c>
      <c r="U204">
        <v>1495.1699999999998</v>
      </c>
      <c r="V204">
        <v>80.794000000000011</v>
      </c>
    </row>
    <row r="205" spans="1:22" x14ac:dyDescent="0.3">
      <c r="A205" t="s">
        <v>329</v>
      </c>
      <c r="B205" t="s">
        <v>70</v>
      </c>
      <c r="C205" t="s">
        <v>22</v>
      </c>
      <c r="D205">
        <v>2</v>
      </c>
      <c r="E205">
        <v>93.49</v>
      </c>
      <c r="F205" t="s">
        <v>84</v>
      </c>
      <c r="G205" t="s">
        <v>24</v>
      </c>
      <c r="H205">
        <v>0.1</v>
      </c>
      <c r="I205" t="s">
        <v>25</v>
      </c>
      <c r="J205">
        <v>168.28</v>
      </c>
      <c r="K205" t="s">
        <v>38</v>
      </c>
      <c r="L205" t="s">
        <v>27</v>
      </c>
      <c r="M205">
        <v>0</v>
      </c>
      <c r="N205" t="s">
        <v>757</v>
      </c>
      <c r="O205" t="s">
        <v>758</v>
      </c>
      <c r="P205">
        <v>26.31</v>
      </c>
      <c r="Q205" s="2">
        <v>45810</v>
      </c>
      <c r="R205" t="s">
        <v>759</v>
      </c>
      <c r="S205" t="s">
        <v>75</v>
      </c>
      <c r="T205" t="s">
        <v>105</v>
      </c>
      <c r="U205">
        <v>141.97</v>
      </c>
      <c r="V205">
        <v>18.698</v>
      </c>
    </row>
    <row r="206" spans="1:22" x14ac:dyDescent="0.3">
      <c r="A206" t="s">
        <v>760</v>
      </c>
      <c r="B206" t="s">
        <v>70</v>
      </c>
      <c r="C206" t="s">
        <v>35</v>
      </c>
      <c r="D206">
        <v>9</v>
      </c>
      <c r="E206">
        <v>228.3</v>
      </c>
      <c r="F206" t="s">
        <v>23</v>
      </c>
      <c r="G206" t="s">
        <v>37</v>
      </c>
      <c r="H206">
        <v>0.05</v>
      </c>
      <c r="I206" t="s">
        <v>65</v>
      </c>
      <c r="J206">
        <v>1951.97</v>
      </c>
      <c r="K206" t="s">
        <v>38</v>
      </c>
      <c r="L206" t="s">
        <v>85</v>
      </c>
      <c r="M206">
        <v>0</v>
      </c>
      <c r="N206" t="s">
        <v>761</v>
      </c>
      <c r="O206" t="s">
        <v>762</v>
      </c>
      <c r="P206">
        <v>8.75</v>
      </c>
      <c r="Q206" s="2">
        <v>44933</v>
      </c>
      <c r="R206" t="s">
        <v>763</v>
      </c>
      <c r="S206" t="s">
        <v>75</v>
      </c>
      <c r="T206" t="s">
        <v>187</v>
      </c>
      <c r="U206">
        <v>1943.22</v>
      </c>
      <c r="V206">
        <v>102.73500000000001</v>
      </c>
    </row>
    <row r="207" spans="1:22" x14ac:dyDescent="0.3">
      <c r="A207" t="s">
        <v>64</v>
      </c>
      <c r="B207" t="s">
        <v>21</v>
      </c>
      <c r="C207" t="s">
        <v>100</v>
      </c>
      <c r="D207">
        <v>19</v>
      </c>
      <c r="E207">
        <v>9.48</v>
      </c>
      <c r="F207" t="s">
        <v>84</v>
      </c>
      <c r="G207" t="s">
        <v>24</v>
      </c>
      <c r="H207">
        <v>0</v>
      </c>
      <c r="I207" t="s">
        <v>46</v>
      </c>
      <c r="J207">
        <v>180.12</v>
      </c>
      <c r="K207" t="s">
        <v>26</v>
      </c>
      <c r="L207" t="s">
        <v>48</v>
      </c>
      <c r="M207">
        <v>0</v>
      </c>
      <c r="N207" t="s">
        <v>764</v>
      </c>
      <c r="O207" t="s">
        <v>765</v>
      </c>
      <c r="P207">
        <v>22.33</v>
      </c>
      <c r="Q207" s="2">
        <v>45569</v>
      </c>
      <c r="R207" t="s">
        <v>766</v>
      </c>
      <c r="S207" t="s">
        <v>31</v>
      </c>
      <c r="T207" t="s">
        <v>32</v>
      </c>
      <c r="U207">
        <v>157.79000000000002</v>
      </c>
      <c r="V207">
        <v>0</v>
      </c>
    </row>
    <row r="208" spans="1:22" x14ac:dyDescent="0.3">
      <c r="A208" t="s">
        <v>767</v>
      </c>
      <c r="B208" t="s">
        <v>21</v>
      </c>
      <c r="C208" t="s">
        <v>127</v>
      </c>
      <c r="D208">
        <v>8</v>
      </c>
      <c r="E208">
        <v>70.790000000000006</v>
      </c>
      <c r="F208" t="s">
        <v>23</v>
      </c>
      <c r="G208" t="s">
        <v>24</v>
      </c>
      <c r="H208">
        <v>0</v>
      </c>
      <c r="I208" t="s">
        <v>78</v>
      </c>
      <c r="J208">
        <v>566.32000000000005</v>
      </c>
      <c r="K208" t="s">
        <v>26</v>
      </c>
      <c r="L208" t="s">
        <v>48</v>
      </c>
      <c r="M208">
        <v>0</v>
      </c>
      <c r="N208" t="s">
        <v>768</v>
      </c>
      <c r="O208" t="s">
        <v>769</v>
      </c>
      <c r="P208">
        <v>46.35</v>
      </c>
      <c r="Q208" s="2">
        <v>45577</v>
      </c>
      <c r="R208" t="s">
        <v>116</v>
      </c>
      <c r="S208" t="s">
        <v>31</v>
      </c>
      <c r="T208" t="s">
        <v>32</v>
      </c>
      <c r="U208">
        <v>519.97</v>
      </c>
      <c r="V208">
        <v>0</v>
      </c>
    </row>
    <row r="209" spans="1:22" x14ac:dyDescent="0.3">
      <c r="A209" t="s">
        <v>770</v>
      </c>
      <c r="B209" t="s">
        <v>70</v>
      </c>
      <c r="C209" t="s">
        <v>100</v>
      </c>
      <c r="D209">
        <v>17</v>
      </c>
      <c r="E209">
        <v>584.70000000000005</v>
      </c>
      <c r="F209" t="s">
        <v>55</v>
      </c>
      <c r="G209" t="s">
        <v>37</v>
      </c>
      <c r="H209">
        <v>0.1</v>
      </c>
      <c r="I209" t="s">
        <v>65</v>
      </c>
      <c r="J209">
        <v>8945.91</v>
      </c>
      <c r="K209" t="s">
        <v>26</v>
      </c>
      <c r="L209" t="s">
        <v>48</v>
      </c>
      <c r="M209">
        <v>1</v>
      </c>
      <c r="N209" t="s">
        <v>771</v>
      </c>
      <c r="O209" t="s">
        <v>772</v>
      </c>
      <c r="P209">
        <v>46.59</v>
      </c>
      <c r="Q209" s="2">
        <v>45658</v>
      </c>
      <c r="R209" t="s">
        <v>773</v>
      </c>
      <c r="S209" t="s">
        <v>75</v>
      </c>
      <c r="T209" t="s">
        <v>187</v>
      </c>
      <c r="U209">
        <v>8899.32</v>
      </c>
      <c r="V209">
        <v>993.99000000000024</v>
      </c>
    </row>
    <row r="210" spans="1:22" x14ac:dyDescent="0.3">
      <c r="A210" t="s">
        <v>240</v>
      </c>
      <c r="B210" t="s">
        <v>21</v>
      </c>
      <c r="C210" t="s">
        <v>127</v>
      </c>
      <c r="D210">
        <v>14</v>
      </c>
      <c r="E210">
        <v>382.19</v>
      </c>
      <c r="F210" t="s">
        <v>23</v>
      </c>
      <c r="G210" t="s">
        <v>24</v>
      </c>
      <c r="H210">
        <v>0.05</v>
      </c>
      <c r="I210" t="s">
        <v>56</v>
      </c>
      <c r="J210">
        <v>5083.13</v>
      </c>
      <c r="K210" t="s">
        <v>47</v>
      </c>
      <c r="L210" t="s">
        <v>85</v>
      </c>
      <c r="M210">
        <v>1</v>
      </c>
      <c r="N210" t="s">
        <v>774</v>
      </c>
      <c r="O210" t="s">
        <v>775</v>
      </c>
      <c r="P210">
        <v>49.12</v>
      </c>
      <c r="Q210" s="2">
        <v>45150</v>
      </c>
      <c r="R210" t="s">
        <v>776</v>
      </c>
      <c r="S210" t="s">
        <v>31</v>
      </c>
      <c r="T210" t="s">
        <v>82</v>
      </c>
      <c r="U210">
        <v>5034.01</v>
      </c>
      <c r="V210">
        <v>267.53300000000002</v>
      </c>
    </row>
    <row r="211" spans="1:22" x14ac:dyDescent="0.3">
      <c r="A211" t="s">
        <v>777</v>
      </c>
      <c r="B211" t="s">
        <v>34</v>
      </c>
      <c r="C211" t="s">
        <v>100</v>
      </c>
      <c r="D211">
        <v>17</v>
      </c>
      <c r="E211">
        <v>15.01</v>
      </c>
      <c r="F211" t="s">
        <v>55</v>
      </c>
      <c r="G211" t="s">
        <v>24</v>
      </c>
      <c r="H211">
        <v>0.15</v>
      </c>
      <c r="I211" t="s">
        <v>78</v>
      </c>
      <c r="J211">
        <v>216.89</v>
      </c>
      <c r="K211" t="s">
        <v>38</v>
      </c>
      <c r="L211" t="s">
        <v>58</v>
      </c>
      <c r="M211">
        <v>1</v>
      </c>
      <c r="N211" t="s">
        <v>778</v>
      </c>
      <c r="O211" t="s">
        <v>779</v>
      </c>
      <c r="P211">
        <v>22</v>
      </c>
      <c r="Q211" s="2">
        <v>45840</v>
      </c>
      <c r="R211" t="s">
        <v>780</v>
      </c>
      <c r="S211" t="s">
        <v>42</v>
      </c>
      <c r="T211" t="s">
        <v>117</v>
      </c>
      <c r="U211">
        <v>194.89</v>
      </c>
      <c r="V211">
        <v>38.275499999999994</v>
      </c>
    </row>
    <row r="212" spans="1:22" x14ac:dyDescent="0.3">
      <c r="A212" t="s">
        <v>200</v>
      </c>
      <c r="B212" t="s">
        <v>34</v>
      </c>
      <c r="C212" t="s">
        <v>100</v>
      </c>
      <c r="D212">
        <v>6</v>
      </c>
      <c r="E212">
        <v>266.67</v>
      </c>
      <c r="F212" t="s">
        <v>23</v>
      </c>
      <c r="G212" t="s">
        <v>24</v>
      </c>
      <c r="H212">
        <v>0.05</v>
      </c>
      <c r="I212" t="s">
        <v>65</v>
      </c>
      <c r="J212">
        <v>1520.02</v>
      </c>
      <c r="K212" t="s">
        <v>38</v>
      </c>
      <c r="L212" t="s">
        <v>48</v>
      </c>
      <c r="M212">
        <v>0</v>
      </c>
      <c r="N212" t="s">
        <v>781</v>
      </c>
      <c r="O212" t="s">
        <v>782</v>
      </c>
      <c r="P212">
        <v>48.49</v>
      </c>
      <c r="Q212" s="2">
        <v>45356</v>
      </c>
      <c r="R212" t="s">
        <v>783</v>
      </c>
      <c r="S212" t="s">
        <v>42</v>
      </c>
      <c r="T212" t="s">
        <v>98</v>
      </c>
      <c r="U212">
        <v>1471.53</v>
      </c>
      <c r="V212">
        <v>80.001000000000005</v>
      </c>
    </row>
    <row r="213" spans="1:22" x14ac:dyDescent="0.3">
      <c r="A213" t="s">
        <v>784</v>
      </c>
      <c r="B213" t="s">
        <v>34</v>
      </c>
      <c r="C213" t="s">
        <v>100</v>
      </c>
      <c r="D213">
        <v>6</v>
      </c>
      <c r="E213">
        <v>505.7</v>
      </c>
      <c r="F213" t="s">
        <v>36</v>
      </c>
      <c r="G213" t="s">
        <v>37</v>
      </c>
      <c r="H213">
        <v>0</v>
      </c>
      <c r="I213" t="s">
        <v>25</v>
      </c>
      <c r="J213">
        <v>3034.2</v>
      </c>
      <c r="K213" t="s">
        <v>47</v>
      </c>
      <c r="L213" t="s">
        <v>48</v>
      </c>
      <c r="M213">
        <v>0</v>
      </c>
      <c r="N213" t="s">
        <v>785</v>
      </c>
      <c r="O213" t="s">
        <v>786</v>
      </c>
      <c r="P213">
        <v>40.380000000000003</v>
      </c>
      <c r="Q213" s="2">
        <v>45117</v>
      </c>
      <c r="R213" t="s">
        <v>787</v>
      </c>
      <c r="S213" t="s">
        <v>42</v>
      </c>
      <c r="T213" t="s">
        <v>117</v>
      </c>
      <c r="U213">
        <v>2993.8199999999997</v>
      </c>
      <c r="V213">
        <v>0</v>
      </c>
    </row>
    <row r="214" spans="1:22" x14ac:dyDescent="0.3">
      <c r="A214" t="s">
        <v>788</v>
      </c>
      <c r="B214" t="s">
        <v>54</v>
      </c>
      <c r="C214" t="s">
        <v>140</v>
      </c>
      <c r="D214">
        <v>5</v>
      </c>
      <c r="E214">
        <v>569.62</v>
      </c>
      <c r="F214" t="s">
        <v>36</v>
      </c>
      <c r="G214" t="s">
        <v>24</v>
      </c>
      <c r="H214">
        <v>0</v>
      </c>
      <c r="I214" t="s">
        <v>78</v>
      </c>
      <c r="J214">
        <v>2848.1</v>
      </c>
      <c r="K214" t="s">
        <v>38</v>
      </c>
      <c r="L214" t="s">
        <v>85</v>
      </c>
      <c r="M214">
        <v>0</v>
      </c>
      <c r="N214" t="s">
        <v>789</v>
      </c>
      <c r="O214" t="s">
        <v>790</v>
      </c>
      <c r="P214">
        <v>48.8</v>
      </c>
      <c r="Q214" s="2">
        <v>45237</v>
      </c>
      <c r="R214" t="s">
        <v>791</v>
      </c>
      <c r="S214" t="s">
        <v>62</v>
      </c>
      <c r="T214" t="s">
        <v>43</v>
      </c>
      <c r="U214">
        <v>2799.2999999999997</v>
      </c>
      <c r="V214">
        <v>0</v>
      </c>
    </row>
    <row r="215" spans="1:22" x14ac:dyDescent="0.3">
      <c r="A215" t="s">
        <v>792</v>
      </c>
      <c r="B215" t="s">
        <v>34</v>
      </c>
      <c r="C215" t="s">
        <v>35</v>
      </c>
      <c r="D215">
        <v>2</v>
      </c>
      <c r="E215">
        <v>296.91000000000003</v>
      </c>
      <c r="F215" t="s">
        <v>84</v>
      </c>
      <c r="G215" t="s">
        <v>24</v>
      </c>
      <c r="H215">
        <v>0.05</v>
      </c>
      <c r="I215" t="s">
        <v>46</v>
      </c>
      <c r="J215">
        <v>564.13</v>
      </c>
      <c r="K215" t="s">
        <v>38</v>
      </c>
      <c r="L215" t="s">
        <v>27</v>
      </c>
      <c r="M215">
        <v>0</v>
      </c>
      <c r="N215" t="s">
        <v>793</v>
      </c>
      <c r="O215" t="s">
        <v>794</v>
      </c>
      <c r="P215">
        <v>44.35</v>
      </c>
      <c r="Q215" s="2">
        <v>45018</v>
      </c>
      <c r="R215" t="s">
        <v>428</v>
      </c>
      <c r="S215" t="s">
        <v>42</v>
      </c>
      <c r="T215" t="s">
        <v>147</v>
      </c>
      <c r="U215">
        <v>519.78</v>
      </c>
      <c r="V215">
        <v>29.691000000000003</v>
      </c>
    </row>
    <row r="216" spans="1:22" x14ac:dyDescent="0.3">
      <c r="A216" t="s">
        <v>795</v>
      </c>
      <c r="B216" t="s">
        <v>34</v>
      </c>
      <c r="C216" t="s">
        <v>140</v>
      </c>
      <c r="D216">
        <v>2</v>
      </c>
      <c r="E216">
        <v>6.19</v>
      </c>
      <c r="F216" t="s">
        <v>23</v>
      </c>
      <c r="G216" t="s">
        <v>37</v>
      </c>
      <c r="H216">
        <v>0.1</v>
      </c>
      <c r="I216" t="s">
        <v>56</v>
      </c>
      <c r="J216">
        <v>11.14</v>
      </c>
      <c r="K216" t="s">
        <v>101</v>
      </c>
      <c r="L216" t="s">
        <v>85</v>
      </c>
      <c r="M216">
        <v>1</v>
      </c>
      <c r="N216" t="s">
        <v>796</v>
      </c>
      <c r="O216" t="s">
        <v>797</v>
      </c>
      <c r="P216">
        <v>47.24</v>
      </c>
      <c r="Q216" s="2">
        <v>44966</v>
      </c>
      <c r="R216" t="s">
        <v>798</v>
      </c>
      <c r="S216" t="s">
        <v>42</v>
      </c>
      <c r="T216" t="s">
        <v>199</v>
      </c>
      <c r="U216">
        <v>-36.1</v>
      </c>
      <c r="V216">
        <v>1.2380000000000002</v>
      </c>
    </row>
    <row r="217" spans="1:22" x14ac:dyDescent="0.3">
      <c r="A217" t="s">
        <v>799</v>
      </c>
      <c r="B217" t="s">
        <v>34</v>
      </c>
      <c r="C217" t="s">
        <v>127</v>
      </c>
      <c r="D217">
        <v>3</v>
      </c>
      <c r="E217">
        <v>136.15</v>
      </c>
      <c r="F217" t="s">
        <v>84</v>
      </c>
      <c r="G217" t="s">
        <v>37</v>
      </c>
      <c r="H217">
        <v>0.1</v>
      </c>
      <c r="I217" t="s">
        <v>78</v>
      </c>
      <c r="J217">
        <v>367.61</v>
      </c>
      <c r="K217" t="s">
        <v>57</v>
      </c>
      <c r="L217" t="s">
        <v>58</v>
      </c>
      <c r="M217">
        <v>0</v>
      </c>
      <c r="N217" t="s">
        <v>800</v>
      </c>
      <c r="O217" t="s">
        <v>801</v>
      </c>
      <c r="P217">
        <v>48.38</v>
      </c>
      <c r="Q217" s="2">
        <v>45361</v>
      </c>
      <c r="R217" t="s">
        <v>482</v>
      </c>
      <c r="S217" t="s">
        <v>42</v>
      </c>
      <c r="T217" t="s">
        <v>98</v>
      </c>
      <c r="U217">
        <v>319.23</v>
      </c>
      <c r="V217">
        <v>40.845000000000006</v>
      </c>
    </row>
    <row r="218" spans="1:22" x14ac:dyDescent="0.3">
      <c r="A218" t="s">
        <v>802</v>
      </c>
      <c r="B218" t="s">
        <v>45</v>
      </c>
      <c r="C218" t="s">
        <v>22</v>
      </c>
      <c r="D218">
        <v>8</v>
      </c>
      <c r="E218">
        <v>561.9</v>
      </c>
      <c r="F218" t="s">
        <v>84</v>
      </c>
      <c r="G218" t="s">
        <v>37</v>
      </c>
      <c r="H218">
        <v>0.15</v>
      </c>
      <c r="I218" t="s">
        <v>94</v>
      </c>
      <c r="J218">
        <v>3820.92</v>
      </c>
      <c r="K218" t="s">
        <v>26</v>
      </c>
      <c r="L218" t="s">
        <v>85</v>
      </c>
      <c r="M218">
        <v>1</v>
      </c>
      <c r="N218" t="s">
        <v>803</v>
      </c>
      <c r="O218" t="s">
        <v>804</v>
      </c>
      <c r="P218">
        <v>15.97</v>
      </c>
      <c r="Q218" s="2">
        <v>45475</v>
      </c>
      <c r="R218" t="s">
        <v>805</v>
      </c>
      <c r="S218" t="s">
        <v>51</v>
      </c>
      <c r="T218" t="s">
        <v>117</v>
      </c>
      <c r="U218">
        <v>3804.9500000000003</v>
      </c>
      <c r="V218">
        <v>674.28</v>
      </c>
    </row>
    <row r="219" spans="1:22" x14ac:dyDescent="0.3">
      <c r="A219" t="s">
        <v>320</v>
      </c>
      <c r="B219" t="s">
        <v>34</v>
      </c>
      <c r="C219" t="s">
        <v>35</v>
      </c>
      <c r="D219">
        <v>20</v>
      </c>
      <c r="E219">
        <v>313.47000000000003</v>
      </c>
      <c r="F219" t="s">
        <v>36</v>
      </c>
      <c r="G219" t="s">
        <v>37</v>
      </c>
      <c r="H219">
        <v>0.15</v>
      </c>
      <c r="I219" t="s">
        <v>25</v>
      </c>
      <c r="J219">
        <v>5328.99</v>
      </c>
      <c r="K219" t="s">
        <v>26</v>
      </c>
      <c r="L219" t="s">
        <v>85</v>
      </c>
      <c r="M219">
        <v>0</v>
      </c>
      <c r="N219" t="s">
        <v>806</v>
      </c>
      <c r="O219" t="s">
        <v>807</v>
      </c>
      <c r="P219">
        <v>18.170000000000002</v>
      </c>
      <c r="Q219" s="2">
        <v>45140</v>
      </c>
      <c r="R219" t="s">
        <v>192</v>
      </c>
      <c r="S219" t="s">
        <v>42</v>
      </c>
      <c r="T219" t="s">
        <v>82</v>
      </c>
      <c r="U219">
        <v>5310.82</v>
      </c>
      <c r="V219">
        <v>940.41000000000008</v>
      </c>
    </row>
    <row r="220" spans="1:22" x14ac:dyDescent="0.3">
      <c r="A220" t="s">
        <v>551</v>
      </c>
      <c r="B220" t="s">
        <v>21</v>
      </c>
      <c r="C220" t="s">
        <v>35</v>
      </c>
      <c r="D220">
        <v>10</v>
      </c>
      <c r="E220">
        <v>278</v>
      </c>
      <c r="F220" t="s">
        <v>36</v>
      </c>
      <c r="G220" t="s">
        <v>37</v>
      </c>
      <c r="H220">
        <v>0</v>
      </c>
      <c r="I220" t="s">
        <v>94</v>
      </c>
      <c r="J220">
        <v>2780</v>
      </c>
      <c r="K220" t="s">
        <v>101</v>
      </c>
      <c r="L220" t="s">
        <v>48</v>
      </c>
      <c r="M220">
        <v>0</v>
      </c>
      <c r="N220" t="s">
        <v>808</v>
      </c>
      <c r="O220" t="s">
        <v>809</v>
      </c>
      <c r="P220">
        <v>24.25</v>
      </c>
      <c r="Q220" s="2">
        <v>45634</v>
      </c>
      <c r="R220" t="s">
        <v>810</v>
      </c>
      <c r="S220" t="s">
        <v>31</v>
      </c>
      <c r="T220" t="s">
        <v>76</v>
      </c>
      <c r="U220">
        <v>2755.75</v>
      </c>
      <c r="V220">
        <v>0</v>
      </c>
    </row>
    <row r="221" spans="1:22" x14ac:dyDescent="0.3">
      <c r="A221" t="s">
        <v>811</v>
      </c>
      <c r="B221" t="s">
        <v>70</v>
      </c>
      <c r="C221" t="s">
        <v>22</v>
      </c>
      <c r="D221">
        <v>13</v>
      </c>
      <c r="E221">
        <v>561.62</v>
      </c>
      <c r="F221" t="s">
        <v>36</v>
      </c>
      <c r="G221" t="s">
        <v>24</v>
      </c>
      <c r="H221">
        <v>0.05</v>
      </c>
      <c r="I221" t="s">
        <v>56</v>
      </c>
      <c r="J221">
        <v>6936.01</v>
      </c>
      <c r="K221" t="s">
        <v>57</v>
      </c>
      <c r="L221" t="s">
        <v>85</v>
      </c>
      <c r="M221">
        <v>0</v>
      </c>
      <c r="N221" t="s">
        <v>812</v>
      </c>
      <c r="O221" t="s">
        <v>813</v>
      </c>
      <c r="P221">
        <v>12.91</v>
      </c>
      <c r="Q221" s="2">
        <v>45108</v>
      </c>
      <c r="R221" t="s">
        <v>33</v>
      </c>
      <c r="S221" t="s">
        <v>75</v>
      </c>
      <c r="T221" t="s">
        <v>117</v>
      </c>
      <c r="U221">
        <v>6923.1</v>
      </c>
      <c r="V221">
        <v>365.05300000000005</v>
      </c>
    </row>
    <row r="222" spans="1:22" x14ac:dyDescent="0.3">
      <c r="A222" t="s">
        <v>196</v>
      </c>
      <c r="B222" t="s">
        <v>21</v>
      </c>
      <c r="C222" t="s">
        <v>109</v>
      </c>
      <c r="D222">
        <v>15</v>
      </c>
      <c r="E222">
        <v>115.48</v>
      </c>
      <c r="F222" t="s">
        <v>84</v>
      </c>
      <c r="G222" t="s">
        <v>37</v>
      </c>
      <c r="H222">
        <v>0.15</v>
      </c>
      <c r="I222" t="s">
        <v>56</v>
      </c>
      <c r="J222">
        <v>1472.37</v>
      </c>
      <c r="K222" t="s">
        <v>101</v>
      </c>
      <c r="L222" t="s">
        <v>48</v>
      </c>
      <c r="M222">
        <v>0</v>
      </c>
      <c r="N222" t="s">
        <v>814</v>
      </c>
      <c r="O222" t="s">
        <v>815</v>
      </c>
      <c r="P222">
        <v>6.04</v>
      </c>
      <c r="Q222" s="2">
        <v>45323</v>
      </c>
      <c r="R222" t="s">
        <v>739</v>
      </c>
      <c r="S222" t="s">
        <v>31</v>
      </c>
      <c r="T222" t="s">
        <v>199</v>
      </c>
      <c r="U222">
        <v>1466.33</v>
      </c>
      <c r="V222">
        <v>259.83</v>
      </c>
    </row>
    <row r="223" spans="1:22" x14ac:dyDescent="0.3">
      <c r="A223" t="s">
        <v>816</v>
      </c>
      <c r="B223" t="s">
        <v>45</v>
      </c>
      <c r="C223" t="s">
        <v>109</v>
      </c>
      <c r="D223">
        <v>19</v>
      </c>
      <c r="E223">
        <v>401.68</v>
      </c>
      <c r="F223" t="s">
        <v>36</v>
      </c>
      <c r="G223" t="s">
        <v>24</v>
      </c>
      <c r="H223">
        <v>0.05</v>
      </c>
      <c r="I223" t="s">
        <v>25</v>
      </c>
      <c r="J223">
        <v>7250.32</v>
      </c>
      <c r="K223" t="s">
        <v>38</v>
      </c>
      <c r="L223" t="s">
        <v>27</v>
      </c>
      <c r="M223">
        <v>1</v>
      </c>
      <c r="N223" t="s">
        <v>817</v>
      </c>
      <c r="O223" t="s">
        <v>818</v>
      </c>
      <c r="P223">
        <v>37.770000000000003</v>
      </c>
      <c r="Q223" s="2">
        <v>45417</v>
      </c>
      <c r="R223" t="s">
        <v>783</v>
      </c>
      <c r="S223" t="s">
        <v>51</v>
      </c>
      <c r="T223" t="s">
        <v>63</v>
      </c>
      <c r="U223">
        <v>7212.5499999999993</v>
      </c>
      <c r="V223">
        <v>381.596</v>
      </c>
    </row>
    <row r="224" spans="1:22" x14ac:dyDescent="0.3">
      <c r="A224" t="s">
        <v>819</v>
      </c>
      <c r="B224" t="s">
        <v>70</v>
      </c>
      <c r="C224" t="s">
        <v>22</v>
      </c>
      <c r="D224">
        <v>9</v>
      </c>
      <c r="E224">
        <v>363.39</v>
      </c>
      <c r="F224" t="s">
        <v>23</v>
      </c>
      <c r="G224" t="s">
        <v>24</v>
      </c>
      <c r="H224">
        <v>0.05</v>
      </c>
      <c r="I224" t="s">
        <v>78</v>
      </c>
      <c r="J224">
        <v>3106.98</v>
      </c>
      <c r="K224" t="s">
        <v>57</v>
      </c>
      <c r="L224" t="s">
        <v>48</v>
      </c>
      <c r="M224">
        <v>0</v>
      </c>
      <c r="N224" t="s">
        <v>820</v>
      </c>
      <c r="O224" t="s">
        <v>215</v>
      </c>
      <c r="P224">
        <v>41.64</v>
      </c>
      <c r="Q224" s="2">
        <v>45334</v>
      </c>
      <c r="R224" t="s">
        <v>821</v>
      </c>
      <c r="S224" t="s">
        <v>75</v>
      </c>
      <c r="T224" t="s">
        <v>199</v>
      </c>
      <c r="U224">
        <v>3065.34</v>
      </c>
      <c r="V224">
        <v>163.52549999999999</v>
      </c>
    </row>
    <row r="225" spans="1:22" x14ac:dyDescent="0.3">
      <c r="A225" t="s">
        <v>822</v>
      </c>
      <c r="B225" t="s">
        <v>34</v>
      </c>
      <c r="C225" t="s">
        <v>35</v>
      </c>
      <c r="D225">
        <v>20</v>
      </c>
      <c r="E225">
        <v>504.22</v>
      </c>
      <c r="F225" t="s">
        <v>55</v>
      </c>
      <c r="G225" t="s">
        <v>24</v>
      </c>
      <c r="H225">
        <v>0</v>
      </c>
      <c r="I225" t="s">
        <v>56</v>
      </c>
      <c r="J225">
        <v>10084.4</v>
      </c>
      <c r="K225" t="s">
        <v>26</v>
      </c>
      <c r="L225" t="s">
        <v>27</v>
      </c>
      <c r="M225">
        <v>0</v>
      </c>
      <c r="N225" t="s">
        <v>823</v>
      </c>
      <c r="O225" t="s">
        <v>824</v>
      </c>
      <c r="P225">
        <v>14.61</v>
      </c>
      <c r="Q225" s="2">
        <v>45572</v>
      </c>
      <c r="R225" t="s">
        <v>825</v>
      </c>
      <c r="S225" t="s">
        <v>42</v>
      </c>
      <c r="T225" t="s">
        <v>32</v>
      </c>
      <c r="U225">
        <v>10069.789999999999</v>
      </c>
      <c r="V225">
        <v>0</v>
      </c>
    </row>
    <row r="226" spans="1:22" x14ac:dyDescent="0.3">
      <c r="A226" t="s">
        <v>826</v>
      </c>
      <c r="B226" t="s">
        <v>70</v>
      </c>
      <c r="C226" t="s">
        <v>100</v>
      </c>
      <c r="D226">
        <v>7</v>
      </c>
      <c r="E226">
        <v>193.66</v>
      </c>
      <c r="F226" t="s">
        <v>84</v>
      </c>
      <c r="G226" t="s">
        <v>24</v>
      </c>
      <c r="H226">
        <v>0.1</v>
      </c>
      <c r="I226" t="s">
        <v>78</v>
      </c>
      <c r="J226">
        <v>1220.06</v>
      </c>
      <c r="K226" t="s">
        <v>101</v>
      </c>
      <c r="L226" t="s">
        <v>85</v>
      </c>
      <c r="M226">
        <v>0</v>
      </c>
      <c r="N226" t="s">
        <v>827</v>
      </c>
      <c r="O226" t="s">
        <v>828</v>
      </c>
      <c r="P226">
        <v>39.01</v>
      </c>
      <c r="Q226" s="2">
        <v>45078</v>
      </c>
      <c r="R226" t="s">
        <v>829</v>
      </c>
      <c r="S226" t="s">
        <v>75</v>
      </c>
      <c r="T226" t="s">
        <v>105</v>
      </c>
      <c r="U226">
        <v>1181.05</v>
      </c>
      <c r="V226">
        <v>135.56199999999998</v>
      </c>
    </row>
    <row r="227" spans="1:22" x14ac:dyDescent="0.3">
      <c r="A227" t="s">
        <v>776</v>
      </c>
      <c r="B227" t="s">
        <v>45</v>
      </c>
      <c r="C227" t="s">
        <v>109</v>
      </c>
      <c r="D227">
        <v>18</v>
      </c>
      <c r="E227">
        <v>62.08</v>
      </c>
      <c r="F227" t="s">
        <v>23</v>
      </c>
      <c r="G227" t="s">
        <v>37</v>
      </c>
      <c r="H227">
        <v>0</v>
      </c>
      <c r="I227" t="s">
        <v>78</v>
      </c>
      <c r="J227">
        <v>1117.44</v>
      </c>
      <c r="K227" t="s">
        <v>101</v>
      </c>
      <c r="L227" t="s">
        <v>58</v>
      </c>
      <c r="M227">
        <v>1</v>
      </c>
      <c r="N227" t="s">
        <v>830</v>
      </c>
      <c r="O227" t="s">
        <v>831</v>
      </c>
      <c r="P227">
        <v>8.67</v>
      </c>
      <c r="Q227" s="2">
        <v>45242</v>
      </c>
      <c r="R227" t="s">
        <v>832</v>
      </c>
      <c r="S227" t="s">
        <v>51</v>
      </c>
      <c r="T227" t="s">
        <v>43</v>
      </c>
      <c r="U227">
        <v>1108.77</v>
      </c>
      <c r="V227">
        <v>0</v>
      </c>
    </row>
    <row r="228" spans="1:22" x14ac:dyDescent="0.3">
      <c r="A228" t="s">
        <v>530</v>
      </c>
      <c r="B228" t="s">
        <v>21</v>
      </c>
      <c r="C228" t="s">
        <v>22</v>
      </c>
      <c r="D228">
        <v>6</v>
      </c>
      <c r="E228">
        <v>249.09</v>
      </c>
      <c r="F228" t="s">
        <v>23</v>
      </c>
      <c r="G228" t="s">
        <v>37</v>
      </c>
      <c r="H228">
        <v>0.05</v>
      </c>
      <c r="I228" t="s">
        <v>56</v>
      </c>
      <c r="J228">
        <v>1419.81</v>
      </c>
      <c r="K228" t="s">
        <v>47</v>
      </c>
      <c r="L228" t="s">
        <v>48</v>
      </c>
      <c r="M228">
        <v>0</v>
      </c>
      <c r="N228" t="s">
        <v>833</v>
      </c>
      <c r="O228" t="s">
        <v>834</v>
      </c>
      <c r="P228">
        <v>20.38</v>
      </c>
      <c r="Q228" s="2">
        <v>45752</v>
      </c>
      <c r="R228" t="s">
        <v>510</v>
      </c>
      <c r="S228" t="s">
        <v>31</v>
      </c>
      <c r="T228" t="s">
        <v>147</v>
      </c>
      <c r="U228">
        <v>1399.4299999999998</v>
      </c>
      <c r="V228">
        <v>74.727000000000004</v>
      </c>
    </row>
    <row r="229" spans="1:22" x14ac:dyDescent="0.3">
      <c r="A229" t="s">
        <v>719</v>
      </c>
      <c r="B229" t="s">
        <v>70</v>
      </c>
      <c r="C229" t="s">
        <v>71</v>
      </c>
      <c r="D229">
        <v>20</v>
      </c>
      <c r="E229">
        <v>400.05</v>
      </c>
      <c r="F229" t="s">
        <v>55</v>
      </c>
      <c r="G229" t="s">
        <v>24</v>
      </c>
      <c r="H229">
        <v>0.1</v>
      </c>
      <c r="I229" t="s">
        <v>78</v>
      </c>
      <c r="J229">
        <v>7200.9</v>
      </c>
      <c r="K229" t="s">
        <v>38</v>
      </c>
      <c r="L229" t="s">
        <v>27</v>
      </c>
      <c r="M229">
        <v>0</v>
      </c>
      <c r="N229" t="s">
        <v>835</v>
      </c>
      <c r="O229" t="s">
        <v>836</v>
      </c>
      <c r="P229">
        <v>24.41</v>
      </c>
      <c r="Q229" s="2">
        <v>45962</v>
      </c>
      <c r="R229" t="s">
        <v>837</v>
      </c>
      <c r="S229" t="s">
        <v>75</v>
      </c>
      <c r="T229" t="s">
        <v>43</v>
      </c>
      <c r="U229">
        <v>7176.49</v>
      </c>
      <c r="V229">
        <v>800.1</v>
      </c>
    </row>
    <row r="230" spans="1:22" x14ac:dyDescent="0.3">
      <c r="A230" t="s">
        <v>802</v>
      </c>
      <c r="B230" t="s">
        <v>70</v>
      </c>
      <c r="C230" t="s">
        <v>35</v>
      </c>
      <c r="D230">
        <v>13</v>
      </c>
      <c r="E230">
        <v>448.68</v>
      </c>
      <c r="F230" t="s">
        <v>23</v>
      </c>
      <c r="G230" t="s">
        <v>24</v>
      </c>
      <c r="H230">
        <v>0.1</v>
      </c>
      <c r="I230" t="s">
        <v>78</v>
      </c>
      <c r="J230">
        <v>5249.56</v>
      </c>
      <c r="K230" t="s">
        <v>101</v>
      </c>
      <c r="L230" t="s">
        <v>85</v>
      </c>
      <c r="M230">
        <v>1</v>
      </c>
      <c r="N230" t="s">
        <v>838</v>
      </c>
      <c r="O230" t="s">
        <v>839</v>
      </c>
      <c r="P230">
        <v>16.82</v>
      </c>
      <c r="Q230" s="2">
        <v>45475</v>
      </c>
      <c r="R230" t="s">
        <v>514</v>
      </c>
      <c r="S230" t="s">
        <v>75</v>
      </c>
      <c r="T230" t="s">
        <v>117</v>
      </c>
      <c r="U230">
        <v>5232.7400000000007</v>
      </c>
      <c r="V230">
        <v>583.28399999999999</v>
      </c>
    </row>
    <row r="231" spans="1:22" x14ac:dyDescent="0.3">
      <c r="A231" t="s">
        <v>134</v>
      </c>
      <c r="B231" t="s">
        <v>54</v>
      </c>
      <c r="C231" t="s">
        <v>35</v>
      </c>
      <c r="D231">
        <v>14</v>
      </c>
      <c r="E231">
        <v>113.77</v>
      </c>
      <c r="F231" t="s">
        <v>36</v>
      </c>
      <c r="G231" t="s">
        <v>37</v>
      </c>
      <c r="H231">
        <v>0</v>
      </c>
      <c r="I231" t="s">
        <v>65</v>
      </c>
      <c r="J231">
        <v>1592.78</v>
      </c>
      <c r="K231" t="s">
        <v>47</v>
      </c>
      <c r="L231" t="s">
        <v>85</v>
      </c>
      <c r="M231">
        <v>0</v>
      </c>
      <c r="N231" t="s">
        <v>840</v>
      </c>
      <c r="O231" t="s">
        <v>513</v>
      </c>
      <c r="P231">
        <v>25.35</v>
      </c>
      <c r="Q231" s="2">
        <v>45239</v>
      </c>
      <c r="R231" t="s">
        <v>841</v>
      </c>
      <c r="S231" t="s">
        <v>62</v>
      </c>
      <c r="T231" t="s">
        <v>43</v>
      </c>
      <c r="U231">
        <v>1567.43</v>
      </c>
      <c r="V231">
        <v>0</v>
      </c>
    </row>
    <row r="232" spans="1:22" x14ac:dyDescent="0.3">
      <c r="A232" t="s">
        <v>225</v>
      </c>
      <c r="B232" t="s">
        <v>45</v>
      </c>
      <c r="C232" t="s">
        <v>140</v>
      </c>
      <c r="D232">
        <v>2</v>
      </c>
      <c r="E232">
        <v>89.6</v>
      </c>
      <c r="F232" t="s">
        <v>84</v>
      </c>
      <c r="G232" t="s">
        <v>37</v>
      </c>
      <c r="H232">
        <v>0</v>
      </c>
      <c r="I232" t="s">
        <v>78</v>
      </c>
      <c r="J232">
        <v>179.2</v>
      </c>
      <c r="K232" t="s">
        <v>57</v>
      </c>
      <c r="L232" t="s">
        <v>85</v>
      </c>
      <c r="M232">
        <v>0</v>
      </c>
      <c r="N232" t="s">
        <v>842</v>
      </c>
      <c r="O232" t="s">
        <v>843</v>
      </c>
      <c r="P232">
        <v>23.69</v>
      </c>
      <c r="Q232" s="2">
        <v>45906</v>
      </c>
      <c r="R232" t="s">
        <v>229</v>
      </c>
      <c r="S232" t="s">
        <v>51</v>
      </c>
      <c r="T232" t="s">
        <v>52</v>
      </c>
      <c r="U232">
        <v>155.51</v>
      </c>
      <c r="V232">
        <v>0</v>
      </c>
    </row>
    <row r="233" spans="1:22" x14ac:dyDescent="0.3">
      <c r="A233" t="s">
        <v>844</v>
      </c>
      <c r="B233" t="s">
        <v>70</v>
      </c>
      <c r="C233" t="s">
        <v>22</v>
      </c>
      <c r="D233">
        <v>3</v>
      </c>
      <c r="E233">
        <v>391.92</v>
      </c>
      <c r="F233" t="s">
        <v>84</v>
      </c>
      <c r="G233" t="s">
        <v>24</v>
      </c>
      <c r="H233">
        <v>0.15</v>
      </c>
      <c r="I233" t="s">
        <v>25</v>
      </c>
      <c r="J233">
        <v>999.4</v>
      </c>
      <c r="K233" t="s">
        <v>38</v>
      </c>
      <c r="L233" t="s">
        <v>58</v>
      </c>
      <c r="M233">
        <v>0</v>
      </c>
      <c r="N233" t="s">
        <v>845</v>
      </c>
      <c r="O233" t="s">
        <v>846</v>
      </c>
      <c r="P233">
        <v>9.86</v>
      </c>
      <c r="Q233" s="2">
        <v>45814</v>
      </c>
      <c r="R233" t="s">
        <v>228</v>
      </c>
      <c r="S233" t="s">
        <v>75</v>
      </c>
      <c r="T233" t="s">
        <v>105</v>
      </c>
      <c r="U233">
        <v>989.54</v>
      </c>
      <c r="V233">
        <v>176.364</v>
      </c>
    </row>
    <row r="234" spans="1:22" x14ac:dyDescent="0.3">
      <c r="A234" t="s">
        <v>44</v>
      </c>
      <c r="B234" t="s">
        <v>70</v>
      </c>
      <c r="C234" t="s">
        <v>127</v>
      </c>
      <c r="D234">
        <v>10</v>
      </c>
      <c r="E234">
        <v>209.95</v>
      </c>
      <c r="F234" t="s">
        <v>84</v>
      </c>
      <c r="G234" t="s">
        <v>24</v>
      </c>
      <c r="H234">
        <v>0.1</v>
      </c>
      <c r="I234" t="s">
        <v>65</v>
      </c>
      <c r="J234">
        <v>1889.55</v>
      </c>
      <c r="K234" t="s">
        <v>47</v>
      </c>
      <c r="L234" t="s">
        <v>27</v>
      </c>
      <c r="M234">
        <v>0</v>
      </c>
      <c r="N234" t="s">
        <v>847</v>
      </c>
      <c r="O234" t="s">
        <v>848</v>
      </c>
      <c r="P234">
        <v>10.99</v>
      </c>
      <c r="Q234" s="2">
        <v>45170</v>
      </c>
      <c r="R234" t="s">
        <v>849</v>
      </c>
      <c r="S234" t="s">
        <v>75</v>
      </c>
      <c r="T234" t="s">
        <v>52</v>
      </c>
      <c r="U234">
        <v>1878.56</v>
      </c>
      <c r="V234">
        <v>209.95000000000002</v>
      </c>
    </row>
    <row r="235" spans="1:22" x14ac:dyDescent="0.3">
      <c r="A235" t="s">
        <v>850</v>
      </c>
      <c r="B235" t="s">
        <v>34</v>
      </c>
      <c r="C235" t="s">
        <v>71</v>
      </c>
      <c r="D235">
        <v>7</v>
      </c>
      <c r="E235">
        <v>18.36</v>
      </c>
      <c r="F235" t="s">
        <v>55</v>
      </c>
      <c r="G235" t="s">
        <v>37</v>
      </c>
      <c r="H235">
        <v>0.1</v>
      </c>
      <c r="I235" t="s">
        <v>25</v>
      </c>
      <c r="J235">
        <v>115.67</v>
      </c>
      <c r="K235" t="s">
        <v>26</v>
      </c>
      <c r="L235" t="s">
        <v>48</v>
      </c>
      <c r="M235">
        <v>0</v>
      </c>
      <c r="N235" t="s">
        <v>851</v>
      </c>
      <c r="O235" t="s">
        <v>852</v>
      </c>
      <c r="P235">
        <v>48.92</v>
      </c>
      <c r="Q235" s="2">
        <v>45086</v>
      </c>
      <c r="R235" t="s">
        <v>134</v>
      </c>
      <c r="S235" t="s">
        <v>42</v>
      </c>
      <c r="T235" t="s">
        <v>105</v>
      </c>
      <c r="U235">
        <v>66.75</v>
      </c>
      <c r="V235">
        <v>12.851999999999999</v>
      </c>
    </row>
    <row r="236" spans="1:22" x14ac:dyDescent="0.3">
      <c r="A236" t="s">
        <v>402</v>
      </c>
      <c r="B236" t="s">
        <v>70</v>
      </c>
      <c r="C236" t="s">
        <v>109</v>
      </c>
      <c r="D236">
        <v>15</v>
      </c>
      <c r="E236">
        <v>298.70999999999998</v>
      </c>
      <c r="F236" t="s">
        <v>36</v>
      </c>
      <c r="G236" t="s">
        <v>37</v>
      </c>
      <c r="H236">
        <v>0</v>
      </c>
      <c r="I236" t="s">
        <v>94</v>
      </c>
      <c r="J236">
        <v>4480.6499999999996</v>
      </c>
      <c r="K236" t="s">
        <v>38</v>
      </c>
      <c r="L236" t="s">
        <v>58</v>
      </c>
      <c r="M236">
        <v>0</v>
      </c>
      <c r="N236" t="s">
        <v>853</v>
      </c>
      <c r="O236" t="s">
        <v>854</v>
      </c>
      <c r="P236">
        <v>11.38</v>
      </c>
      <c r="Q236" s="2">
        <v>44927</v>
      </c>
      <c r="R236" t="s">
        <v>276</v>
      </c>
      <c r="S236" t="s">
        <v>75</v>
      </c>
      <c r="T236" t="s">
        <v>187</v>
      </c>
      <c r="U236">
        <v>4469.2699999999995</v>
      </c>
      <c r="V236">
        <v>0</v>
      </c>
    </row>
    <row r="237" spans="1:22" x14ac:dyDescent="0.3">
      <c r="A237" t="s">
        <v>855</v>
      </c>
      <c r="B237" t="s">
        <v>54</v>
      </c>
      <c r="C237" t="s">
        <v>109</v>
      </c>
      <c r="D237">
        <v>1</v>
      </c>
      <c r="E237">
        <v>103.13</v>
      </c>
      <c r="F237" t="s">
        <v>23</v>
      </c>
      <c r="G237" t="s">
        <v>24</v>
      </c>
      <c r="H237">
        <v>0</v>
      </c>
      <c r="I237" t="s">
        <v>94</v>
      </c>
      <c r="J237">
        <v>103.13</v>
      </c>
      <c r="K237" t="s">
        <v>26</v>
      </c>
      <c r="L237" t="s">
        <v>85</v>
      </c>
      <c r="M237">
        <v>0</v>
      </c>
      <c r="N237" t="s">
        <v>856</v>
      </c>
      <c r="O237" t="s">
        <v>857</v>
      </c>
      <c r="P237">
        <v>42.38</v>
      </c>
      <c r="Q237" s="2">
        <v>45383</v>
      </c>
      <c r="R237" t="s">
        <v>858</v>
      </c>
      <c r="S237" t="s">
        <v>62</v>
      </c>
      <c r="T237" t="s">
        <v>147</v>
      </c>
      <c r="U237">
        <v>60.749999999999993</v>
      </c>
      <c r="V237">
        <v>0</v>
      </c>
    </row>
    <row r="238" spans="1:22" x14ac:dyDescent="0.3">
      <c r="A238" t="s">
        <v>557</v>
      </c>
      <c r="B238" t="s">
        <v>70</v>
      </c>
      <c r="C238" t="s">
        <v>127</v>
      </c>
      <c r="D238">
        <v>1</v>
      </c>
      <c r="E238">
        <v>541.9</v>
      </c>
      <c r="F238" t="s">
        <v>84</v>
      </c>
      <c r="G238" t="s">
        <v>37</v>
      </c>
      <c r="H238">
        <v>0.05</v>
      </c>
      <c r="I238" t="s">
        <v>65</v>
      </c>
      <c r="J238">
        <v>514.80999999999995</v>
      </c>
      <c r="K238" t="s">
        <v>47</v>
      </c>
      <c r="L238" t="s">
        <v>27</v>
      </c>
      <c r="M238">
        <v>0</v>
      </c>
      <c r="N238" t="s">
        <v>859</v>
      </c>
      <c r="O238" t="s">
        <v>860</v>
      </c>
      <c r="P238">
        <v>40.35</v>
      </c>
      <c r="Q238" s="2">
        <v>45171</v>
      </c>
      <c r="R238" t="s">
        <v>861</v>
      </c>
      <c r="S238" t="s">
        <v>75</v>
      </c>
      <c r="T238" t="s">
        <v>52</v>
      </c>
      <c r="U238">
        <v>474.45999999999992</v>
      </c>
      <c r="V238">
        <v>27.094999999999999</v>
      </c>
    </row>
    <row r="239" spans="1:22" x14ac:dyDescent="0.3">
      <c r="A239" t="s">
        <v>470</v>
      </c>
      <c r="B239" t="s">
        <v>54</v>
      </c>
      <c r="C239" t="s">
        <v>127</v>
      </c>
      <c r="D239">
        <v>11</v>
      </c>
      <c r="E239">
        <v>119.84</v>
      </c>
      <c r="F239" t="s">
        <v>55</v>
      </c>
      <c r="G239" t="s">
        <v>24</v>
      </c>
      <c r="H239">
        <v>0.1</v>
      </c>
      <c r="I239" t="s">
        <v>65</v>
      </c>
      <c r="J239">
        <v>1186.42</v>
      </c>
      <c r="K239" t="s">
        <v>26</v>
      </c>
      <c r="L239" t="s">
        <v>58</v>
      </c>
      <c r="M239">
        <v>0</v>
      </c>
      <c r="N239" t="s">
        <v>862</v>
      </c>
      <c r="O239" t="s">
        <v>863</v>
      </c>
      <c r="P239">
        <v>16.64</v>
      </c>
      <c r="Q239" s="2">
        <v>44996</v>
      </c>
      <c r="R239" t="s">
        <v>389</v>
      </c>
      <c r="S239" t="s">
        <v>62</v>
      </c>
      <c r="T239" t="s">
        <v>98</v>
      </c>
      <c r="U239">
        <v>1169.78</v>
      </c>
      <c r="V239">
        <v>131.82400000000001</v>
      </c>
    </row>
    <row r="240" spans="1:22" x14ac:dyDescent="0.3">
      <c r="A240" t="s">
        <v>864</v>
      </c>
      <c r="B240" t="s">
        <v>34</v>
      </c>
      <c r="C240" t="s">
        <v>22</v>
      </c>
      <c r="D240">
        <v>9</v>
      </c>
      <c r="E240">
        <v>446.49</v>
      </c>
      <c r="F240" t="s">
        <v>55</v>
      </c>
      <c r="G240" t="s">
        <v>24</v>
      </c>
      <c r="H240">
        <v>0.15</v>
      </c>
      <c r="I240" t="s">
        <v>46</v>
      </c>
      <c r="J240">
        <v>3415.65</v>
      </c>
      <c r="K240" t="s">
        <v>47</v>
      </c>
      <c r="L240" t="s">
        <v>85</v>
      </c>
      <c r="M240">
        <v>0</v>
      </c>
      <c r="N240" t="s">
        <v>865</v>
      </c>
      <c r="O240" t="s">
        <v>866</v>
      </c>
      <c r="P240">
        <v>5.77</v>
      </c>
      <c r="Q240" s="2">
        <v>45514</v>
      </c>
      <c r="R240" t="s">
        <v>485</v>
      </c>
      <c r="S240" t="s">
        <v>42</v>
      </c>
      <c r="T240" t="s">
        <v>82</v>
      </c>
      <c r="U240">
        <v>3409.88</v>
      </c>
      <c r="V240">
        <v>602.76149999999996</v>
      </c>
    </row>
    <row r="241" spans="1:22" x14ac:dyDescent="0.3">
      <c r="A241" t="s">
        <v>44</v>
      </c>
      <c r="B241" t="s">
        <v>34</v>
      </c>
      <c r="C241" t="s">
        <v>22</v>
      </c>
      <c r="D241">
        <v>16</v>
      </c>
      <c r="E241">
        <v>258.82</v>
      </c>
      <c r="F241" t="s">
        <v>55</v>
      </c>
      <c r="G241" t="s">
        <v>37</v>
      </c>
      <c r="H241">
        <v>0.1</v>
      </c>
      <c r="I241" t="s">
        <v>78</v>
      </c>
      <c r="J241">
        <v>3727.01</v>
      </c>
      <c r="K241" t="s">
        <v>26</v>
      </c>
      <c r="L241" t="s">
        <v>58</v>
      </c>
      <c r="M241">
        <v>0</v>
      </c>
      <c r="N241" t="s">
        <v>867</v>
      </c>
      <c r="O241" t="s">
        <v>868</v>
      </c>
      <c r="P241">
        <v>46.93</v>
      </c>
      <c r="Q241" s="2">
        <v>45170</v>
      </c>
      <c r="R241" t="s">
        <v>869</v>
      </c>
      <c r="S241" t="s">
        <v>42</v>
      </c>
      <c r="T241" t="s">
        <v>52</v>
      </c>
      <c r="U241">
        <v>3680.0800000000004</v>
      </c>
      <c r="V241">
        <v>414.11200000000002</v>
      </c>
    </row>
    <row r="242" spans="1:22" x14ac:dyDescent="0.3">
      <c r="A242" t="s">
        <v>783</v>
      </c>
      <c r="B242" t="s">
        <v>45</v>
      </c>
      <c r="C242" t="s">
        <v>127</v>
      </c>
      <c r="D242">
        <v>12</v>
      </c>
      <c r="E242">
        <v>438.77</v>
      </c>
      <c r="F242" t="s">
        <v>36</v>
      </c>
      <c r="G242" t="s">
        <v>37</v>
      </c>
      <c r="H242">
        <v>0</v>
      </c>
      <c r="I242" t="s">
        <v>65</v>
      </c>
      <c r="J242">
        <v>5265.24</v>
      </c>
      <c r="K242" t="s">
        <v>38</v>
      </c>
      <c r="L242" t="s">
        <v>58</v>
      </c>
      <c r="M242">
        <v>0</v>
      </c>
      <c r="N242" t="s">
        <v>870</v>
      </c>
      <c r="O242" t="s">
        <v>871</v>
      </c>
      <c r="P242">
        <v>9.31</v>
      </c>
      <c r="Q242" s="2">
        <v>45601</v>
      </c>
      <c r="R242" t="s">
        <v>872</v>
      </c>
      <c r="S242" t="s">
        <v>51</v>
      </c>
      <c r="T242" t="s">
        <v>43</v>
      </c>
      <c r="U242">
        <v>5255.9299999999994</v>
      </c>
      <c r="V242">
        <v>0</v>
      </c>
    </row>
    <row r="243" spans="1:22" x14ac:dyDescent="0.3">
      <c r="A243" t="s">
        <v>873</v>
      </c>
      <c r="B243" t="s">
        <v>45</v>
      </c>
      <c r="C243" t="s">
        <v>140</v>
      </c>
      <c r="D243">
        <v>6</v>
      </c>
      <c r="E243">
        <v>115.94</v>
      </c>
      <c r="F243" t="s">
        <v>84</v>
      </c>
      <c r="G243" t="s">
        <v>24</v>
      </c>
      <c r="H243">
        <v>0.05</v>
      </c>
      <c r="I243" t="s">
        <v>46</v>
      </c>
      <c r="J243">
        <v>660.86</v>
      </c>
      <c r="K243" t="s">
        <v>101</v>
      </c>
      <c r="L243" t="s">
        <v>58</v>
      </c>
      <c r="M243">
        <v>0</v>
      </c>
      <c r="N243" t="s">
        <v>874</v>
      </c>
      <c r="O243" t="s">
        <v>875</v>
      </c>
      <c r="P243">
        <v>23.91</v>
      </c>
      <c r="Q243" s="2">
        <v>45211</v>
      </c>
      <c r="R243" t="s">
        <v>182</v>
      </c>
      <c r="S243" t="s">
        <v>51</v>
      </c>
      <c r="T243" t="s">
        <v>32</v>
      </c>
      <c r="U243">
        <v>636.95000000000005</v>
      </c>
      <c r="V243">
        <v>34.782000000000004</v>
      </c>
    </row>
    <row r="244" spans="1:22" x14ac:dyDescent="0.3">
      <c r="A244" t="s">
        <v>876</v>
      </c>
      <c r="B244" t="s">
        <v>21</v>
      </c>
      <c r="C244" t="s">
        <v>140</v>
      </c>
      <c r="D244">
        <v>19</v>
      </c>
      <c r="E244">
        <v>275.77999999999997</v>
      </c>
      <c r="F244" t="s">
        <v>36</v>
      </c>
      <c r="G244" t="s">
        <v>37</v>
      </c>
      <c r="H244">
        <v>0</v>
      </c>
      <c r="I244" t="s">
        <v>56</v>
      </c>
      <c r="J244">
        <v>5239.82</v>
      </c>
      <c r="K244" t="s">
        <v>47</v>
      </c>
      <c r="L244" t="s">
        <v>58</v>
      </c>
      <c r="M244">
        <v>0</v>
      </c>
      <c r="N244" t="s">
        <v>877</v>
      </c>
      <c r="O244" t="s">
        <v>878</v>
      </c>
      <c r="P244">
        <v>47</v>
      </c>
      <c r="Q244" s="2">
        <v>45353</v>
      </c>
      <c r="R244" t="s">
        <v>879</v>
      </c>
      <c r="S244" t="s">
        <v>31</v>
      </c>
      <c r="T244" t="s">
        <v>98</v>
      </c>
      <c r="U244">
        <v>5192.82</v>
      </c>
      <c r="V244">
        <v>0</v>
      </c>
    </row>
    <row r="245" spans="1:22" x14ac:dyDescent="0.3">
      <c r="A245" t="s">
        <v>880</v>
      </c>
      <c r="B245" t="s">
        <v>54</v>
      </c>
      <c r="C245" t="s">
        <v>71</v>
      </c>
      <c r="D245">
        <v>1</v>
      </c>
      <c r="E245">
        <v>381.21</v>
      </c>
      <c r="F245" t="s">
        <v>55</v>
      </c>
      <c r="G245" t="s">
        <v>24</v>
      </c>
      <c r="H245">
        <v>0.15</v>
      </c>
      <c r="I245" t="s">
        <v>94</v>
      </c>
      <c r="J245">
        <v>324.02999999999997</v>
      </c>
      <c r="K245" t="s">
        <v>26</v>
      </c>
      <c r="L245" t="s">
        <v>48</v>
      </c>
      <c r="M245">
        <v>0</v>
      </c>
      <c r="N245" t="s">
        <v>881</v>
      </c>
      <c r="O245" t="s">
        <v>882</v>
      </c>
      <c r="P245">
        <v>9.9499999999999993</v>
      </c>
      <c r="Q245" s="2">
        <v>45446</v>
      </c>
      <c r="R245" t="s">
        <v>883</v>
      </c>
      <c r="S245" t="s">
        <v>62</v>
      </c>
      <c r="T245" t="s">
        <v>105</v>
      </c>
      <c r="U245">
        <v>314.08</v>
      </c>
      <c r="V245">
        <v>57.181499999999993</v>
      </c>
    </row>
    <row r="246" spans="1:22" x14ac:dyDescent="0.3">
      <c r="A246" t="s">
        <v>884</v>
      </c>
      <c r="B246" t="s">
        <v>34</v>
      </c>
      <c r="C246" t="s">
        <v>22</v>
      </c>
      <c r="D246">
        <v>5</v>
      </c>
      <c r="E246">
        <v>38.229999999999997</v>
      </c>
      <c r="F246" t="s">
        <v>36</v>
      </c>
      <c r="G246" t="s">
        <v>24</v>
      </c>
      <c r="H246">
        <v>0.15</v>
      </c>
      <c r="I246" t="s">
        <v>94</v>
      </c>
      <c r="J246">
        <v>162.47999999999999</v>
      </c>
      <c r="K246" t="s">
        <v>38</v>
      </c>
      <c r="L246" t="s">
        <v>48</v>
      </c>
      <c r="M246">
        <v>0</v>
      </c>
      <c r="N246" t="s">
        <v>885</v>
      </c>
      <c r="O246" t="s">
        <v>886</v>
      </c>
      <c r="P246">
        <v>21.06</v>
      </c>
      <c r="Q246" s="2">
        <v>45659</v>
      </c>
      <c r="R246" t="s">
        <v>573</v>
      </c>
      <c r="S246" t="s">
        <v>42</v>
      </c>
      <c r="T246" t="s">
        <v>187</v>
      </c>
      <c r="U246">
        <v>141.41999999999999</v>
      </c>
      <c r="V246">
        <v>28.672499999999996</v>
      </c>
    </row>
    <row r="247" spans="1:22" x14ac:dyDescent="0.3">
      <c r="A247" t="s">
        <v>143</v>
      </c>
      <c r="B247" t="s">
        <v>45</v>
      </c>
      <c r="C247" t="s">
        <v>100</v>
      </c>
      <c r="D247">
        <v>7</v>
      </c>
      <c r="E247">
        <v>225.86</v>
      </c>
      <c r="F247" t="s">
        <v>23</v>
      </c>
      <c r="G247" t="s">
        <v>24</v>
      </c>
      <c r="H247">
        <v>0</v>
      </c>
      <c r="I247" t="s">
        <v>46</v>
      </c>
      <c r="J247">
        <v>1581.02</v>
      </c>
      <c r="K247" t="s">
        <v>38</v>
      </c>
      <c r="L247" t="s">
        <v>48</v>
      </c>
      <c r="M247">
        <v>0</v>
      </c>
      <c r="N247" t="s">
        <v>887</v>
      </c>
      <c r="O247" t="s">
        <v>888</v>
      </c>
      <c r="P247">
        <v>24.48</v>
      </c>
      <c r="Q247" s="2">
        <v>45388</v>
      </c>
      <c r="R247" t="s">
        <v>889</v>
      </c>
      <c r="S247" t="s">
        <v>51</v>
      </c>
      <c r="T247" t="s">
        <v>147</v>
      </c>
      <c r="U247">
        <v>1556.54</v>
      </c>
      <c r="V247">
        <v>0</v>
      </c>
    </row>
    <row r="248" spans="1:22" x14ac:dyDescent="0.3">
      <c r="A248" t="s">
        <v>99</v>
      </c>
      <c r="B248" t="s">
        <v>45</v>
      </c>
      <c r="C248" t="s">
        <v>22</v>
      </c>
      <c r="D248">
        <v>8</v>
      </c>
      <c r="E248">
        <v>548.02</v>
      </c>
      <c r="F248" t="s">
        <v>55</v>
      </c>
      <c r="G248" t="s">
        <v>37</v>
      </c>
      <c r="H248">
        <v>0.05</v>
      </c>
      <c r="I248" t="s">
        <v>65</v>
      </c>
      <c r="J248">
        <v>4164.95</v>
      </c>
      <c r="K248" t="s">
        <v>26</v>
      </c>
      <c r="L248" t="s">
        <v>48</v>
      </c>
      <c r="M248">
        <v>0</v>
      </c>
      <c r="N248" t="s">
        <v>890</v>
      </c>
      <c r="O248" t="s">
        <v>891</v>
      </c>
      <c r="P248">
        <v>33.4</v>
      </c>
      <c r="Q248" s="2">
        <v>45085</v>
      </c>
      <c r="R248" t="s">
        <v>892</v>
      </c>
      <c r="S248" t="s">
        <v>51</v>
      </c>
      <c r="T248" t="s">
        <v>105</v>
      </c>
      <c r="U248">
        <v>4131.55</v>
      </c>
      <c r="V248">
        <v>219.208</v>
      </c>
    </row>
    <row r="249" spans="1:22" x14ac:dyDescent="0.3">
      <c r="A249" t="s">
        <v>457</v>
      </c>
      <c r="B249" t="s">
        <v>34</v>
      </c>
      <c r="C249" t="s">
        <v>109</v>
      </c>
      <c r="D249">
        <v>12</v>
      </c>
      <c r="E249">
        <v>122.51</v>
      </c>
      <c r="F249" t="s">
        <v>23</v>
      </c>
      <c r="G249" t="s">
        <v>24</v>
      </c>
      <c r="H249">
        <v>0.05</v>
      </c>
      <c r="I249" t="s">
        <v>78</v>
      </c>
      <c r="J249">
        <v>1396.61</v>
      </c>
      <c r="K249" t="s">
        <v>57</v>
      </c>
      <c r="L249" t="s">
        <v>27</v>
      </c>
      <c r="M249">
        <v>0</v>
      </c>
      <c r="N249" t="s">
        <v>893</v>
      </c>
      <c r="O249" t="s">
        <v>894</v>
      </c>
      <c r="P249">
        <v>43.47</v>
      </c>
      <c r="Q249" s="2">
        <v>45023</v>
      </c>
      <c r="R249" t="s">
        <v>582</v>
      </c>
      <c r="S249" t="s">
        <v>42</v>
      </c>
      <c r="T249" t="s">
        <v>147</v>
      </c>
      <c r="U249">
        <v>1353.1399999999999</v>
      </c>
      <c r="V249">
        <v>73.506000000000014</v>
      </c>
    </row>
    <row r="250" spans="1:22" x14ac:dyDescent="0.3">
      <c r="A250" t="s">
        <v>118</v>
      </c>
      <c r="B250" t="s">
        <v>21</v>
      </c>
      <c r="C250" t="s">
        <v>71</v>
      </c>
      <c r="D250">
        <v>1</v>
      </c>
      <c r="E250">
        <v>506.41</v>
      </c>
      <c r="F250" t="s">
        <v>55</v>
      </c>
      <c r="G250" t="s">
        <v>24</v>
      </c>
      <c r="H250">
        <v>0</v>
      </c>
      <c r="I250" t="s">
        <v>94</v>
      </c>
      <c r="J250">
        <v>506.41</v>
      </c>
      <c r="K250" t="s">
        <v>47</v>
      </c>
      <c r="L250" t="s">
        <v>48</v>
      </c>
      <c r="M250">
        <v>0</v>
      </c>
      <c r="N250" t="s">
        <v>895</v>
      </c>
      <c r="O250" t="s">
        <v>896</v>
      </c>
      <c r="P250">
        <v>17.899999999999999</v>
      </c>
      <c r="Q250" s="2">
        <v>45903</v>
      </c>
      <c r="R250" t="s">
        <v>897</v>
      </c>
      <c r="S250" t="s">
        <v>31</v>
      </c>
      <c r="T250" t="s">
        <v>52</v>
      </c>
      <c r="U250">
        <v>488.51000000000005</v>
      </c>
      <c r="V250">
        <v>0</v>
      </c>
    </row>
    <row r="251" spans="1:22" x14ac:dyDescent="0.3">
      <c r="A251" t="s">
        <v>148</v>
      </c>
      <c r="B251" t="s">
        <v>70</v>
      </c>
      <c r="C251" t="s">
        <v>109</v>
      </c>
      <c r="D251">
        <v>15</v>
      </c>
      <c r="E251">
        <v>342.04</v>
      </c>
      <c r="F251" t="s">
        <v>36</v>
      </c>
      <c r="G251" t="s">
        <v>37</v>
      </c>
      <c r="H251">
        <v>0.15</v>
      </c>
      <c r="I251" t="s">
        <v>78</v>
      </c>
      <c r="J251">
        <v>4361.01</v>
      </c>
      <c r="K251" t="s">
        <v>57</v>
      </c>
      <c r="L251" t="s">
        <v>27</v>
      </c>
      <c r="M251">
        <v>0</v>
      </c>
      <c r="N251" t="s">
        <v>898</v>
      </c>
      <c r="O251" t="s">
        <v>899</v>
      </c>
      <c r="P251">
        <v>44.91</v>
      </c>
      <c r="Q251" s="2">
        <v>45718</v>
      </c>
      <c r="R251" t="s">
        <v>900</v>
      </c>
      <c r="S251" t="s">
        <v>75</v>
      </c>
      <c r="T251" t="s">
        <v>98</v>
      </c>
      <c r="U251">
        <v>4316.1000000000004</v>
      </c>
      <c r="V251">
        <v>769.59</v>
      </c>
    </row>
    <row r="252" spans="1:22" x14ac:dyDescent="0.3">
      <c r="A252" t="s">
        <v>152</v>
      </c>
      <c r="B252" t="s">
        <v>45</v>
      </c>
      <c r="C252" t="s">
        <v>140</v>
      </c>
      <c r="D252">
        <v>11</v>
      </c>
      <c r="E252">
        <v>404.88</v>
      </c>
      <c r="F252" t="s">
        <v>84</v>
      </c>
      <c r="G252" t="s">
        <v>24</v>
      </c>
      <c r="H252">
        <v>0.05</v>
      </c>
      <c r="I252" t="s">
        <v>25</v>
      </c>
      <c r="J252">
        <v>4231</v>
      </c>
      <c r="K252" t="s">
        <v>57</v>
      </c>
      <c r="L252" t="s">
        <v>58</v>
      </c>
      <c r="M252">
        <v>0</v>
      </c>
      <c r="N252" t="s">
        <v>901</v>
      </c>
      <c r="O252" t="s">
        <v>902</v>
      </c>
      <c r="P252">
        <v>18.920000000000002</v>
      </c>
      <c r="Q252" s="2">
        <v>45536</v>
      </c>
      <c r="R252" t="s">
        <v>903</v>
      </c>
      <c r="S252" t="s">
        <v>51</v>
      </c>
      <c r="T252" t="s">
        <v>52</v>
      </c>
      <c r="U252">
        <v>4212.08</v>
      </c>
      <c r="V252">
        <v>222.68400000000003</v>
      </c>
    </row>
    <row r="253" spans="1:22" x14ac:dyDescent="0.3">
      <c r="A253" t="s">
        <v>904</v>
      </c>
      <c r="B253" t="s">
        <v>21</v>
      </c>
      <c r="C253" t="s">
        <v>22</v>
      </c>
      <c r="D253">
        <v>9</v>
      </c>
      <c r="E253">
        <v>292.45999999999998</v>
      </c>
      <c r="F253" t="s">
        <v>84</v>
      </c>
      <c r="G253" t="s">
        <v>24</v>
      </c>
      <c r="H253">
        <v>0.05</v>
      </c>
      <c r="I253" t="s">
        <v>46</v>
      </c>
      <c r="J253">
        <v>2500.5300000000002</v>
      </c>
      <c r="K253" t="s">
        <v>101</v>
      </c>
      <c r="L253" t="s">
        <v>48</v>
      </c>
      <c r="M253">
        <v>0</v>
      </c>
      <c r="N253" t="s">
        <v>905</v>
      </c>
      <c r="O253" t="s">
        <v>906</v>
      </c>
      <c r="P253">
        <v>34.26</v>
      </c>
      <c r="Q253" s="2">
        <v>45782</v>
      </c>
      <c r="R253" t="s">
        <v>907</v>
      </c>
      <c r="S253" t="s">
        <v>31</v>
      </c>
      <c r="T253" t="s">
        <v>63</v>
      </c>
      <c r="U253">
        <v>2466.27</v>
      </c>
      <c r="V253">
        <v>131.607</v>
      </c>
    </row>
    <row r="254" spans="1:22" x14ac:dyDescent="0.3">
      <c r="A254" t="s">
        <v>908</v>
      </c>
      <c r="B254" t="s">
        <v>34</v>
      </c>
      <c r="C254" t="s">
        <v>71</v>
      </c>
      <c r="D254">
        <v>15</v>
      </c>
      <c r="E254">
        <v>486.03</v>
      </c>
      <c r="F254" t="s">
        <v>36</v>
      </c>
      <c r="G254" t="s">
        <v>24</v>
      </c>
      <c r="H254">
        <v>0</v>
      </c>
      <c r="I254" t="s">
        <v>25</v>
      </c>
      <c r="J254">
        <v>7290.45</v>
      </c>
      <c r="K254" t="s">
        <v>38</v>
      </c>
      <c r="L254" t="s">
        <v>27</v>
      </c>
      <c r="M254">
        <v>0</v>
      </c>
      <c r="N254" t="s">
        <v>909</v>
      </c>
      <c r="O254" t="s">
        <v>910</v>
      </c>
      <c r="P254">
        <v>14.9</v>
      </c>
      <c r="Q254" s="2">
        <v>45302</v>
      </c>
      <c r="R254" t="s">
        <v>399</v>
      </c>
      <c r="S254" t="s">
        <v>42</v>
      </c>
      <c r="T254" t="s">
        <v>187</v>
      </c>
      <c r="U254">
        <v>7275.55</v>
      </c>
      <c r="V254">
        <v>0</v>
      </c>
    </row>
    <row r="255" spans="1:22" x14ac:dyDescent="0.3">
      <c r="A255" t="s">
        <v>777</v>
      </c>
      <c r="B255" t="s">
        <v>70</v>
      </c>
      <c r="C255" t="s">
        <v>109</v>
      </c>
      <c r="D255">
        <v>14</v>
      </c>
      <c r="E255">
        <v>159.09</v>
      </c>
      <c r="F255" t="s">
        <v>36</v>
      </c>
      <c r="G255" t="s">
        <v>37</v>
      </c>
      <c r="H255">
        <v>0.15</v>
      </c>
      <c r="I255" t="s">
        <v>94</v>
      </c>
      <c r="J255">
        <v>1893.17</v>
      </c>
      <c r="K255" t="s">
        <v>38</v>
      </c>
      <c r="L255" t="s">
        <v>85</v>
      </c>
      <c r="M255">
        <v>0</v>
      </c>
      <c r="N255" t="s">
        <v>911</v>
      </c>
      <c r="O255" t="s">
        <v>912</v>
      </c>
      <c r="P255">
        <v>27.05</v>
      </c>
      <c r="Q255" s="2">
        <v>45840</v>
      </c>
      <c r="R255" t="s">
        <v>464</v>
      </c>
      <c r="S255" t="s">
        <v>75</v>
      </c>
      <c r="T255" t="s">
        <v>117</v>
      </c>
      <c r="U255">
        <v>1866.1200000000001</v>
      </c>
      <c r="V255">
        <v>334.089</v>
      </c>
    </row>
    <row r="256" spans="1:22" x14ac:dyDescent="0.3">
      <c r="A256" t="s">
        <v>410</v>
      </c>
      <c r="B256" t="s">
        <v>54</v>
      </c>
      <c r="C256" t="s">
        <v>127</v>
      </c>
      <c r="D256">
        <v>12</v>
      </c>
      <c r="E256">
        <v>290.27999999999997</v>
      </c>
      <c r="F256" t="s">
        <v>23</v>
      </c>
      <c r="G256" t="s">
        <v>37</v>
      </c>
      <c r="H256">
        <v>0.1</v>
      </c>
      <c r="I256" t="s">
        <v>46</v>
      </c>
      <c r="J256">
        <v>3135.02</v>
      </c>
      <c r="K256" t="s">
        <v>47</v>
      </c>
      <c r="L256" t="s">
        <v>85</v>
      </c>
      <c r="M256">
        <v>1</v>
      </c>
      <c r="N256" t="s">
        <v>913</v>
      </c>
      <c r="O256" t="s">
        <v>914</v>
      </c>
      <c r="P256">
        <v>5.55</v>
      </c>
      <c r="Q256" s="2">
        <v>45663</v>
      </c>
      <c r="R256" t="s">
        <v>915</v>
      </c>
      <c r="S256" t="s">
        <v>62</v>
      </c>
      <c r="T256" t="s">
        <v>187</v>
      </c>
      <c r="U256">
        <v>3129.47</v>
      </c>
      <c r="V256">
        <v>348.33600000000001</v>
      </c>
    </row>
    <row r="257" spans="1:22" x14ac:dyDescent="0.3">
      <c r="A257" t="s">
        <v>916</v>
      </c>
      <c r="B257" t="s">
        <v>54</v>
      </c>
      <c r="C257" t="s">
        <v>109</v>
      </c>
      <c r="D257">
        <v>6</v>
      </c>
      <c r="E257">
        <v>88.7</v>
      </c>
      <c r="F257" t="s">
        <v>23</v>
      </c>
      <c r="G257" t="s">
        <v>24</v>
      </c>
      <c r="H257">
        <v>0</v>
      </c>
      <c r="I257" t="s">
        <v>46</v>
      </c>
      <c r="J257">
        <v>532.20000000000005</v>
      </c>
      <c r="K257" t="s">
        <v>57</v>
      </c>
      <c r="L257" t="s">
        <v>48</v>
      </c>
      <c r="M257">
        <v>0</v>
      </c>
      <c r="N257" t="s">
        <v>917</v>
      </c>
      <c r="O257" t="s">
        <v>918</v>
      </c>
      <c r="P257">
        <v>16.98</v>
      </c>
      <c r="Q257" s="2">
        <v>45263</v>
      </c>
      <c r="R257" t="s">
        <v>919</v>
      </c>
      <c r="S257" t="s">
        <v>62</v>
      </c>
      <c r="T257" t="s">
        <v>76</v>
      </c>
      <c r="U257">
        <v>515.22</v>
      </c>
      <c r="V257">
        <v>0</v>
      </c>
    </row>
    <row r="258" spans="1:22" x14ac:dyDescent="0.3">
      <c r="A258" t="s">
        <v>266</v>
      </c>
      <c r="B258" t="s">
        <v>45</v>
      </c>
      <c r="C258" t="s">
        <v>22</v>
      </c>
      <c r="D258">
        <v>2</v>
      </c>
      <c r="E258">
        <v>239.69</v>
      </c>
      <c r="F258" t="s">
        <v>36</v>
      </c>
      <c r="G258" t="s">
        <v>37</v>
      </c>
      <c r="H258">
        <v>0</v>
      </c>
      <c r="I258" t="s">
        <v>78</v>
      </c>
      <c r="J258">
        <v>479.38</v>
      </c>
      <c r="K258" t="s">
        <v>101</v>
      </c>
      <c r="L258" t="s">
        <v>27</v>
      </c>
      <c r="M258">
        <v>0</v>
      </c>
      <c r="N258" t="s">
        <v>920</v>
      </c>
      <c r="O258" t="s">
        <v>921</v>
      </c>
      <c r="P258">
        <v>28.96</v>
      </c>
      <c r="Q258" s="2">
        <v>45607</v>
      </c>
      <c r="R258" t="s">
        <v>922</v>
      </c>
      <c r="S258" t="s">
        <v>51</v>
      </c>
      <c r="T258" t="s">
        <v>43</v>
      </c>
      <c r="U258">
        <v>450.42</v>
      </c>
      <c r="V258">
        <v>0</v>
      </c>
    </row>
    <row r="259" spans="1:22" x14ac:dyDescent="0.3">
      <c r="A259" t="s">
        <v>20</v>
      </c>
      <c r="B259" t="s">
        <v>70</v>
      </c>
      <c r="C259" t="s">
        <v>140</v>
      </c>
      <c r="D259">
        <v>18</v>
      </c>
      <c r="E259">
        <v>206.8</v>
      </c>
      <c r="F259" t="s">
        <v>84</v>
      </c>
      <c r="G259" t="s">
        <v>37</v>
      </c>
      <c r="H259">
        <v>0.05</v>
      </c>
      <c r="I259" t="s">
        <v>56</v>
      </c>
      <c r="J259">
        <v>3536.28</v>
      </c>
      <c r="K259" t="s">
        <v>38</v>
      </c>
      <c r="L259" t="s">
        <v>85</v>
      </c>
      <c r="M259">
        <v>1</v>
      </c>
      <c r="N259" t="s">
        <v>923</v>
      </c>
      <c r="O259" t="s">
        <v>924</v>
      </c>
      <c r="P259">
        <v>39.25</v>
      </c>
      <c r="Q259" s="2">
        <v>45204</v>
      </c>
      <c r="R259" t="s">
        <v>925</v>
      </c>
      <c r="S259" t="s">
        <v>75</v>
      </c>
      <c r="T259" t="s">
        <v>32</v>
      </c>
      <c r="U259">
        <v>3497.03</v>
      </c>
      <c r="V259">
        <v>186.12</v>
      </c>
    </row>
    <row r="260" spans="1:22" x14ac:dyDescent="0.3">
      <c r="A260" t="s">
        <v>300</v>
      </c>
      <c r="B260" t="s">
        <v>21</v>
      </c>
      <c r="C260" t="s">
        <v>109</v>
      </c>
      <c r="D260">
        <v>9</v>
      </c>
      <c r="E260">
        <v>507.74</v>
      </c>
      <c r="F260" t="s">
        <v>55</v>
      </c>
      <c r="G260" t="s">
        <v>37</v>
      </c>
      <c r="H260">
        <v>0.15</v>
      </c>
      <c r="I260" t="s">
        <v>94</v>
      </c>
      <c r="J260">
        <v>3884.21</v>
      </c>
      <c r="K260" t="s">
        <v>47</v>
      </c>
      <c r="L260" t="s">
        <v>85</v>
      </c>
      <c r="M260">
        <v>1</v>
      </c>
      <c r="N260" t="s">
        <v>926</v>
      </c>
      <c r="O260" t="s">
        <v>927</v>
      </c>
      <c r="P260">
        <v>22.08</v>
      </c>
      <c r="Q260" s="2">
        <v>45933</v>
      </c>
      <c r="R260" t="s">
        <v>897</v>
      </c>
      <c r="S260" t="s">
        <v>31</v>
      </c>
      <c r="T260" t="s">
        <v>32</v>
      </c>
      <c r="U260">
        <v>3862.13</v>
      </c>
      <c r="V260">
        <v>685.44899999999996</v>
      </c>
    </row>
    <row r="261" spans="1:22" x14ac:dyDescent="0.3">
      <c r="A261" t="s">
        <v>928</v>
      </c>
      <c r="B261" t="s">
        <v>45</v>
      </c>
      <c r="C261" t="s">
        <v>22</v>
      </c>
      <c r="D261">
        <v>1</v>
      </c>
      <c r="E261">
        <v>223.56</v>
      </c>
      <c r="F261" t="s">
        <v>23</v>
      </c>
      <c r="G261" t="s">
        <v>24</v>
      </c>
      <c r="H261">
        <v>0.15</v>
      </c>
      <c r="I261" t="s">
        <v>94</v>
      </c>
      <c r="J261">
        <v>190.03</v>
      </c>
      <c r="K261" t="s">
        <v>101</v>
      </c>
      <c r="L261" t="s">
        <v>27</v>
      </c>
      <c r="M261">
        <v>0</v>
      </c>
      <c r="N261" t="s">
        <v>929</v>
      </c>
      <c r="O261" t="s">
        <v>930</v>
      </c>
      <c r="P261">
        <v>37.840000000000003</v>
      </c>
      <c r="Q261" s="2">
        <v>45178</v>
      </c>
      <c r="R261" t="s">
        <v>526</v>
      </c>
      <c r="S261" t="s">
        <v>51</v>
      </c>
      <c r="T261" t="s">
        <v>52</v>
      </c>
      <c r="U261">
        <v>152.19</v>
      </c>
      <c r="V261">
        <v>33.533999999999999</v>
      </c>
    </row>
    <row r="262" spans="1:22" x14ac:dyDescent="0.3">
      <c r="A262" t="s">
        <v>864</v>
      </c>
      <c r="B262" t="s">
        <v>34</v>
      </c>
      <c r="C262" t="s">
        <v>100</v>
      </c>
      <c r="D262">
        <v>6</v>
      </c>
      <c r="E262">
        <v>48.48</v>
      </c>
      <c r="F262" t="s">
        <v>55</v>
      </c>
      <c r="G262" t="s">
        <v>37</v>
      </c>
      <c r="H262">
        <v>0.1</v>
      </c>
      <c r="I262" t="s">
        <v>78</v>
      </c>
      <c r="J262">
        <v>261.79000000000002</v>
      </c>
      <c r="K262" t="s">
        <v>26</v>
      </c>
      <c r="L262" t="s">
        <v>48</v>
      </c>
      <c r="M262">
        <v>0</v>
      </c>
      <c r="N262" t="s">
        <v>931</v>
      </c>
      <c r="O262" t="s">
        <v>932</v>
      </c>
      <c r="P262">
        <v>6.11</v>
      </c>
      <c r="Q262" s="2">
        <v>45514</v>
      </c>
      <c r="R262" t="s">
        <v>933</v>
      </c>
      <c r="S262" t="s">
        <v>42</v>
      </c>
      <c r="T262" t="s">
        <v>82</v>
      </c>
      <c r="U262">
        <v>255.68</v>
      </c>
      <c r="V262">
        <v>29.088000000000001</v>
      </c>
    </row>
    <row r="263" spans="1:22" x14ac:dyDescent="0.3">
      <c r="A263" t="s">
        <v>934</v>
      </c>
      <c r="B263" t="s">
        <v>34</v>
      </c>
      <c r="C263" t="s">
        <v>127</v>
      </c>
      <c r="D263">
        <v>17</v>
      </c>
      <c r="E263">
        <v>465.6</v>
      </c>
      <c r="F263" t="s">
        <v>36</v>
      </c>
      <c r="G263" t="s">
        <v>37</v>
      </c>
      <c r="H263">
        <v>0.1</v>
      </c>
      <c r="I263" t="s">
        <v>94</v>
      </c>
      <c r="J263">
        <v>7123.68</v>
      </c>
      <c r="K263" t="s">
        <v>38</v>
      </c>
      <c r="L263" t="s">
        <v>58</v>
      </c>
      <c r="M263">
        <v>0</v>
      </c>
      <c r="N263" t="s">
        <v>935</v>
      </c>
      <c r="O263" t="s">
        <v>936</v>
      </c>
      <c r="P263">
        <v>7.76</v>
      </c>
      <c r="Q263" s="2">
        <v>45049</v>
      </c>
      <c r="R263" t="s">
        <v>698</v>
      </c>
      <c r="S263" t="s">
        <v>42</v>
      </c>
      <c r="T263" t="s">
        <v>63</v>
      </c>
      <c r="U263">
        <v>7115.92</v>
      </c>
      <c r="V263">
        <v>791.5200000000001</v>
      </c>
    </row>
    <row r="264" spans="1:22" x14ac:dyDescent="0.3">
      <c r="A264" t="s">
        <v>507</v>
      </c>
      <c r="B264" t="s">
        <v>21</v>
      </c>
      <c r="C264" t="s">
        <v>100</v>
      </c>
      <c r="D264">
        <v>15</v>
      </c>
      <c r="E264">
        <v>281.73</v>
      </c>
      <c r="F264" t="s">
        <v>23</v>
      </c>
      <c r="G264" t="s">
        <v>24</v>
      </c>
      <c r="H264">
        <v>0.1</v>
      </c>
      <c r="I264" t="s">
        <v>94</v>
      </c>
      <c r="J264">
        <v>3803.36</v>
      </c>
      <c r="K264" t="s">
        <v>101</v>
      </c>
      <c r="L264" t="s">
        <v>27</v>
      </c>
      <c r="M264">
        <v>0</v>
      </c>
      <c r="N264" t="s">
        <v>937</v>
      </c>
      <c r="O264" t="s">
        <v>938</v>
      </c>
      <c r="P264">
        <v>36.869999999999997</v>
      </c>
      <c r="Q264" s="2">
        <v>45813</v>
      </c>
      <c r="R264" t="s">
        <v>510</v>
      </c>
      <c r="S264" t="s">
        <v>31</v>
      </c>
      <c r="T264" t="s">
        <v>105</v>
      </c>
      <c r="U264">
        <v>3766.4900000000002</v>
      </c>
      <c r="V264">
        <v>422.59500000000008</v>
      </c>
    </row>
    <row r="265" spans="1:22" x14ac:dyDescent="0.3">
      <c r="A265" t="s">
        <v>152</v>
      </c>
      <c r="B265" t="s">
        <v>45</v>
      </c>
      <c r="C265" t="s">
        <v>127</v>
      </c>
      <c r="D265">
        <v>19</v>
      </c>
      <c r="E265">
        <v>380.82</v>
      </c>
      <c r="F265" t="s">
        <v>55</v>
      </c>
      <c r="G265" t="s">
        <v>24</v>
      </c>
      <c r="H265">
        <v>0.1</v>
      </c>
      <c r="I265" t="s">
        <v>78</v>
      </c>
      <c r="J265">
        <v>6512.02</v>
      </c>
      <c r="K265" t="s">
        <v>101</v>
      </c>
      <c r="L265" t="s">
        <v>58</v>
      </c>
      <c r="M265">
        <v>0</v>
      </c>
      <c r="N265" t="s">
        <v>939</v>
      </c>
      <c r="O265" t="s">
        <v>940</v>
      </c>
      <c r="P265">
        <v>48.73</v>
      </c>
      <c r="Q265" s="2">
        <v>45536</v>
      </c>
      <c r="R265" t="s">
        <v>739</v>
      </c>
      <c r="S265" t="s">
        <v>51</v>
      </c>
      <c r="T265" t="s">
        <v>52</v>
      </c>
      <c r="U265">
        <v>6463.2900000000009</v>
      </c>
      <c r="V265">
        <v>723.55799999999999</v>
      </c>
    </row>
    <row r="266" spans="1:22" x14ac:dyDescent="0.3">
      <c r="A266" t="s">
        <v>941</v>
      </c>
      <c r="B266" t="s">
        <v>34</v>
      </c>
      <c r="C266" t="s">
        <v>35</v>
      </c>
      <c r="D266">
        <v>4</v>
      </c>
      <c r="E266">
        <v>444.87</v>
      </c>
      <c r="F266" t="s">
        <v>23</v>
      </c>
      <c r="G266" t="s">
        <v>37</v>
      </c>
      <c r="H266">
        <v>0.15</v>
      </c>
      <c r="I266" t="s">
        <v>46</v>
      </c>
      <c r="J266">
        <v>1512.56</v>
      </c>
      <c r="K266" t="s">
        <v>26</v>
      </c>
      <c r="L266" t="s">
        <v>85</v>
      </c>
      <c r="M266">
        <v>0</v>
      </c>
      <c r="N266" t="s">
        <v>942</v>
      </c>
      <c r="O266" t="s">
        <v>943</v>
      </c>
      <c r="P266">
        <v>47.14</v>
      </c>
      <c r="Q266" s="2">
        <v>45267</v>
      </c>
      <c r="R266" t="s">
        <v>944</v>
      </c>
      <c r="S266" t="s">
        <v>42</v>
      </c>
      <c r="T266" t="s">
        <v>76</v>
      </c>
      <c r="U266">
        <v>1465.4199999999998</v>
      </c>
      <c r="V266">
        <v>266.92199999999997</v>
      </c>
    </row>
    <row r="267" spans="1:22" x14ac:dyDescent="0.3">
      <c r="A267" t="s">
        <v>945</v>
      </c>
      <c r="B267" t="s">
        <v>45</v>
      </c>
      <c r="C267" t="s">
        <v>22</v>
      </c>
      <c r="D267">
        <v>5</v>
      </c>
      <c r="E267">
        <v>84.91</v>
      </c>
      <c r="F267" t="s">
        <v>84</v>
      </c>
      <c r="G267" t="s">
        <v>37</v>
      </c>
      <c r="H267">
        <v>0.1</v>
      </c>
      <c r="I267" t="s">
        <v>46</v>
      </c>
      <c r="J267">
        <v>382.1</v>
      </c>
      <c r="K267" t="s">
        <v>47</v>
      </c>
      <c r="L267" t="s">
        <v>85</v>
      </c>
      <c r="M267">
        <v>1</v>
      </c>
      <c r="N267" t="s">
        <v>946</v>
      </c>
      <c r="O267" t="s">
        <v>947</v>
      </c>
      <c r="P267">
        <v>29.06</v>
      </c>
      <c r="Q267" s="2">
        <v>45355</v>
      </c>
      <c r="R267" t="s">
        <v>339</v>
      </c>
      <c r="S267" t="s">
        <v>51</v>
      </c>
      <c r="T267" t="s">
        <v>98</v>
      </c>
      <c r="U267">
        <v>353.04</v>
      </c>
      <c r="V267">
        <v>42.454999999999998</v>
      </c>
    </row>
    <row r="268" spans="1:22" x14ac:dyDescent="0.3">
      <c r="A268" t="s">
        <v>948</v>
      </c>
      <c r="B268" t="s">
        <v>45</v>
      </c>
      <c r="C268" t="s">
        <v>127</v>
      </c>
      <c r="D268">
        <v>2</v>
      </c>
      <c r="E268">
        <v>231.96</v>
      </c>
      <c r="F268" t="s">
        <v>23</v>
      </c>
      <c r="G268" t="s">
        <v>37</v>
      </c>
      <c r="H268">
        <v>0.1</v>
      </c>
      <c r="I268" t="s">
        <v>25</v>
      </c>
      <c r="J268">
        <v>417.53</v>
      </c>
      <c r="K268" t="s">
        <v>38</v>
      </c>
      <c r="L268" t="s">
        <v>48</v>
      </c>
      <c r="M268">
        <v>1</v>
      </c>
      <c r="N268" t="s">
        <v>949</v>
      </c>
      <c r="O268" t="s">
        <v>950</v>
      </c>
      <c r="P268">
        <v>32.659999999999997</v>
      </c>
      <c r="Q268" s="2">
        <v>45781</v>
      </c>
      <c r="R268" t="s">
        <v>951</v>
      </c>
      <c r="S268" t="s">
        <v>51</v>
      </c>
      <c r="T268" t="s">
        <v>63</v>
      </c>
      <c r="U268">
        <v>384.87</v>
      </c>
      <c r="V268">
        <v>46.392000000000003</v>
      </c>
    </row>
    <row r="269" spans="1:22" x14ac:dyDescent="0.3">
      <c r="A269" t="s">
        <v>952</v>
      </c>
      <c r="B269" t="s">
        <v>45</v>
      </c>
      <c r="C269" t="s">
        <v>100</v>
      </c>
      <c r="D269">
        <v>2</v>
      </c>
      <c r="E269">
        <v>48.02</v>
      </c>
      <c r="F269" t="s">
        <v>36</v>
      </c>
      <c r="G269" t="s">
        <v>37</v>
      </c>
      <c r="H269">
        <v>0.05</v>
      </c>
      <c r="I269" t="s">
        <v>46</v>
      </c>
      <c r="J269">
        <v>91.24</v>
      </c>
      <c r="K269" t="s">
        <v>38</v>
      </c>
      <c r="L269" t="s">
        <v>85</v>
      </c>
      <c r="M269">
        <v>1</v>
      </c>
      <c r="N269" t="s">
        <v>953</v>
      </c>
      <c r="O269" t="s">
        <v>954</v>
      </c>
      <c r="P269">
        <v>25.81</v>
      </c>
      <c r="Q269" s="2">
        <v>45636</v>
      </c>
      <c r="R269" t="s">
        <v>955</v>
      </c>
      <c r="S269" t="s">
        <v>51</v>
      </c>
      <c r="T269" t="s">
        <v>76</v>
      </c>
      <c r="U269">
        <v>65.429999999999993</v>
      </c>
      <c r="V269">
        <v>4.8020000000000005</v>
      </c>
    </row>
    <row r="270" spans="1:22" x14ac:dyDescent="0.3">
      <c r="A270" t="s">
        <v>570</v>
      </c>
      <c r="B270" t="s">
        <v>54</v>
      </c>
      <c r="C270" t="s">
        <v>109</v>
      </c>
      <c r="D270">
        <v>3</v>
      </c>
      <c r="E270">
        <v>98.15</v>
      </c>
      <c r="F270" t="s">
        <v>55</v>
      </c>
      <c r="G270" t="s">
        <v>24</v>
      </c>
      <c r="H270">
        <v>0.15</v>
      </c>
      <c r="I270" t="s">
        <v>78</v>
      </c>
      <c r="J270">
        <v>250.28</v>
      </c>
      <c r="K270" t="s">
        <v>38</v>
      </c>
      <c r="L270" t="s">
        <v>58</v>
      </c>
      <c r="M270">
        <v>0</v>
      </c>
      <c r="N270" t="s">
        <v>956</v>
      </c>
      <c r="O270" t="s">
        <v>957</v>
      </c>
      <c r="P270">
        <v>46.37</v>
      </c>
      <c r="Q270" s="2">
        <v>45931</v>
      </c>
      <c r="R270" t="s">
        <v>722</v>
      </c>
      <c r="S270" t="s">
        <v>62</v>
      </c>
      <c r="T270" t="s">
        <v>32</v>
      </c>
      <c r="U270">
        <v>203.91</v>
      </c>
      <c r="V270">
        <v>44.167500000000004</v>
      </c>
    </row>
    <row r="271" spans="1:22" x14ac:dyDescent="0.3">
      <c r="A271" t="s">
        <v>414</v>
      </c>
      <c r="B271" t="s">
        <v>45</v>
      </c>
      <c r="C271" t="s">
        <v>22</v>
      </c>
      <c r="D271">
        <v>4</v>
      </c>
      <c r="E271">
        <v>529.03</v>
      </c>
      <c r="F271" t="s">
        <v>23</v>
      </c>
      <c r="G271" t="s">
        <v>24</v>
      </c>
      <c r="H271">
        <v>0.05</v>
      </c>
      <c r="I271" t="s">
        <v>46</v>
      </c>
      <c r="J271">
        <v>2010.31</v>
      </c>
      <c r="K271" t="s">
        <v>26</v>
      </c>
      <c r="L271" t="s">
        <v>58</v>
      </c>
      <c r="M271">
        <v>0</v>
      </c>
      <c r="N271" t="s">
        <v>958</v>
      </c>
      <c r="O271" t="s">
        <v>959</v>
      </c>
      <c r="P271">
        <v>25.96</v>
      </c>
      <c r="Q271" s="2">
        <v>45573</v>
      </c>
      <c r="R271" t="s">
        <v>960</v>
      </c>
      <c r="S271" t="s">
        <v>51</v>
      </c>
      <c r="T271" t="s">
        <v>32</v>
      </c>
      <c r="U271">
        <v>1984.35</v>
      </c>
      <c r="V271">
        <v>105.806</v>
      </c>
    </row>
    <row r="272" spans="1:22" x14ac:dyDescent="0.3">
      <c r="A272" t="s">
        <v>699</v>
      </c>
      <c r="B272" t="s">
        <v>54</v>
      </c>
      <c r="C272" t="s">
        <v>140</v>
      </c>
      <c r="D272">
        <v>17</v>
      </c>
      <c r="E272">
        <v>549.78</v>
      </c>
      <c r="F272" t="s">
        <v>23</v>
      </c>
      <c r="G272" t="s">
        <v>24</v>
      </c>
      <c r="H272">
        <v>0.05</v>
      </c>
      <c r="I272" t="s">
        <v>25</v>
      </c>
      <c r="J272">
        <v>8878.9500000000007</v>
      </c>
      <c r="K272" t="s">
        <v>101</v>
      </c>
      <c r="L272" t="s">
        <v>48</v>
      </c>
      <c r="M272">
        <v>1</v>
      </c>
      <c r="N272" t="s">
        <v>961</v>
      </c>
      <c r="O272" t="s">
        <v>962</v>
      </c>
      <c r="P272">
        <v>44.42</v>
      </c>
      <c r="Q272" s="2">
        <v>45606</v>
      </c>
      <c r="R272" t="s">
        <v>963</v>
      </c>
      <c r="S272" t="s">
        <v>62</v>
      </c>
      <c r="T272" t="s">
        <v>43</v>
      </c>
      <c r="U272">
        <v>8834.5300000000007</v>
      </c>
      <c r="V272">
        <v>467.31300000000005</v>
      </c>
    </row>
    <row r="273" spans="1:22" x14ac:dyDescent="0.3">
      <c r="A273" t="s">
        <v>349</v>
      </c>
      <c r="B273" t="s">
        <v>45</v>
      </c>
      <c r="C273" t="s">
        <v>71</v>
      </c>
      <c r="D273">
        <v>2</v>
      </c>
      <c r="E273">
        <v>298.06</v>
      </c>
      <c r="F273" t="s">
        <v>23</v>
      </c>
      <c r="G273" t="s">
        <v>24</v>
      </c>
      <c r="H273">
        <v>0</v>
      </c>
      <c r="I273" t="s">
        <v>25</v>
      </c>
      <c r="J273">
        <v>596.12</v>
      </c>
      <c r="K273" t="s">
        <v>38</v>
      </c>
      <c r="L273" t="s">
        <v>58</v>
      </c>
      <c r="M273">
        <v>1</v>
      </c>
      <c r="N273" t="s">
        <v>964</v>
      </c>
      <c r="O273" t="s">
        <v>965</v>
      </c>
      <c r="P273">
        <v>35.369999999999997</v>
      </c>
      <c r="Q273" s="2">
        <v>45873</v>
      </c>
      <c r="R273" t="s">
        <v>951</v>
      </c>
      <c r="S273" t="s">
        <v>51</v>
      </c>
      <c r="T273" t="s">
        <v>82</v>
      </c>
      <c r="U273">
        <v>560.75</v>
      </c>
      <c r="V273">
        <v>0</v>
      </c>
    </row>
    <row r="274" spans="1:22" x14ac:dyDescent="0.3">
      <c r="A274" t="s">
        <v>99</v>
      </c>
      <c r="B274" t="s">
        <v>70</v>
      </c>
      <c r="C274" t="s">
        <v>22</v>
      </c>
      <c r="D274">
        <v>7</v>
      </c>
      <c r="E274">
        <v>373.66</v>
      </c>
      <c r="F274" t="s">
        <v>23</v>
      </c>
      <c r="G274" t="s">
        <v>37</v>
      </c>
      <c r="H274">
        <v>0.05</v>
      </c>
      <c r="I274" t="s">
        <v>25</v>
      </c>
      <c r="J274">
        <v>2484.84</v>
      </c>
      <c r="K274" t="s">
        <v>57</v>
      </c>
      <c r="L274" t="s">
        <v>58</v>
      </c>
      <c r="M274">
        <v>0</v>
      </c>
      <c r="N274" t="s">
        <v>966</v>
      </c>
      <c r="O274" t="s">
        <v>967</v>
      </c>
      <c r="P274">
        <v>46.33</v>
      </c>
      <c r="Q274" s="2">
        <v>45085</v>
      </c>
      <c r="R274" t="s">
        <v>354</v>
      </c>
      <c r="S274" t="s">
        <v>75</v>
      </c>
      <c r="T274" t="s">
        <v>105</v>
      </c>
      <c r="U274">
        <v>2438.5100000000002</v>
      </c>
      <c r="V274">
        <v>130.78100000000003</v>
      </c>
    </row>
    <row r="275" spans="1:22" x14ac:dyDescent="0.3">
      <c r="A275" t="s">
        <v>603</v>
      </c>
      <c r="B275" t="s">
        <v>21</v>
      </c>
      <c r="C275" t="s">
        <v>109</v>
      </c>
      <c r="D275">
        <v>13</v>
      </c>
      <c r="E275">
        <v>494.78</v>
      </c>
      <c r="F275" t="s">
        <v>84</v>
      </c>
      <c r="G275" t="s">
        <v>24</v>
      </c>
      <c r="H275">
        <v>0.15</v>
      </c>
      <c r="I275" t="s">
        <v>78</v>
      </c>
      <c r="J275">
        <v>5467.32</v>
      </c>
      <c r="K275" t="s">
        <v>47</v>
      </c>
      <c r="L275" t="s">
        <v>85</v>
      </c>
      <c r="M275">
        <v>0</v>
      </c>
      <c r="N275" t="s">
        <v>968</v>
      </c>
      <c r="O275" t="s">
        <v>969</v>
      </c>
      <c r="P275">
        <v>5.85</v>
      </c>
      <c r="Q275" s="2">
        <v>45019</v>
      </c>
      <c r="R275" t="s">
        <v>611</v>
      </c>
      <c r="S275" t="s">
        <v>31</v>
      </c>
      <c r="T275" t="s">
        <v>147</v>
      </c>
      <c r="U275">
        <v>5461.4699999999993</v>
      </c>
      <c r="V275">
        <v>964.82099999999991</v>
      </c>
    </row>
    <row r="276" spans="1:22" x14ac:dyDescent="0.3">
      <c r="A276" t="s">
        <v>520</v>
      </c>
      <c r="B276" t="s">
        <v>70</v>
      </c>
      <c r="C276" t="s">
        <v>109</v>
      </c>
      <c r="D276">
        <v>14</v>
      </c>
      <c r="E276">
        <v>216.2</v>
      </c>
      <c r="F276" t="s">
        <v>36</v>
      </c>
      <c r="G276" t="s">
        <v>24</v>
      </c>
      <c r="H276">
        <v>0</v>
      </c>
      <c r="I276" t="s">
        <v>78</v>
      </c>
      <c r="J276">
        <v>3026.8</v>
      </c>
      <c r="K276" t="s">
        <v>26</v>
      </c>
      <c r="L276" t="s">
        <v>27</v>
      </c>
      <c r="M276">
        <v>0</v>
      </c>
      <c r="N276" t="s">
        <v>970</v>
      </c>
      <c r="O276" t="s">
        <v>971</v>
      </c>
      <c r="P276">
        <v>14.39</v>
      </c>
      <c r="Q276" s="2">
        <v>45547</v>
      </c>
      <c r="R276" t="s">
        <v>972</v>
      </c>
      <c r="S276" t="s">
        <v>75</v>
      </c>
      <c r="T276" t="s">
        <v>52</v>
      </c>
      <c r="U276">
        <v>3012.4100000000003</v>
      </c>
      <c r="V276">
        <v>0</v>
      </c>
    </row>
    <row r="277" spans="1:22" x14ac:dyDescent="0.3">
      <c r="A277" t="s">
        <v>973</v>
      </c>
      <c r="B277" t="s">
        <v>54</v>
      </c>
      <c r="C277" t="s">
        <v>100</v>
      </c>
      <c r="D277">
        <v>11</v>
      </c>
      <c r="E277">
        <v>128.99</v>
      </c>
      <c r="F277" t="s">
        <v>84</v>
      </c>
      <c r="G277" t="s">
        <v>37</v>
      </c>
      <c r="H277">
        <v>0.05</v>
      </c>
      <c r="I277" t="s">
        <v>78</v>
      </c>
      <c r="J277">
        <v>1347.95</v>
      </c>
      <c r="K277" t="s">
        <v>38</v>
      </c>
      <c r="L277" t="s">
        <v>58</v>
      </c>
      <c r="M277">
        <v>0</v>
      </c>
      <c r="N277" t="s">
        <v>974</v>
      </c>
      <c r="O277" t="s">
        <v>975</v>
      </c>
      <c r="P277">
        <v>38.58</v>
      </c>
      <c r="Q277" s="2">
        <v>45389</v>
      </c>
      <c r="R277" t="s">
        <v>217</v>
      </c>
      <c r="S277" t="s">
        <v>62</v>
      </c>
      <c r="T277" t="s">
        <v>147</v>
      </c>
      <c r="U277">
        <v>1309.3700000000001</v>
      </c>
      <c r="V277">
        <v>70.944500000000005</v>
      </c>
    </row>
    <row r="278" spans="1:22" x14ac:dyDescent="0.3">
      <c r="A278" t="s">
        <v>297</v>
      </c>
      <c r="B278" t="s">
        <v>70</v>
      </c>
      <c r="C278" t="s">
        <v>71</v>
      </c>
      <c r="D278">
        <v>11</v>
      </c>
      <c r="E278">
        <v>183.11</v>
      </c>
      <c r="F278" t="s">
        <v>23</v>
      </c>
      <c r="G278" t="s">
        <v>37</v>
      </c>
      <c r="H278">
        <v>0.15</v>
      </c>
      <c r="I278" t="s">
        <v>56</v>
      </c>
      <c r="J278">
        <v>1712.08</v>
      </c>
      <c r="K278" t="s">
        <v>57</v>
      </c>
      <c r="L278" t="s">
        <v>85</v>
      </c>
      <c r="M278">
        <v>0</v>
      </c>
      <c r="N278" t="s">
        <v>976</v>
      </c>
      <c r="O278" t="s">
        <v>977</v>
      </c>
      <c r="P278">
        <v>41.83</v>
      </c>
      <c r="Q278" s="2">
        <v>45750</v>
      </c>
      <c r="R278" t="s">
        <v>172</v>
      </c>
      <c r="S278" t="s">
        <v>75</v>
      </c>
      <c r="T278" t="s">
        <v>147</v>
      </c>
      <c r="U278">
        <v>1670.25</v>
      </c>
      <c r="V278">
        <v>302.13150000000002</v>
      </c>
    </row>
    <row r="279" spans="1:22" x14ac:dyDescent="0.3">
      <c r="A279" t="s">
        <v>978</v>
      </c>
      <c r="B279" t="s">
        <v>70</v>
      </c>
      <c r="C279" t="s">
        <v>22</v>
      </c>
      <c r="D279">
        <v>14</v>
      </c>
      <c r="E279">
        <v>554.08000000000004</v>
      </c>
      <c r="F279" t="s">
        <v>84</v>
      </c>
      <c r="G279" t="s">
        <v>37</v>
      </c>
      <c r="H279">
        <v>0.05</v>
      </c>
      <c r="I279" t="s">
        <v>78</v>
      </c>
      <c r="J279">
        <v>7369.26</v>
      </c>
      <c r="K279" t="s">
        <v>47</v>
      </c>
      <c r="L279" t="s">
        <v>48</v>
      </c>
      <c r="M279">
        <v>0</v>
      </c>
      <c r="N279" t="s">
        <v>979</v>
      </c>
      <c r="O279" t="s">
        <v>980</v>
      </c>
      <c r="P279">
        <v>36.72</v>
      </c>
      <c r="Q279" s="2">
        <v>45994</v>
      </c>
      <c r="R279" t="s">
        <v>981</v>
      </c>
      <c r="S279" t="s">
        <v>75</v>
      </c>
      <c r="T279" t="s">
        <v>76</v>
      </c>
      <c r="U279">
        <v>7332.54</v>
      </c>
      <c r="V279">
        <v>387.85600000000005</v>
      </c>
    </row>
    <row r="280" spans="1:22" x14ac:dyDescent="0.3">
      <c r="A280" t="s">
        <v>224</v>
      </c>
      <c r="B280" t="s">
        <v>70</v>
      </c>
      <c r="C280" t="s">
        <v>109</v>
      </c>
      <c r="D280">
        <v>1</v>
      </c>
      <c r="E280">
        <v>315.93</v>
      </c>
      <c r="F280" t="s">
        <v>36</v>
      </c>
      <c r="G280" t="s">
        <v>37</v>
      </c>
      <c r="H280">
        <v>0.15</v>
      </c>
      <c r="I280" t="s">
        <v>25</v>
      </c>
      <c r="J280">
        <v>268.54000000000002</v>
      </c>
      <c r="K280" t="s">
        <v>101</v>
      </c>
      <c r="L280" t="s">
        <v>58</v>
      </c>
      <c r="M280">
        <v>0</v>
      </c>
      <c r="N280" t="s">
        <v>982</v>
      </c>
      <c r="O280" t="s">
        <v>983</v>
      </c>
      <c r="P280">
        <v>43.2</v>
      </c>
      <c r="Q280" s="2">
        <v>45240</v>
      </c>
      <c r="R280" t="s">
        <v>984</v>
      </c>
      <c r="S280" t="s">
        <v>75</v>
      </c>
      <c r="T280" t="s">
        <v>43</v>
      </c>
      <c r="U280">
        <v>225.34000000000003</v>
      </c>
      <c r="V280">
        <v>47.389499999999998</v>
      </c>
    </row>
    <row r="281" spans="1:22" x14ac:dyDescent="0.3">
      <c r="A281" t="s">
        <v>985</v>
      </c>
      <c r="B281" t="s">
        <v>54</v>
      </c>
      <c r="C281" t="s">
        <v>140</v>
      </c>
      <c r="D281">
        <v>5</v>
      </c>
      <c r="E281">
        <v>596.97</v>
      </c>
      <c r="F281" t="s">
        <v>84</v>
      </c>
      <c r="G281" t="s">
        <v>37</v>
      </c>
      <c r="H281">
        <v>0</v>
      </c>
      <c r="I281" t="s">
        <v>65</v>
      </c>
      <c r="J281">
        <v>2984.85</v>
      </c>
      <c r="K281" t="s">
        <v>47</v>
      </c>
      <c r="L281" t="s">
        <v>58</v>
      </c>
      <c r="M281">
        <v>0</v>
      </c>
      <c r="N281" t="s">
        <v>986</v>
      </c>
      <c r="O281" t="s">
        <v>987</v>
      </c>
      <c r="P281">
        <v>14.43</v>
      </c>
      <c r="Q281" s="2">
        <v>45115</v>
      </c>
      <c r="R281" t="s">
        <v>104</v>
      </c>
      <c r="S281" t="s">
        <v>62</v>
      </c>
      <c r="T281" t="s">
        <v>117</v>
      </c>
      <c r="U281">
        <v>2970.42</v>
      </c>
      <c r="V281">
        <v>0</v>
      </c>
    </row>
    <row r="282" spans="1:22" x14ac:dyDescent="0.3">
      <c r="A282" t="s">
        <v>682</v>
      </c>
      <c r="B282" t="s">
        <v>21</v>
      </c>
      <c r="C282" t="s">
        <v>100</v>
      </c>
      <c r="D282">
        <v>17</v>
      </c>
      <c r="E282">
        <v>376.98</v>
      </c>
      <c r="F282" t="s">
        <v>84</v>
      </c>
      <c r="G282" t="s">
        <v>37</v>
      </c>
      <c r="H282">
        <v>0.05</v>
      </c>
      <c r="I282" t="s">
        <v>46</v>
      </c>
      <c r="J282">
        <v>6088.23</v>
      </c>
      <c r="K282" t="s">
        <v>38</v>
      </c>
      <c r="L282" t="s">
        <v>48</v>
      </c>
      <c r="M282">
        <v>1</v>
      </c>
      <c r="N282" t="s">
        <v>988</v>
      </c>
      <c r="O282" t="s">
        <v>989</v>
      </c>
      <c r="P282">
        <v>38.479999999999997</v>
      </c>
      <c r="Q282" s="2">
        <v>44997</v>
      </c>
      <c r="R282" t="s">
        <v>685</v>
      </c>
      <c r="S282" t="s">
        <v>31</v>
      </c>
      <c r="T282" t="s">
        <v>98</v>
      </c>
      <c r="U282">
        <v>6049.75</v>
      </c>
      <c r="V282">
        <v>320.43299999999999</v>
      </c>
    </row>
    <row r="283" spans="1:22" x14ac:dyDescent="0.3">
      <c r="A283" t="s">
        <v>990</v>
      </c>
      <c r="B283" t="s">
        <v>45</v>
      </c>
      <c r="C283" t="s">
        <v>140</v>
      </c>
      <c r="D283">
        <v>6</v>
      </c>
      <c r="E283">
        <v>208.64</v>
      </c>
      <c r="F283" t="s">
        <v>55</v>
      </c>
      <c r="G283" t="s">
        <v>37</v>
      </c>
      <c r="H283">
        <v>0.1</v>
      </c>
      <c r="I283" t="s">
        <v>56</v>
      </c>
      <c r="J283">
        <v>1126.6600000000001</v>
      </c>
      <c r="K283" t="s">
        <v>101</v>
      </c>
      <c r="L283" t="s">
        <v>85</v>
      </c>
      <c r="M283">
        <v>0</v>
      </c>
      <c r="N283" t="s">
        <v>991</v>
      </c>
      <c r="O283" t="s">
        <v>992</v>
      </c>
      <c r="P283">
        <v>49.93</v>
      </c>
      <c r="Q283" s="2">
        <v>45299</v>
      </c>
      <c r="R283" t="s">
        <v>500</v>
      </c>
      <c r="S283" t="s">
        <v>51</v>
      </c>
      <c r="T283" t="s">
        <v>187</v>
      </c>
      <c r="U283">
        <v>1076.73</v>
      </c>
      <c r="V283">
        <v>125.184</v>
      </c>
    </row>
    <row r="284" spans="1:22" x14ac:dyDescent="0.3">
      <c r="A284" t="s">
        <v>151</v>
      </c>
      <c r="B284" t="s">
        <v>34</v>
      </c>
      <c r="C284" t="s">
        <v>22</v>
      </c>
      <c r="D284">
        <v>9</v>
      </c>
      <c r="E284">
        <v>188.03</v>
      </c>
      <c r="F284" t="s">
        <v>23</v>
      </c>
      <c r="G284" t="s">
        <v>37</v>
      </c>
      <c r="H284">
        <v>0</v>
      </c>
      <c r="I284" t="s">
        <v>56</v>
      </c>
      <c r="J284">
        <v>1692.27</v>
      </c>
      <c r="K284" t="s">
        <v>47</v>
      </c>
      <c r="L284" t="s">
        <v>85</v>
      </c>
      <c r="M284">
        <v>0</v>
      </c>
      <c r="N284" t="s">
        <v>993</v>
      </c>
      <c r="O284" t="s">
        <v>994</v>
      </c>
      <c r="P284">
        <v>11.44</v>
      </c>
      <c r="Q284" s="2">
        <v>45779</v>
      </c>
      <c r="R284" t="s">
        <v>777</v>
      </c>
      <c r="S284" t="s">
        <v>42</v>
      </c>
      <c r="T284" t="s">
        <v>63</v>
      </c>
      <c r="U284">
        <v>1680.83</v>
      </c>
      <c r="V284">
        <v>0</v>
      </c>
    </row>
    <row r="285" spans="1:22" x14ac:dyDescent="0.3">
      <c r="A285" t="s">
        <v>603</v>
      </c>
      <c r="B285" t="s">
        <v>21</v>
      </c>
      <c r="C285" t="s">
        <v>140</v>
      </c>
      <c r="D285">
        <v>10</v>
      </c>
      <c r="E285">
        <v>450.71</v>
      </c>
      <c r="F285" t="s">
        <v>23</v>
      </c>
      <c r="G285" t="s">
        <v>37</v>
      </c>
      <c r="H285">
        <v>0.1</v>
      </c>
      <c r="I285" t="s">
        <v>94</v>
      </c>
      <c r="J285">
        <v>4056.39</v>
      </c>
      <c r="K285" t="s">
        <v>57</v>
      </c>
      <c r="L285" t="s">
        <v>58</v>
      </c>
      <c r="M285">
        <v>0</v>
      </c>
      <c r="N285" t="s">
        <v>995</v>
      </c>
      <c r="O285" t="s">
        <v>996</v>
      </c>
      <c r="P285">
        <v>21.31</v>
      </c>
      <c r="Q285" s="2">
        <v>45019</v>
      </c>
      <c r="R285" t="s">
        <v>916</v>
      </c>
      <c r="S285" t="s">
        <v>31</v>
      </c>
      <c r="T285" t="s">
        <v>147</v>
      </c>
      <c r="U285">
        <v>4035.08</v>
      </c>
      <c r="V285">
        <v>450.71</v>
      </c>
    </row>
    <row r="286" spans="1:22" x14ac:dyDescent="0.3">
      <c r="A286" t="s">
        <v>729</v>
      </c>
      <c r="B286" t="s">
        <v>54</v>
      </c>
      <c r="C286" t="s">
        <v>71</v>
      </c>
      <c r="D286">
        <v>5</v>
      </c>
      <c r="E286">
        <v>206.42</v>
      </c>
      <c r="F286" t="s">
        <v>55</v>
      </c>
      <c r="G286" t="s">
        <v>37</v>
      </c>
      <c r="H286">
        <v>0.05</v>
      </c>
      <c r="I286" t="s">
        <v>25</v>
      </c>
      <c r="J286">
        <v>980.5</v>
      </c>
      <c r="K286" t="s">
        <v>38</v>
      </c>
      <c r="L286" t="s">
        <v>27</v>
      </c>
      <c r="M286">
        <v>0</v>
      </c>
      <c r="N286" t="s">
        <v>997</v>
      </c>
      <c r="O286" t="s">
        <v>998</v>
      </c>
      <c r="P286">
        <v>35.51</v>
      </c>
      <c r="Q286" s="2">
        <v>45418</v>
      </c>
      <c r="R286" t="s">
        <v>999</v>
      </c>
      <c r="S286" t="s">
        <v>62</v>
      </c>
      <c r="T286" t="s">
        <v>63</v>
      </c>
      <c r="U286">
        <v>944.99</v>
      </c>
      <c r="V286">
        <v>51.604999999999997</v>
      </c>
    </row>
    <row r="287" spans="1:22" x14ac:dyDescent="0.3">
      <c r="A287" t="s">
        <v>1000</v>
      </c>
      <c r="B287" t="s">
        <v>70</v>
      </c>
      <c r="C287" t="s">
        <v>140</v>
      </c>
      <c r="D287">
        <v>4</v>
      </c>
      <c r="E287">
        <v>256.83</v>
      </c>
      <c r="F287" t="s">
        <v>84</v>
      </c>
      <c r="G287" t="s">
        <v>24</v>
      </c>
      <c r="H287">
        <v>0.15</v>
      </c>
      <c r="I287" t="s">
        <v>46</v>
      </c>
      <c r="J287">
        <v>873.22</v>
      </c>
      <c r="K287" t="s">
        <v>47</v>
      </c>
      <c r="L287" t="s">
        <v>48</v>
      </c>
      <c r="M287">
        <v>1</v>
      </c>
      <c r="N287" t="s">
        <v>1001</v>
      </c>
      <c r="O287" t="s">
        <v>1002</v>
      </c>
      <c r="P287">
        <v>44.72</v>
      </c>
      <c r="Q287" s="2">
        <v>45542</v>
      </c>
      <c r="R287" t="s">
        <v>220</v>
      </c>
      <c r="S287" t="s">
        <v>75</v>
      </c>
      <c r="T287" t="s">
        <v>52</v>
      </c>
      <c r="U287">
        <v>828.5</v>
      </c>
      <c r="V287">
        <v>154.09799999999998</v>
      </c>
    </row>
    <row r="288" spans="1:22" x14ac:dyDescent="0.3">
      <c r="A288" t="s">
        <v>460</v>
      </c>
      <c r="B288" t="s">
        <v>34</v>
      </c>
      <c r="C288" t="s">
        <v>127</v>
      </c>
      <c r="D288">
        <v>1</v>
      </c>
      <c r="E288">
        <v>247.04</v>
      </c>
      <c r="F288" t="s">
        <v>36</v>
      </c>
      <c r="G288" t="s">
        <v>24</v>
      </c>
      <c r="H288">
        <v>0</v>
      </c>
      <c r="I288" t="s">
        <v>94</v>
      </c>
      <c r="J288">
        <v>247.04</v>
      </c>
      <c r="K288" t="s">
        <v>101</v>
      </c>
      <c r="L288" t="s">
        <v>85</v>
      </c>
      <c r="M288">
        <v>0</v>
      </c>
      <c r="N288" t="s">
        <v>1003</v>
      </c>
      <c r="O288" t="s">
        <v>1004</v>
      </c>
      <c r="P288">
        <v>26.86</v>
      </c>
      <c r="Q288" s="2">
        <v>45872</v>
      </c>
      <c r="R288" t="s">
        <v>61</v>
      </c>
      <c r="S288" t="s">
        <v>42</v>
      </c>
      <c r="T288" t="s">
        <v>82</v>
      </c>
      <c r="U288">
        <v>220.18</v>
      </c>
      <c r="V288">
        <v>0</v>
      </c>
    </row>
    <row r="289" spans="1:22" x14ac:dyDescent="0.3">
      <c r="A289" t="s">
        <v>948</v>
      </c>
      <c r="B289" t="s">
        <v>54</v>
      </c>
      <c r="C289" t="s">
        <v>35</v>
      </c>
      <c r="D289">
        <v>19</v>
      </c>
      <c r="E289">
        <v>267.02999999999997</v>
      </c>
      <c r="F289" t="s">
        <v>55</v>
      </c>
      <c r="G289" t="s">
        <v>24</v>
      </c>
      <c r="H289">
        <v>0.15</v>
      </c>
      <c r="I289" t="s">
        <v>94</v>
      </c>
      <c r="J289">
        <v>4312.53</v>
      </c>
      <c r="K289" t="s">
        <v>26</v>
      </c>
      <c r="L289" t="s">
        <v>58</v>
      </c>
      <c r="M289">
        <v>1</v>
      </c>
      <c r="N289" t="s">
        <v>1005</v>
      </c>
      <c r="O289" t="s">
        <v>1006</v>
      </c>
      <c r="P289">
        <v>35.82</v>
      </c>
      <c r="Q289" s="2">
        <v>45781</v>
      </c>
      <c r="R289" t="s">
        <v>1007</v>
      </c>
      <c r="S289" t="s">
        <v>62</v>
      </c>
      <c r="T289" t="s">
        <v>63</v>
      </c>
      <c r="U289">
        <v>4276.71</v>
      </c>
      <c r="V289">
        <v>761.03549999999996</v>
      </c>
    </row>
    <row r="290" spans="1:22" x14ac:dyDescent="0.3">
      <c r="A290" t="s">
        <v>262</v>
      </c>
      <c r="B290" t="s">
        <v>34</v>
      </c>
      <c r="C290" t="s">
        <v>140</v>
      </c>
      <c r="D290">
        <v>7</v>
      </c>
      <c r="E290">
        <v>77.69</v>
      </c>
      <c r="F290" t="s">
        <v>55</v>
      </c>
      <c r="G290" t="s">
        <v>24</v>
      </c>
      <c r="H290">
        <v>0</v>
      </c>
      <c r="I290" t="s">
        <v>46</v>
      </c>
      <c r="J290">
        <v>543.83000000000004</v>
      </c>
      <c r="K290" t="s">
        <v>101</v>
      </c>
      <c r="L290" t="s">
        <v>58</v>
      </c>
      <c r="M290">
        <v>0</v>
      </c>
      <c r="N290" t="s">
        <v>1008</v>
      </c>
      <c r="O290" t="s">
        <v>1009</v>
      </c>
      <c r="P290">
        <v>41.89</v>
      </c>
      <c r="Q290" s="2">
        <v>45415</v>
      </c>
      <c r="R290" t="s">
        <v>191</v>
      </c>
      <c r="S290" t="s">
        <v>42</v>
      </c>
      <c r="T290" t="s">
        <v>63</v>
      </c>
      <c r="U290">
        <v>501.94000000000005</v>
      </c>
      <c r="V290">
        <v>0</v>
      </c>
    </row>
    <row r="291" spans="1:22" x14ac:dyDescent="0.3">
      <c r="A291" t="s">
        <v>1010</v>
      </c>
      <c r="B291" t="s">
        <v>70</v>
      </c>
      <c r="C291" t="s">
        <v>71</v>
      </c>
      <c r="D291">
        <v>20</v>
      </c>
      <c r="E291">
        <v>312.43</v>
      </c>
      <c r="F291" t="s">
        <v>36</v>
      </c>
      <c r="G291" t="s">
        <v>37</v>
      </c>
      <c r="H291">
        <v>0</v>
      </c>
      <c r="I291" t="s">
        <v>46</v>
      </c>
      <c r="J291">
        <v>6248.6</v>
      </c>
      <c r="K291" t="s">
        <v>101</v>
      </c>
      <c r="L291" t="s">
        <v>58</v>
      </c>
      <c r="M291">
        <v>0</v>
      </c>
      <c r="N291" t="s">
        <v>1011</v>
      </c>
      <c r="O291" t="s">
        <v>1012</v>
      </c>
      <c r="P291">
        <v>28.11</v>
      </c>
      <c r="Q291" s="2">
        <v>45538</v>
      </c>
      <c r="R291" t="s">
        <v>883</v>
      </c>
      <c r="S291" t="s">
        <v>75</v>
      </c>
      <c r="T291" t="s">
        <v>52</v>
      </c>
      <c r="U291">
        <v>6220.4900000000007</v>
      </c>
      <c r="V291">
        <v>0</v>
      </c>
    </row>
    <row r="292" spans="1:22" x14ac:dyDescent="0.3">
      <c r="A292" t="s">
        <v>990</v>
      </c>
      <c r="B292" t="s">
        <v>34</v>
      </c>
      <c r="C292" t="s">
        <v>140</v>
      </c>
      <c r="D292">
        <v>20</v>
      </c>
      <c r="E292">
        <v>248.11</v>
      </c>
      <c r="F292" t="s">
        <v>55</v>
      </c>
      <c r="G292" t="s">
        <v>24</v>
      </c>
      <c r="H292">
        <v>0.05</v>
      </c>
      <c r="I292" t="s">
        <v>46</v>
      </c>
      <c r="J292">
        <v>4714.09</v>
      </c>
      <c r="K292" t="s">
        <v>26</v>
      </c>
      <c r="L292" t="s">
        <v>58</v>
      </c>
      <c r="M292">
        <v>0</v>
      </c>
      <c r="N292" t="s">
        <v>1013</v>
      </c>
      <c r="O292" t="s">
        <v>1014</v>
      </c>
      <c r="P292">
        <v>22.96</v>
      </c>
      <c r="Q292" s="2">
        <v>45299</v>
      </c>
      <c r="R292" t="s">
        <v>1015</v>
      </c>
      <c r="S292" t="s">
        <v>42</v>
      </c>
      <c r="T292" t="s">
        <v>187</v>
      </c>
      <c r="U292">
        <v>4691.13</v>
      </c>
      <c r="V292">
        <v>248.11000000000004</v>
      </c>
    </row>
    <row r="293" spans="1:22" x14ac:dyDescent="0.3">
      <c r="A293" t="s">
        <v>743</v>
      </c>
      <c r="B293" t="s">
        <v>21</v>
      </c>
      <c r="C293" t="s">
        <v>22</v>
      </c>
      <c r="D293">
        <v>6</v>
      </c>
      <c r="E293">
        <v>126.86</v>
      </c>
      <c r="F293" t="s">
        <v>36</v>
      </c>
      <c r="G293" t="s">
        <v>24</v>
      </c>
      <c r="H293">
        <v>0.05</v>
      </c>
      <c r="I293" t="s">
        <v>65</v>
      </c>
      <c r="J293">
        <v>723.1</v>
      </c>
      <c r="K293" t="s">
        <v>38</v>
      </c>
      <c r="L293" t="s">
        <v>85</v>
      </c>
      <c r="M293">
        <v>0</v>
      </c>
      <c r="N293" t="s">
        <v>1016</v>
      </c>
      <c r="O293" t="s">
        <v>1017</v>
      </c>
      <c r="P293">
        <v>35.49</v>
      </c>
      <c r="Q293" s="2">
        <v>45508</v>
      </c>
      <c r="R293" t="s">
        <v>68</v>
      </c>
      <c r="S293" t="s">
        <v>31</v>
      </c>
      <c r="T293" t="s">
        <v>82</v>
      </c>
      <c r="U293">
        <v>687.61</v>
      </c>
      <c r="V293">
        <v>38.058</v>
      </c>
    </row>
    <row r="294" spans="1:22" x14ac:dyDescent="0.3">
      <c r="A294" t="s">
        <v>567</v>
      </c>
      <c r="B294" t="s">
        <v>21</v>
      </c>
      <c r="C294" t="s">
        <v>35</v>
      </c>
      <c r="D294">
        <v>15</v>
      </c>
      <c r="E294">
        <v>240.05</v>
      </c>
      <c r="F294" t="s">
        <v>36</v>
      </c>
      <c r="G294" t="s">
        <v>37</v>
      </c>
      <c r="H294">
        <v>0.05</v>
      </c>
      <c r="I294" t="s">
        <v>46</v>
      </c>
      <c r="J294">
        <v>3420.71</v>
      </c>
      <c r="K294" t="s">
        <v>101</v>
      </c>
      <c r="L294" t="s">
        <v>85</v>
      </c>
      <c r="M294">
        <v>0</v>
      </c>
      <c r="N294" t="s">
        <v>1018</v>
      </c>
      <c r="O294" t="s">
        <v>1019</v>
      </c>
      <c r="P294">
        <v>14.31</v>
      </c>
      <c r="Q294" s="2">
        <v>45839</v>
      </c>
      <c r="R294" t="s">
        <v>754</v>
      </c>
      <c r="S294" t="s">
        <v>31</v>
      </c>
      <c r="T294" t="s">
        <v>117</v>
      </c>
      <c r="U294">
        <v>3406.4</v>
      </c>
      <c r="V294">
        <v>180.03750000000002</v>
      </c>
    </row>
    <row r="295" spans="1:22" x14ac:dyDescent="0.3">
      <c r="A295" t="s">
        <v>773</v>
      </c>
      <c r="B295" t="s">
        <v>45</v>
      </c>
      <c r="C295" t="s">
        <v>22</v>
      </c>
      <c r="D295">
        <v>10</v>
      </c>
      <c r="E295">
        <v>451.14</v>
      </c>
      <c r="F295" t="s">
        <v>84</v>
      </c>
      <c r="G295" t="s">
        <v>37</v>
      </c>
      <c r="H295">
        <v>0</v>
      </c>
      <c r="I295" t="s">
        <v>94</v>
      </c>
      <c r="J295">
        <v>4511.3999999999996</v>
      </c>
      <c r="K295" t="s">
        <v>57</v>
      </c>
      <c r="L295" t="s">
        <v>85</v>
      </c>
      <c r="M295">
        <v>0</v>
      </c>
      <c r="N295" t="s">
        <v>1020</v>
      </c>
      <c r="O295" t="s">
        <v>1021</v>
      </c>
      <c r="P295">
        <v>29.96</v>
      </c>
      <c r="Q295" s="2">
        <v>45717</v>
      </c>
      <c r="R295" t="s">
        <v>837</v>
      </c>
      <c r="S295" t="s">
        <v>51</v>
      </c>
      <c r="T295" t="s">
        <v>98</v>
      </c>
      <c r="U295">
        <v>4481.4399999999996</v>
      </c>
      <c r="V295">
        <v>0</v>
      </c>
    </row>
    <row r="296" spans="1:22" x14ac:dyDescent="0.3">
      <c r="A296" t="s">
        <v>1022</v>
      </c>
      <c r="B296" t="s">
        <v>34</v>
      </c>
      <c r="C296" t="s">
        <v>71</v>
      </c>
      <c r="D296">
        <v>9</v>
      </c>
      <c r="E296">
        <v>115.24</v>
      </c>
      <c r="F296" t="s">
        <v>23</v>
      </c>
      <c r="G296" t="s">
        <v>24</v>
      </c>
      <c r="H296">
        <v>0</v>
      </c>
      <c r="I296" t="s">
        <v>25</v>
      </c>
      <c r="J296">
        <v>1037.1600000000001</v>
      </c>
      <c r="K296" t="s">
        <v>101</v>
      </c>
      <c r="L296" t="s">
        <v>85</v>
      </c>
      <c r="M296">
        <v>0</v>
      </c>
      <c r="N296" t="s">
        <v>1023</v>
      </c>
      <c r="O296" t="s">
        <v>1024</v>
      </c>
      <c r="P296">
        <v>8.2799999999999994</v>
      </c>
      <c r="Q296" s="2">
        <v>45144</v>
      </c>
      <c r="R296" t="s">
        <v>1025</v>
      </c>
      <c r="S296" t="s">
        <v>42</v>
      </c>
      <c r="T296" t="s">
        <v>82</v>
      </c>
      <c r="U296">
        <v>1028.8800000000001</v>
      </c>
      <c r="V296">
        <v>0</v>
      </c>
    </row>
    <row r="297" spans="1:22" x14ac:dyDescent="0.3">
      <c r="A297" t="s">
        <v>537</v>
      </c>
      <c r="B297" t="s">
        <v>70</v>
      </c>
      <c r="C297" t="s">
        <v>22</v>
      </c>
      <c r="D297">
        <v>14</v>
      </c>
      <c r="E297">
        <v>175.66</v>
      </c>
      <c r="F297" t="s">
        <v>23</v>
      </c>
      <c r="G297" t="s">
        <v>24</v>
      </c>
      <c r="H297">
        <v>0.05</v>
      </c>
      <c r="I297" t="s">
        <v>94</v>
      </c>
      <c r="J297">
        <v>2336.2800000000002</v>
      </c>
      <c r="K297" t="s">
        <v>47</v>
      </c>
      <c r="L297" t="s">
        <v>58</v>
      </c>
      <c r="M297">
        <v>0</v>
      </c>
      <c r="N297" t="s">
        <v>1026</v>
      </c>
      <c r="O297" t="s">
        <v>1027</v>
      </c>
      <c r="P297">
        <v>26.12</v>
      </c>
      <c r="Q297" s="2">
        <v>45082</v>
      </c>
      <c r="R297" t="s">
        <v>1028</v>
      </c>
      <c r="S297" t="s">
        <v>75</v>
      </c>
      <c r="T297" t="s">
        <v>105</v>
      </c>
      <c r="U297">
        <v>2310.1600000000003</v>
      </c>
      <c r="V297">
        <v>122.96199999999999</v>
      </c>
    </row>
    <row r="298" spans="1:22" x14ac:dyDescent="0.3">
      <c r="A298" t="s">
        <v>562</v>
      </c>
      <c r="B298" t="s">
        <v>45</v>
      </c>
      <c r="C298" t="s">
        <v>22</v>
      </c>
      <c r="D298">
        <v>5</v>
      </c>
      <c r="E298">
        <v>538.52</v>
      </c>
      <c r="F298" t="s">
        <v>23</v>
      </c>
      <c r="G298" t="s">
        <v>24</v>
      </c>
      <c r="H298">
        <v>0.05</v>
      </c>
      <c r="I298" t="s">
        <v>25</v>
      </c>
      <c r="J298">
        <v>2557.9699999999998</v>
      </c>
      <c r="K298" t="s">
        <v>57</v>
      </c>
      <c r="L298" t="s">
        <v>48</v>
      </c>
      <c r="M298">
        <v>0</v>
      </c>
      <c r="N298" t="s">
        <v>1029</v>
      </c>
      <c r="O298" t="s">
        <v>1030</v>
      </c>
      <c r="P298">
        <v>45.81</v>
      </c>
      <c r="Q298" s="2">
        <v>45602</v>
      </c>
      <c r="R298" t="s">
        <v>1031</v>
      </c>
      <c r="S298" t="s">
        <v>51</v>
      </c>
      <c r="T298" t="s">
        <v>43</v>
      </c>
      <c r="U298">
        <v>2512.16</v>
      </c>
      <c r="V298">
        <v>134.63</v>
      </c>
    </row>
    <row r="299" spans="1:22" x14ac:dyDescent="0.3">
      <c r="A299" t="s">
        <v>1032</v>
      </c>
      <c r="B299" t="s">
        <v>45</v>
      </c>
      <c r="C299" t="s">
        <v>140</v>
      </c>
      <c r="D299">
        <v>10</v>
      </c>
      <c r="E299">
        <v>50.1</v>
      </c>
      <c r="F299" t="s">
        <v>84</v>
      </c>
      <c r="G299" t="s">
        <v>24</v>
      </c>
      <c r="H299">
        <v>0.1</v>
      </c>
      <c r="I299" t="s">
        <v>94</v>
      </c>
      <c r="J299">
        <v>450.9</v>
      </c>
      <c r="K299" t="s">
        <v>47</v>
      </c>
      <c r="L299" t="s">
        <v>85</v>
      </c>
      <c r="M299">
        <v>1</v>
      </c>
      <c r="N299" t="s">
        <v>1033</v>
      </c>
      <c r="O299" t="s">
        <v>1034</v>
      </c>
      <c r="P299">
        <v>23.43</v>
      </c>
      <c r="Q299" s="2">
        <v>45265</v>
      </c>
      <c r="R299" t="s">
        <v>30</v>
      </c>
      <c r="S299" t="s">
        <v>51</v>
      </c>
      <c r="T299" t="s">
        <v>76</v>
      </c>
      <c r="U299">
        <v>427.46999999999997</v>
      </c>
      <c r="V299">
        <v>50.1</v>
      </c>
    </row>
    <row r="300" spans="1:22" x14ac:dyDescent="0.3">
      <c r="A300" t="s">
        <v>576</v>
      </c>
      <c r="B300" t="s">
        <v>21</v>
      </c>
      <c r="C300" t="s">
        <v>100</v>
      </c>
      <c r="D300">
        <v>14</v>
      </c>
      <c r="E300">
        <v>117.31</v>
      </c>
      <c r="F300" t="s">
        <v>84</v>
      </c>
      <c r="G300" t="s">
        <v>24</v>
      </c>
      <c r="H300">
        <v>0</v>
      </c>
      <c r="I300" t="s">
        <v>78</v>
      </c>
      <c r="J300">
        <v>1642.34</v>
      </c>
      <c r="K300" t="s">
        <v>26</v>
      </c>
      <c r="L300" t="s">
        <v>27</v>
      </c>
      <c r="M300">
        <v>0</v>
      </c>
      <c r="N300" t="s">
        <v>1035</v>
      </c>
      <c r="O300" t="s">
        <v>1036</v>
      </c>
      <c r="P300">
        <v>41.24</v>
      </c>
      <c r="Q300" s="2">
        <v>45386</v>
      </c>
      <c r="R300" t="s">
        <v>1037</v>
      </c>
      <c r="S300" t="s">
        <v>31</v>
      </c>
      <c r="T300" t="s">
        <v>147</v>
      </c>
      <c r="U300">
        <v>1601.1</v>
      </c>
      <c r="V300">
        <v>0</v>
      </c>
    </row>
    <row r="301" spans="1:22" x14ac:dyDescent="0.3">
      <c r="A301" t="s">
        <v>207</v>
      </c>
      <c r="B301" t="s">
        <v>45</v>
      </c>
      <c r="C301" t="s">
        <v>109</v>
      </c>
      <c r="D301">
        <v>3</v>
      </c>
      <c r="E301">
        <v>193.98</v>
      </c>
      <c r="F301" t="s">
        <v>84</v>
      </c>
      <c r="G301" t="s">
        <v>37</v>
      </c>
      <c r="H301">
        <v>0</v>
      </c>
      <c r="I301" t="s">
        <v>94</v>
      </c>
      <c r="J301">
        <v>581.94000000000005</v>
      </c>
      <c r="K301" t="s">
        <v>101</v>
      </c>
      <c r="L301" t="s">
        <v>27</v>
      </c>
      <c r="M301">
        <v>0</v>
      </c>
      <c r="N301" t="s">
        <v>1038</v>
      </c>
      <c r="O301" t="s">
        <v>1039</v>
      </c>
      <c r="P301">
        <v>27.53</v>
      </c>
      <c r="Q301" s="2">
        <v>45992</v>
      </c>
      <c r="R301" t="s">
        <v>1040</v>
      </c>
      <c r="S301" t="s">
        <v>51</v>
      </c>
      <c r="T301" t="s">
        <v>76</v>
      </c>
      <c r="U301">
        <v>554.41000000000008</v>
      </c>
      <c r="V301">
        <v>0</v>
      </c>
    </row>
    <row r="302" spans="1:22" x14ac:dyDescent="0.3">
      <c r="A302" t="s">
        <v>928</v>
      </c>
      <c r="B302" t="s">
        <v>21</v>
      </c>
      <c r="C302" t="s">
        <v>35</v>
      </c>
      <c r="D302">
        <v>12</v>
      </c>
      <c r="E302">
        <v>81.33</v>
      </c>
      <c r="F302" t="s">
        <v>55</v>
      </c>
      <c r="G302" t="s">
        <v>24</v>
      </c>
      <c r="H302">
        <v>0</v>
      </c>
      <c r="I302" t="s">
        <v>46</v>
      </c>
      <c r="J302">
        <v>975.96</v>
      </c>
      <c r="K302" t="s">
        <v>47</v>
      </c>
      <c r="L302" t="s">
        <v>58</v>
      </c>
      <c r="M302">
        <v>1</v>
      </c>
      <c r="N302" t="s">
        <v>1041</v>
      </c>
      <c r="O302" t="s">
        <v>940</v>
      </c>
      <c r="P302">
        <v>30.73</v>
      </c>
      <c r="Q302" s="2">
        <v>45178</v>
      </c>
      <c r="R302" t="s">
        <v>1042</v>
      </c>
      <c r="S302" t="s">
        <v>31</v>
      </c>
      <c r="T302" t="s">
        <v>52</v>
      </c>
      <c r="U302">
        <v>945.23</v>
      </c>
      <c r="V302">
        <v>0</v>
      </c>
    </row>
    <row r="303" spans="1:22" x14ac:dyDescent="0.3">
      <c r="A303" t="s">
        <v>329</v>
      </c>
      <c r="B303" t="s">
        <v>54</v>
      </c>
      <c r="C303" t="s">
        <v>140</v>
      </c>
      <c r="D303">
        <v>4</v>
      </c>
      <c r="E303">
        <v>473.91</v>
      </c>
      <c r="F303" t="s">
        <v>84</v>
      </c>
      <c r="G303" t="s">
        <v>37</v>
      </c>
      <c r="H303">
        <v>0.05</v>
      </c>
      <c r="I303" t="s">
        <v>65</v>
      </c>
      <c r="J303">
        <v>1800.86</v>
      </c>
      <c r="K303" t="s">
        <v>101</v>
      </c>
      <c r="L303" t="s">
        <v>58</v>
      </c>
      <c r="M303">
        <v>0</v>
      </c>
      <c r="N303" t="s">
        <v>1043</v>
      </c>
      <c r="O303" t="s">
        <v>918</v>
      </c>
      <c r="P303">
        <v>29.22</v>
      </c>
      <c r="Q303" s="2">
        <v>45810</v>
      </c>
      <c r="R303" t="s">
        <v>1044</v>
      </c>
      <c r="S303" t="s">
        <v>62</v>
      </c>
      <c r="T303" t="s">
        <v>105</v>
      </c>
      <c r="U303">
        <v>1771.6399999999999</v>
      </c>
      <c r="V303">
        <v>94.782000000000011</v>
      </c>
    </row>
    <row r="304" spans="1:22" x14ac:dyDescent="0.3">
      <c r="A304" t="s">
        <v>908</v>
      </c>
      <c r="B304" t="s">
        <v>21</v>
      </c>
      <c r="C304" t="s">
        <v>71</v>
      </c>
      <c r="D304">
        <v>2</v>
      </c>
      <c r="E304">
        <v>437.04</v>
      </c>
      <c r="F304" t="s">
        <v>36</v>
      </c>
      <c r="G304" t="s">
        <v>24</v>
      </c>
      <c r="H304">
        <v>0</v>
      </c>
      <c r="I304" t="s">
        <v>56</v>
      </c>
      <c r="J304">
        <v>874.08</v>
      </c>
      <c r="K304" t="s">
        <v>101</v>
      </c>
      <c r="L304" t="s">
        <v>58</v>
      </c>
      <c r="M304">
        <v>1</v>
      </c>
      <c r="N304" t="s">
        <v>1045</v>
      </c>
      <c r="O304" t="s">
        <v>1046</v>
      </c>
      <c r="P304">
        <v>37.369999999999997</v>
      </c>
      <c r="Q304" s="2">
        <v>45302</v>
      </c>
      <c r="R304" t="s">
        <v>263</v>
      </c>
      <c r="S304" t="s">
        <v>31</v>
      </c>
      <c r="T304" t="s">
        <v>187</v>
      </c>
      <c r="U304">
        <v>836.71</v>
      </c>
      <c r="V304">
        <v>0</v>
      </c>
    </row>
    <row r="305" spans="1:22" x14ac:dyDescent="0.3">
      <c r="A305" t="s">
        <v>551</v>
      </c>
      <c r="B305" t="s">
        <v>54</v>
      </c>
      <c r="C305" t="s">
        <v>22</v>
      </c>
      <c r="D305">
        <v>5</v>
      </c>
      <c r="E305">
        <v>448.86</v>
      </c>
      <c r="F305" t="s">
        <v>36</v>
      </c>
      <c r="G305" t="s">
        <v>24</v>
      </c>
      <c r="H305">
        <v>0.15</v>
      </c>
      <c r="I305" t="s">
        <v>56</v>
      </c>
      <c r="J305">
        <v>1907.66</v>
      </c>
      <c r="K305" t="s">
        <v>101</v>
      </c>
      <c r="L305" t="s">
        <v>58</v>
      </c>
      <c r="M305">
        <v>1</v>
      </c>
      <c r="N305" t="s">
        <v>1047</v>
      </c>
      <c r="O305" t="s">
        <v>1048</v>
      </c>
      <c r="P305">
        <v>21.22</v>
      </c>
      <c r="Q305" s="2">
        <v>45634</v>
      </c>
      <c r="R305" t="s">
        <v>1049</v>
      </c>
      <c r="S305" t="s">
        <v>62</v>
      </c>
      <c r="T305" t="s">
        <v>76</v>
      </c>
      <c r="U305">
        <v>1886.44</v>
      </c>
      <c r="V305">
        <v>336.64500000000004</v>
      </c>
    </row>
    <row r="306" spans="1:22" x14ac:dyDescent="0.3">
      <c r="A306" t="s">
        <v>349</v>
      </c>
      <c r="B306" t="s">
        <v>45</v>
      </c>
      <c r="C306" t="s">
        <v>71</v>
      </c>
      <c r="D306">
        <v>14</v>
      </c>
      <c r="E306">
        <v>299.94</v>
      </c>
      <c r="F306" t="s">
        <v>55</v>
      </c>
      <c r="G306" t="s">
        <v>37</v>
      </c>
      <c r="H306">
        <v>0</v>
      </c>
      <c r="I306" t="s">
        <v>46</v>
      </c>
      <c r="J306">
        <v>4199.16</v>
      </c>
      <c r="K306" t="s">
        <v>57</v>
      </c>
      <c r="L306" t="s">
        <v>85</v>
      </c>
      <c r="M306">
        <v>0</v>
      </c>
      <c r="N306" t="s">
        <v>1050</v>
      </c>
      <c r="O306" t="s">
        <v>1051</v>
      </c>
      <c r="P306">
        <v>21.04</v>
      </c>
      <c r="Q306" s="2">
        <v>45873</v>
      </c>
      <c r="R306" t="s">
        <v>1052</v>
      </c>
      <c r="S306" t="s">
        <v>51</v>
      </c>
      <c r="T306" t="s">
        <v>82</v>
      </c>
      <c r="U306">
        <v>4178.12</v>
      </c>
      <c r="V306">
        <v>0</v>
      </c>
    </row>
    <row r="307" spans="1:22" x14ac:dyDescent="0.3">
      <c r="A307" t="s">
        <v>1053</v>
      </c>
      <c r="B307" t="s">
        <v>70</v>
      </c>
      <c r="C307" t="s">
        <v>71</v>
      </c>
      <c r="D307">
        <v>8</v>
      </c>
      <c r="E307">
        <v>432.27</v>
      </c>
      <c r="F307" t="s">
        <v>55</v>
      </c>
      <c r="G307" t="s">
        <v>37</v>
      </c>
      <c r="H307">
        <v>0.05</v>
      </c>
      <c r="I307" t="s">
        <v>65</v>
      </c>
      <c r="J307">
        <v>3285.25</v>
      </c>
      <c r="K307" t="s">
        <v>47</v>
      </c>
      <c r="L307" t="s">
        <v>85</v>
      </c>
      <c r="M307">
        <v>1</v>
      </c>
      <c r="N307" t="s">
        <v>1054</v>
      </c>
      <c r="O307" t="s">
        <v>1055</v>
      </c>
      <c r="P307">
        <v>20.64</v>
      </c>
      <c r="Q307" s="2">
        <v>45329</v>
      </c>
      <c r="R307" t="s">
        <v>973</v>
      </c>
      <c r="S307" t="s">
        <v>75</v>
      </c>
      <c r="T307" t="s">
        <v>199</v>
      </c>
      <c r="U307">
        <v>3264.61</v>
      </c>
      <c r="V307">
        <v>172.90800000000002</v>
      </c>
    </row>
    <row r="308" spans="1:22" x14ac:dyDescent="0.3">
      <c r="A308" t="s">
        <v>309</v>
      </c>
      <c r="B308" t="s">
        <v>21</v>
      </c>
      <c r="C308" t="s">
        <v>127</v>
      </c>
      <c r="D308">
        <v>4</v>
      </c>
      <c r="E308">
        <v>249.98</v>
      </c>
      <c r="F308" t="s">
        <v>36</v>
      </c>
      <c r="G308" t="s">
        <v>37</v>
      </c>
      <c r="H308">
        <v>0.15</v>
      </c>
      <c r="I308" t="s">
        <v>65</v>
      </c>
      <c r="J308">
        <v>849.93</v>
      </c>
      <c r="K308" t="s">
        <v>38</v>
      </c>
      <c r="L308" t="s">
        <v>58</v>
      </c>
      <c r="M308">
        <v>0</v>
      </c>
      <c r="N308" t="s">
        <v>1056</v>
      </c>
      <c r="O308" t="s">
        <v>1057</v>
      </c>
      <c r="P308">
        <v>49.08</v>
      </c>
      <c r="Q308" s="2">
        <v>45661</v>
      </c>
      <c r="R308" t="s">
        <v>312</v>
      </c>
      <c r="S308" t="s">
        <v>31</v>
      </c>
      <c r="T308" t="s">
        <v>187</v>
      </c>
      <c r="U308">
        <v>800.84999999999991</v>
      </c>
      <c r="V308">
        <v>149.988</v>
      </c>
    </row>
    <row r="309" spans="1:22" x14ac:dyDescent="0.3">
      <c r="A309" t="s">
        <v>1058</v>
      </c>
      <c r="B309" t="s">
        <v>34</v>
      </c>
      <c r="C309" t="s">
        <v>140</v>
      </c>
      <c r="D309">
        <v>14</v>
      </c>
      <c r="E309">
        <v>194.31</v>
      </c>
      <c r="F309" t="s">
        <v>36</v>
      </c>
      <c r="G309" t="s">
        <v>24</v>
      </c>
      <c r="H309">
        <v>0.15</v>
      </c>
      <c r="I309" t="s">
        <v>56</v>
      </c>
      <c r="J309">
        <v>2312.29</v>
      </c>
      <c r="K309" t="s">
        <v>38</v>
      </c>
      <c r="L309" t="s">
        <v>85</v>
      </c>
      <c r="M309">
        <v>0</v>
      </c>
      <c r="N309" t="s">
        <v>1059</v>
      </c>
      <c r="O309" t="s">
        <v>1060</v>
      </c>
      <c r="P309">
        <v>15.3</v>
      </c>
      <c r="Q309" s="2">
        <v>45694</v>
      </c>
      <c r="R309" t="s">
        <v>225</v>
      </c>
      <c r="S309" t="s">
        <v>42</v>
      </c>
      <c r="T309" t="s">
        <v>199</v>
      </c>
      <c r="U309">
        <v>2296.9899999999998</v>
      </c>
      <c r="V309">
        <v>408.05099999999999</v>
      </c>
    </row>
    <row r="310" spans="1:22" x14ac:dyDescent="0.3">
      <c r="A310" t="s">
        <v>1061</v>
      </c>
      <c r="B310" t="s">
        <v>34</v>
      </c>
      <c r="C310" t="s">
        <v>140</v>
      </c>
      <c r="D310">
        <v>15</v>
      </c>
      <c r="E310">
        <v>306.91000000000003</v>
      </c>
      <c r="F310" t="s">
        <v>84</v>
      </c>
      <c r="G310" t="s">
        <v>37</v>
      </c>
      <c r="H310">
        <v>0</v>
      </c>
      <c r="I310" t="s">
        <v>46</v>
      </c>
      <c r="J310">
        <v>4603.6499999999996</v>
      </c>
      <c r="K310" t="s">
        <v>47</v>
      </c>
      <c r="L310" t="s">
        <v>85</v>
      </c>
      <c r="M310">
        <v>1</v>
      </c>
      <c r="N310" t="s">
        <v>1062</v>
      </c>
      <c r="O310" t="s">
        <v>1063</v>
      </c>
      <c r="P310">
        <v>19.38</v>
      </c>
      <c r="Q310" s="2">
        <v>45566</v>
      </c>
      <c r="R310" t="s">
        <v>858</v>
      </c>
      <c r="S310" t="s">
        <v>42</v>
      </c>
      <c r="T310" t="s">
        <v>32</v>
      </c>
      <c r="U310">
        <v>4584.2699999999995</v>
      </c>
      <c r="V310">
        <v>0</v>
      </c>
    </row>
    <row r="311" spans="1:22" x14ac:dyDescent="0.3">
      <c r="A311" t="s">
        <v>476</v>
      </c>
      <c r="B311" t="s">
        <v>54</v>
      </c>
      <c r="C311" t="s">
        <v>127</v>
      </c>
      <c r="D311">
        <v>7</v>
      </c>
      <c r="E311">
        <v>83.32</v>
      </c>
      <c r="F311" t="s">
        <v>55</v>
      </c>
      <c r="G311" t="s">
        <v>24</v>
      </c>
      <c r="H311">
        <v>0.05</v>
      </c>
      <c r="I311" t="s">
        <v>46</v>
      </c>
      <c r="J311">
        <v>554.08000000000004</v>
      </c>
      <c r="K311" t="s">
        <v>47</v>
      </c>
      <c r="L311" t="s">
        <v>85</v>
      </c>
      <c r="M311">
        <v>0</v>
      </c>
      <c r="N311" t="s">
        <v>1064</v>
      </c>
      <c r="O311" t="s">
        <v>1065</v>
      </c>
      <c r="P311">
        <v>23.4</v>
      </c>
      <c r="Q311" s="2">
        <v>45546</v>
      </c>
      <c r="R311" t="s">
        <v>602</v>
      </c>
      <c r="S311" t="s">
        <v>62</v>
      </c>
      <c r="T311" t="s">
        <v>52</v>
      </c>
      <c r="U311">
        <v>530.68000000000006</v>
      </c>
      <c r="V311">
        <v>29.162000000000003</v>
      </c>
    </row>
    <row r="312" spans="1:22" x14ac:dyDescent="0.3">
      <c r="A312" t="s">
        <v>945</v>
      </c>
      <c r="B312" t="s">
        <v>54</v>
      </c>
      <c r="C312" t="s">
        <v>127</v>
      </c>
      <c r="D312">
        <v>4</v>
      </c>
      <c r="E312">
        <v>563.05999999999995</v>
      </c>
      <c r="F312" t="s">
        <v>55</v>
      </c>
      <c r="G312" t="s">
        <v>37</v>
      </c>
      <c r="H312">
        <v>0.05</v>
      </c>
      <c r="I312" t="s">
        <v>94</v>
      </c>
      <c r="J312">
        <v>2139.63</v>
      </c>
      <c r="K312" t="s">
        <v>47</v>
      </c>
      <c r="L312" t="s">
        <v>27</v>
      </c>
      <c r="M312">
        <v>0</v>
      </c>
      <c r="N312" t="s">
        <v>1066</v>
      </c>
      <c r="O312" t="s">
        <v>1067</v>
      </c>
      <c r="P312">
        <v>19.5</v>
      </c>
      <c r="Q312" s="2">
        <v>45355</v>
      </c>
      <c r="R312" t="s">
        <v>1037</v>
      </c>
      <c r="S312" t="s">
        <v>62</v>
      </c>
      <c r="T312" t="s">
        <v>98</v>
      </c>
      <c r="U312">
        <v>2120.13</v>
      </c>
      <c r="V312">
        <v>112.61199999999999</v>
      </c>
    </row>
    <row r="313" spans="1:22" x14ac:dyDescent="0.3">
      <c r="A313" t="s">
        <v>1068</v>
      </c>
      <c r="B313" t="s">
        <v>21</v>
      </c>
      <c r="C313" t="s">
        <v>71</v>
      </c>
      <c r="D313">
        <v>13</v>
      </c>
      <c r="E313">
        <v>256.35000000000002</v>
      </c>
      <c r="F313" t="s">
        <v>55</v>
      </c>
      <c r="G313" t="s">
        <v>24</v>
      </c>
      <c r="H313">
        <v>0.15</v>
      </c>
      <c r="I313" t="s">
        <v>25</v>
      </c>
      <c r="J313">
        <v>2832.67</v>
      </c>
      <c r="K313" t="s">
        <v>47</v>
      </c>
      <c r="L313" t="s">
        <v>58</v>
      </c>
      <c r="M313">
        <v>0</v>
      </c>
      <c r="N313" t="s">
        <v>1069</v>
      </c>
      <c r="O313" t="s">
        <v>1070</v>
      </c>
      <c r="P313">
        <v>26.04</v>
      </c>
      <c r="Q313" s="2">
        <v>45444</v>
      </c>
      <c r="R313" t="s">
        <v>423</v>
      </c>
      <c r="S313" t="s">
        <v>31</v>
      </c>
      <c r="T313" t="s">
        <v>105</v>
      </c>
      <c r="U313">
        <v>2806.63</v>
      </c>
      <c r="V313">
        <v>499.88249999999999</v>
      </c>
    </row>
    <row r="314" spans="1:22" x14ac:dyDescent="0.3">
      <c r="A314" t="s">
        <v>1071</v>
      </c>
      <c r="B314" t="s">
        <v>45</v>
      </c>
      <c r="C314" t="s">
        <v>140</v>
      </c>
      <c r="D314">
        <v>9</v>
      </c>
      <c r="E314">
        <v>303.26</v>
      </c>
      <c r="F314" t="s">
        <v>84</v>
      </c>
      <c r="G314" t="s">
        <v>24</v>
      </c>
      <c r="H314">
        <v>0.05</v>
      </c>
      <c r="I314" t="s">
        <v>78</v>
      </c>
      <c r="J314">
        <v>2592.87</v>
      </c>
      <c r="K314" t="s">
        <v>38</v>
      </c>
      <c r="L314" t="s">
        <v>85</v>
      </c>
      <c r="M314">
        <v>0</v>
      </c>
      <c r="N314" t="s">
        <v>1072</v>
      </c>
      <c r="O314" t="s">
        <v>1073</v>
      </c>
      <c r="P314">
        <v>17.010000000000002</v>
      </c>
      <c r="Q314" s="2">
        <v>44965</v>
      </c>
      <c r="R314" t="s">
        <v>521</v>
      </c>
      <c r="S314" t="s">
        <v>51</v>
      </c>
      <c r="T314" t="s">
        <v>199</v>
      </c>
      <c r="U314">
        <v>2575.8599999999997</v>
      </c>
      <c r="V314">
        <v>136.46700000000001</v>
      </c>
    </row>
    <row r="315" spans="1:22" x14ac:dyDescent="0.3">
      <c r="A315" t="s">
        <v>548</v>
      </c>
      <c r="B315" t="s">
        <v>45</v>
      </c>
      <c r="C315" t="s">
        <v>35</v>
      </c>
      <c r="D315">
        <v>19</v>
      </c>
      <c r="E315">
        <v>465.27</v>
      </c>
      <c r="F315" t="s">
        <v>36</v>
      </c>
      <c r="G315" t="s">
        <v>37</v>
      </c>
      <c r="H315">
        <v>0.05</v>
      </c>
      <c r="I315" t="s">
        <v>78</v>
      </c>
      <c r="J315">
        <v>8398.1200000000008</v>
      </c>
      <c r="K315" t="s">
        <v>101</v>
      </c>
      <c r="L315" t="s">
        <v>48</v>
      </c>
      <c r="M315">
        <v>0</v>
      </c>
      <c r="N315" t="s">
        <v>1074</v>
      </c>
      <c r="O315" t="s">
        <v>1075</v>
      </c>
      <c r="P315">
        <v>44.95</v>
      </c>
      <c r="Q315" s="2">
        <v>45870</v>
      </c>
      <c r="R315" t="s">
        <v>570</v>
      </c>
      <c r="S315" t="s">
        <v>51</v>
      </c>
      <c r="T315" t="s">
        <v>82</v>
      </c>
      <c r="U315">
        <v>8353.17</v>
      </c>
      <c r="V315">
        <v>442.00649999999996</v>
      </c>
    </row>
    <row r="316" spans="1:22" x14ac:dyDescent="0.3">
      <c r="A316" t="s">
        <v>630</v>
      </c>
      <c r="B316" t="s">
        <v>70</v>
      </c>
      <c r="C316" t="s">
        <v>35</v>
      </c>
      <c r="D316">
        <v>18</v>
      </c>
      <c r="E316">
        <v>343.68</v>
      </c>
      <c r="F316" t="s">
        <v>23</v>
      </c>
      <c r="G316" t="s">
        <v>37</v>
      </c>
      <c r="H316">
        <v>0</v>
      </c>
      <c r="I316" t="s">
        <v>65</v>
      </c>
      <c r="J316">
        <v>6186.24</v>
      </c>
      <c r="K316" t="s">
        <v>57</v>
      </c>
      <c r="L316" t="s">
        <v>58</v>
      </c>
      <c r="M316">
        <v>0</v>
      </c>
      <c r="N316" t="s">
        <v>1076</v>
      </c>
      <c r="O316" t="s">
        <v>1077</v>
      </c>
      <c r="P316">
        <v>20.37</v>
      </c>
      <c r="Q316" s="2">
        <v>45448</v>
      </c>
      <c r="R316" t="s">
        <v>618</v>
      </c>
      <c r="S316" t="s">
        <v>75</v>
      </c>
      <c r="T316" t="s">
        <v>105</v>
      </c>
      <c r="U316">
        <v>6165.87</v>
      </c>
      <c r="V316">
        <v>0</v>
      </c>
    </row>
    <row r="317" spans="1:22" x14ac:dyDescent="0.3">
      <c r="A317" t="s">
        <v>428</v>
      </c>
      <c r="B317" t="s">
        <v>54</v>
      </c>
      <c r="C317" t="s">
        <v>100</v>
      </c>
      <c r="D317">
        <v>20</v>
      </c>
      <c r="E317">
        <v>142.52000000000001</v>
      </c>
      <c r="F317" t="s">
        <v>84</v>
      </c>
      <c r="G317" t="s">
        <v>37</v>
      </c>
      <c r="H317">
        <v>0.1</v>
      </c>
      <c r="I317" t="s">
        <v>65</v>
      </c>
      <c r="J317">
        <v>2565.36</v>
      </c>
      <c r="K317" t="s">
        <v>47</v>
      </c>
      <c r="L317" t="s">
        <v>85</v>
      </c>
      <c r="M317">
        <v>0</v>
      </c>
      <c r="N317" t="s">
        <v>1078</v>
      </c>
      <c r="O317" t="s">
        <v>1079</v>
      </c>
      <c r="P317">
        <v>30.67</v>
      </c>
      <c r="Q317" s="2">
        <v>45109</v>
      </c>
      <c r="R317" t="s">
        <v>436</v>
      </c>
      <c r="S317" t="s">
        <v>62</v>
      </c>
      <c r="T317" t="s">
        <v>117</v>
      </c>
      <c r="U317">
        <v>2534.69</v>
      </c>
      <c r="V317">
        <v>285.04000000000002</v>
      </c>
    </row>
    <row r="318" spans="1:22" x14ac:dyDescent="0.3">
      <c r="A318" t="s">
        <v>1080</v>
      </c>
      <c r="B318" t="s">
        <v>70</v>
      </c>
      <c r="C318" t="s">
        <v>71</v>
      </c>
      <c r="D318">
        <v>1</v>
      </c>
      <c r="E318">
        <v>31.42</v>
      </c>
      <c r="F318" t="s">
        <v>23</v>
      </c>
      <c r="G318" t="s">
        <v>37</v>
      </c>
      <c r="H318">
        <v>0.05</v>
      </c>
      <c r="I318" t="s">
        <v>94</v>
      </c>
      <c r="J318">
        <v>29.85</v>
      </c>
      <c r="K318" t="s">
        <v>101</v>
      </c>
      <c r="L318" t="s">
        <v>58</v>
      </c>
      <c r="M318">
        <v>0</v>
      </c>
      <c r="N318" t="s">
        <v>1081</v>
      </c>
      <c r="O318" t="s">
        <v>1082</v>
      </c>
      <c r="P318">
        <v>11.35</v>
      </c>
      <c r="Q318" s="2">
        <v>44929</v>
      </c>
      <c r="R318" t="s">
        <v>605</v>
      </c>
      <c r="S318" t="s">
        <v>75</v>
      </c>
      <c r="T318" t="s">
        <v>187</v>
      </c>
      <c r="U318">
        <v>18.5</v>
      </c>
      <c r="V318">
        <v>1.5710000000000002</v>
      </c>
    </row>
    <row r="319" spans="1:22" x14ac:dyDescent="0.3">
      <c r="A319" t="s">
        <v>615</v>
      </c>
      <c r="B319" t="s">
        <v>21</v>
      </c>
      <c r="C319" t="s">
        <v>109</v>
      </c>
      <c r="D319">
        <v>17</v>
      </c>
      <c r="E319">
        <v>572.29</v>
      </c>
      <c r="F319" t="s">
        <v>55</v>
      </c>
      <c r="G319" t="s">
        <v>37</v>
      </c>
      <c r="H319">
        <v>0.15</v>
      </c>
      <c r="I319" t="s">
        <v>65</v>
      </c>
      <c r="J319">
        <v>8269.59</v>
      </c>
      <c r="K319" t="s">
        <v>26</v>
      </c>
      <c r="L319" t="s">
        <v>58</v>
      </c>
      <c r="M319">
        <v>1</v>
      </c>
      <c r="N319" t="s">
        <v>1083</v>
      </c>
      <c r="O319" t="s">
        <v>1084</v>
      </c>
      <c r="P319">
        <v>44.99</v>
      </c>
      <c r="Q319" s="2">
        <v>45509</v>
      </c>
      <c r="R319" t="s">
        <v>203</v>
      </c>
      <c r="S319" t="s">
        <v>31</v>
      </c>
      <c r="T319" t="s">
        <v>82</v>
      </c>
      <c r="U319">
        <v>8224.6</v>
      </c>
      <c r="V319">
        <v>1459.3395</v>
      </c>
    </row>
    <row r="320" spans="1:22" x14ac:dyDescent="0.3">
      <c r="A320" t="s">
        <v>1085</v>
      </c>
      <c r="B320" t="s">
        <v>70</v>
      </c>
      <c r="C320" t="s">
        <v>22</v>
      </c>
      <c r="D320">
        <v>18</v>
      </c>
      <c r="E320">
        <v>333.6</v>
      </c>
      <c r="F320" t="s">
        <v>84</v>
      </c>
      <c r="G320" t="s">
        <v>37</v>
      </c>
      <c r="H320">
        <v>0.1</v>
      </c>
      <c r="I320" t="s">
        <v>46</v>
      </c>
      <c r="J320">
        <v>5404.32</v>
      </c>
      <c r="K320" t="s">
        <v>38</v>
      </c>
      <c r="L320" t="s">
        <v>85</v>
      </c>
      <c r="M320">
        <v>1</v>
      </c>
      <c r="N320" t="s">
        <v>1086</v>
      </c>
      <c r="O320" t="s">
        <v>1087</v>
      </c>
      <c r="P320">
        <v>33.79</v>
      </c>
      <c r="Q320" s="2">
        <v>45449</v>
      </c>
      <c r="R320" t="s">
        <v>714</v>
      </c>
      <c r="S320" t="s">
        <v>75</v>
      </c>
      <c r="T320" t="s">
        <v>105</v>
      </c>
      <c r="U320">
        <v>5370.53</v>
      </c>
      <c r="V320">
        <v>600.48</v>
      </c>
    </row>
    <row r="321" spans="1:22" x14ac:dyDescent="0.3">
      <c r="A321" t="s">
        <v>263</v>
      </c>
      <c r="B321" t="s">
        <v>34</v>
      </c>
      <c r="C321" t="s">
        <v>35</v>
      </c>
      <c r="D321">
        <v>18</v>
      </c>
      <c r="E321">
        <v>153.28</v>
      </c>
      <c r="F321" t="s">
        <v>23</v>
      </c>
      <c r="G321" t="s">
        <v>37</v>
      </c>
      <c r="H321">
        <v>0.05</v>
      </c>
      <c r="I321" t="s">
        <v>56</v>
      </c>
      <c r="J321">
        <v>2621.09</v>
      </c>
      <c r="K321" t="s">
        <v>26</v>
      </c>
      <c r="L321" t="s">
        <v>27</v>
      </c>
      <c r="M321">
        <v>1</v>
      </c>
      <c r="N321" t="s">
        <v>1088</v>
      </c>
      <c r="O321" t="s">
        <v>1089</v>
      </c>
      <c r="P321">
        <v>33.71</v>
      </c>
      <c r="Q321" s="2">
        <v>45515</v>
      </c>
      <c r="R321" t="s">
        <v>308</v>
      </c>
      <c r="S321" t="s">
        <v>42</v>
      </c>
      <c r="T321" t="s">
        <v>82</v>
      </c>
      <c r="U321">
        <v>2587.38</v>
      </c>
      <c r="V321">
        <v>137.952</v>
      </c>
    </row>
    <row r="322" spans="1:22" x14ac:dyDescent="0.3">
      <c r="A322" t="s">
        <v>1090</v>
      </c>
      <c r="B322" t="s">
        <v>70</v>
      </c>
      <c r="C322" t="s">
        <v>127</v>
      </c>
      <c r="D322">
        <v>5</v>
      </c>
      <c r="E322">
        <v>367.61</v>
      </c>
      <c r="F322" t="s">
        <v>36</v>
      </c>
      <c r="G322" t="s">
        <v>37</v>
      </c>
      <c r="H322">
        <v>0</v>
      </c>
      <c r="I322" t="s">
        <v>25</v>
      </c>
      <c r="J322">
        <v>1838.05</v>
      </c>
      <c r="K322" t="s">
        <v>101</v>
      </c>
      <c r="L322" t="s">
        <v>58</v>
      </c>
      <c r="M322">
        <v>0</v>
      </c>
      <c r="N322" t="s">
        <v>1091</v>
      </c>
      <c r="O322" t="s">
        <v>1092</v>
      </c>
      <c r="P322">
        <v>19.55</v>
      </c>
      <c r="Q322" s="2">
        <v>45055</v>
      </c>
      <c r="R322" t="s">
        <v>1042</v>
      </c>
      <c r="S322" t="s">
        <v>75</v>
      </c>
      <c r="T322" t="s">
        <v>63</v>
      </c>
      <c r="U322">
        <v>1818.5</v>
      </c>
      <c r="V322">
        <v>0</v>
      </c>
    </row>
    <row r="323" spans="1:22" x14ac:dyDescent="0.3">
      <c r="A323" t="s">
        <v>844</v>
      </c>
      <c r="B323" t="s">
        <v>21</v>
      </c>
      <c r="C323" t="s">
        <v>71</v>
      </c>
      <c r="D323">
        <v>5</v>
      </c>
      <c r="E323">
        <v>32.56</v>
      </c>
      <c r="F323" t="s">
        <v>36</v>
      </c>
      <c r="G323" t="s">
        <v>37</v>
      </c>
      <c r="H323">
        <v>0.05</v>
      </c>
      <c r="I323" t="s">
        <v>78</v>
      </c>
      <c r="J323">
        <v>154.66</v>
      </c>
      <c r="K323" t="s">
        <v>47</v>
      </c>
      <c r="L323" t="s">
        <v>85</v>
      </c>
      <c r="M323">
        <v>0</v>
      </c>
      <c r="N323" t="s">
        <v>1093</v>
      </c>
      <c r="O323" t="s">
        <v>1094</v>
      </c>
      <c r="P323">
        <v>46.73</v>
      </c>
      <c r="Q323" s="2">
        <v>45814</v>
      </c>
      <c r="R323" t="s">
        <v>229</v>
      </c>
      <c r="S323" t="s">
        <v>31</v>
      </c>
      <c r="T323" t="s">
        <v>105</v>
      </c>
      <c r="U323">
        <v>107.93</v>
      </c>
      <c r="V323">
        <v>8.14</v>
      </c>
    </row>
    <row r="324" spans="1:22" x14ac:dyDescent="0.3">
      <c r="A324" t="s">
        <v>450</v>
      </c>
      <c r="B324" t="s">
        <v>34</v>
      </c>
      <c r="C324" t="s">
        <v>71</v>
      </c>
      <c r="D324">
        <v>12</v>
      </c>
      <c r="E324">
        <v>369.45</v>
      </c>
      <c r="F324" t="s">
        <v>55</v>
      </c>
      <c r="G324" t="s">
        <v>24</v>
      </c>
      <c r="H324">
        <v>0.1</v>
      </c>
      <c r="I324" t="s">
        <v>56</v>
      </c>
      <c r="J324">
        <v>3990.06</v>
      </c>
      <c r="K324" t="s">
        <v>101</v>
      </c>
      <c r="L324" t="s">
        <v>27</v>
      </c>
      <c r="M324">
        <v>1</v>
      </c>
      <c r="N324" t="s">
        <v>1095</v>
      </c>
      <c r="O324" t="s">
        <v>748</v>
      </c>
      <c r="P324">
        <v>44.76</v>
      </c>
      <c r="Q324" s="2">
        <v>45147</v>
      </c>
      <c r="R324" t="s">
        <v>652</v>
      </c>
      <c r="S324" t="s">
        <v>42</v>
      </c>
      <c r="T324" t="s">
        <v>82</v>
      </c>
      <c r="U324">
        <v>3945.2999999999997</v>
      </c>
      <c r="V324">
        <v>443.34</v>
      </c>
    </row>
    <row r="325" spans="1:22" x14ac:dyDescent="0.3">
      <c r="A325" t="s">
        <v>1096</v>
      </c>
      <c r="B325" t="s">
        <v>70</v>
      </c>
      <c r="C325" t="s">
        <v>109</v>
      </c>
      <c r="D325">
        <v>12</v>
      </c>
      <c r="E325">
        <v>181.96</v>
      </c>
      <c r="F325" t="s">
        <v>55</v>
      </c>
      <c r="G325" t="s">
        <v>37</v>
      </c>
      <c r="H325">
        <v>0.15</v>
      </c>
      <c r="I325" t="s">
        <v>65</v>
      </c>
      <c r="J325">
        <v>1855.99</v>
      </c>
      <c r="K325" t="s">
        <v>57</v>
      </c>
      <c r="L325" t="s">
        <v>27</v>
      </c>
      <c r="M325">
        <v>0</v>
      </c>
      <c r="N325" t="s">
        <v>1097</v>
      </c>
      <c r="O325" t="s">
        <v>1098</v>
      </c>
      <c r="P325">
        <v>25.06</v>
      </c>
      <c r="Q325" s="2">
        <v>45392</v>
      </c>
      <c r="R325" t="s">
        <v>699</v>
      </c>
      <c r="S325" t="s">
        <v>75</v>
      </c>
      <c r="T325" t="s">
        <v>147</v>
      </c>
      <c r="U325">
        <v>1830.93</v>
      </c>
      <c r="V325">
        <v>327.52799999999996</v>
      </c>
    </row>
    <row r="326" spans="1:22" x14ac:dyDescent="0.3">
      <c r="A326" t="s">
        <v>1099</v>
      </c>
      <c r="B326" t="s">
        <v>70</v>
      </c>
      <c r="C326" t="s">
        <v>22</v>
      </c>
      <c r="D326">
        <v>3</v>
      </c>
      <c r="E326">
        <v>32.07</v>
      </c>
      <c r="F326" t="s">
        <v>55</v>
      </c>
      <c r="G326" t="s">
        <v>37</v>
      </c>
      <c r="H326">
        <v>0.15</v>
      </c>
      <c r="I326" t="s">
        <v>25</v>
      </c>
      <c r="J326">
        <v>81.78</v>
      </c>
      <c r="K326" t="s">
        <v>26</v>
      </c>
      <c r="L326" t="s">
        <v>27</v>
      </c>
      <c r="M326">
        <v>1</v>
      </c>
      <c r="N326" t="s">
        <v>1100</v>
      </c>
      <c r="O326" t="s">
        <v>1101</v>
      </c>
      <c r="P326">
        <v>43.18</v>
      </c>
      <c r="Q326" s="2">
        <v>45812</v>
      </c>
      <c r="R326" t="s">
        <v>349</v>
      </c>
      <c r="S326" t="s">
        <v>75</v>
      </c>
      <c r="T326" t="s">
        <v>105</v>
      </c>
      <c r="U326">
        <v>38.6</v>
      </c>
      <c r="V326">
        <v>14.4315</v>
      </c>
    </row>
    <row r="327" spans="1:22" x14ac:dyDescent="0.3">
      <c r="A327" t="s">
        <v>880</v>
      </c>
      <c r="B327" t="s">
        <v>21</v>
      </c>
      <c r="C327" t="s">
        <v>71</v>
      </c>
      <c r="D327">
        <v>7</v>
      </c>
      <c r="E327">
        <v>374.43</v>
      </c>
      <c r="F327" t="s">
        <v>84</v>
      </c>
      <c r="G327" t="s">
        <v>37</v>
      </c>
      <c r="H327">
        <v>0.15</v>
      </c>
      <c r="I327" t="s">
        <v>46</v>
      </c>
      <c r="J327">
        <v>2227.86</v>
      </c>
      <c r="K327" t="s">
        <v>47</v>
      </c>
      <c r="L327" t="s">
        <v>58</v>
      </c>
      <c r="M327">
        <v>0</v>
      </c>
      <c r="N327" t="s">
        <v>1102</v>
      </c>
      <c r="O327" t="s">
        <v>1103</v>
      </c>
      <c r="P327">
        <v>28.97</v>
      </c>
      <c r="Q327" s="2">
        <v>45446</v>
      </c>
      <c r="R327" t="s">
        <v>191</v>
      </c>
      <c r="S327" t="s">
        <v>31</v>
      </c>
      <c r="T327" t="s">
        <v>105</v>
      </c>
      <c r="U327">
        <v>2198.8900000000003</v>
      </c>
      <c r="V327">
        <v>393.1515</v>
      </c>
    </row>
    <row r="328" spans="1:22" x14ac:dyDescent="0.3">
      <c r="A328" t="s">
        <v>1104</v>
      </c>
      <c r="B328" t="s">
        <v>45</v>
      </c>
      <c r="C328" t="s">
        <v>127</v>
      </c>
      <c r="D328">
        <v>20</v>
      </c>
      <c r="E328">
        <v>274.37</v>
      </c>
      <c r="F328" t="s">
        <v>23</v>
      </c>
      <c r="G328" t="s">
        <v>37</v>
      </c>
      <c r="H328">
        <v>0.1</v>
      </c>
      <c r="I328" t="s">
        <v>65</v>
      </c>
      <c r="J328">
        <v>4938.66</v>
      </c>
      <c r="K328" t="s">
        <v>57</v>
      </c>
      <c r="L328" t="s">
        <v>27</v>
      </c>
      <c r="M328">
        <v>0</v>
      </c>
      <c r="N328" t="s">
        <v>1105</v>
      </c>
      <c r="O328" t="s">
        <v>1106</v>
      </c>
      <c r="P328">
        <v>12.28</v>
      </c>
      <c r="Q328" s="2">
        <v>45200</v>
      </c>
      <c r="R328" t="s">
        <v>41</v>
      </c>
      <c r="S328" t="s">
        <v>51</v>
      </c>
      <c r="T328" t="s">
        <v>32</v>
      </c>
      <c r="U328">
        <v>4926.38</v>
      </c>
      <c r="V328">
        <v>548.74</v>
      </c>
    </row>
    <row r="329" spans="1:22" x14ac:dyDescent="0.3">
      <c r="A329" t="s">
        <v>520</v>
      </c>
      <c r="B329" t="s">
        <v>45</v>
      </c>
      <c r="C329" t="s">
        <v>127</v>
      </c>
      <c r="D329">
        <v>19</v>
      </c>
      <c r="E329">
        <v>62.07</v>
      </c>
      <c r="F329" t="s">
        <v>55</v>
      </c>
      <c r="G329" t="s">
        <v>37</v>
      </c>
      <c r="H329">
        <v>0.1</v>
      </c>
      <c r="I329" t="s">
        <v>78</v>
      </c>
      <c r="J329">
        <v>1061.4000000000001</v>
      </c>
      <c r="K329" t="s">
        <v>38</v>
      </c>
      <c r="L329" t="s">
        <v>85</v>
      </c>
      <c r="M329">
        <v>0</v>
      </c>
      <c r="N329" t="s">
        <v>1107</v>
      </c>
      <c r="O329" t="s">
        <v>1108</v>
      </c>
      <c r="P329">
        <v>14.85</v>
      </c>
      <c r="Q329" s="2">
        <v>45547</v>
      </c>
      <c r="R329" t="s">
        <v>1109</v>
      </c>
      <c r="S329" t="s">
        <v>51</v>
      </c>
      <c r="T329" t="s">
        <v>52</v>
      </c>
      <c r="U329">
        <v>1046.5500000000002</v>
      </c>
      <c r="V329">
        <v>117.93299999999999</v>
      </c>
    </row>
    <row r="330" spans="1:22" x14ac:dyDescent="0.3">
      <c r="A330" t="s">
        <v>20</v>
      </c>
      <c r="B330" t="s">
        <v>45</v>
      </c>
      <c r="C330" t="s">
        <v>109</v>
      </c>
      <c r="D330">
        <v>11</v>
      </c>
      <c r="E330">
        <v>529.20000000000005</v>
      </c>
      <c r="F330" t="s">
        <v>84</v>
      </c>
      <c r="G330" t="s">
        <v>24</v>
      </c>
      <c r="H330">
        <v>0.05</v>
      </c>
      <c r="I330" t="s">
        <v>94</v>
      </c>
      <c r="J330">
        <v>5530.14</v>
      </c>
      <c r="K330" t="s">
        <v>101</v>
      </c>
      <c r="L330" t="s">
        <v>48</v>
      </c>
      <c r="M330">
        <v>1</v>
      </c>
      <c r="N330" t="s">
        <v>1110</v>
      </c>
      <c r="O330" t="s">
        <v>1111</v>
      </c>
      <c r="P330">
        <v>16.78</v>
      </c>
      <c r="Q330" s="2">
        <v>45204</v>
      </c>
      <c r="R330" t="s">
        <v>1112</v>
      </c>
      <c r="S330" t="s">
        <v>51</v>
      </c>
      <c r="T330" t="s">
        <v>32</v>
      </c>
      <c r="U330">
        <v>5513.3600000000006</v>
      </c>
      <c r="V330">
        <v>291.06000000000006</v>
      </c>
    </row>
    <row r="331" spans="1:22" x14ac:dyDescent="0.3">
      <c r="A331" t="s">
        <v>1113</v>
      </c>
      <c r="B331" t="s">
        <v>34</v>
      </c>
      <c r="C331" t="s">
        <v>71</v>
      </c>
      <c r="D331">
        <v>1</v>
      </c>
      <c r="E331">
        <v>152.75</v>
      </c>
      <c r="F331" t="s">
        <v>84</v>
      </c>
      <c r="G331" t="s">
        <v>24</v>
      </c>
      <c r="H331">
        <v>0</v>
      </c>
      <c r="I331" t="s">
        <v>94</v>
      </c>
      <c r="J331">
        <v>152.75</v>
      </c>
      <c r="K331" t="s">
        <v>101</v>
      </c>
      <c r="L331" t="s">
        <v>85</v>
      </c>
      <c r="M331">
        <v>1</v>
      </c>
      <c r="N331" t="s">
        <v>1114</v>
      </c>
      <c r="O331" t="s">
        <v>1115</v>
      </c>
      <c r="P331">
        <v>9.61</v>
      </c>
      <c r="Q331" s="2">
        <v>45363</v>
      </c>
      <c r="R331" t="s">
        <v>1116</v>
      </c>
      <c r="S331" t="s">
        <v>42</v>
      </c>
      <c r="T331" t="s">
        <v>98</v>
      </c>
      <c r="U331">
        <v>143.13999999999999</v>
      </c>
      <c r="V331">
        <v>0</v>
      </c>
    </row>
    <row r="332" spans="1:22" x14ac:dyDescent="0.3">
      <c r="A332" t="s">
        <v>493</v>
      </c>
      <c r="B332" t="s">
        <v>34</v>
      </c>
      <c r="C332" t="s">
        <v>35</v>
      </c>
      <c r="D332">
        <v>8</v>
      </c>
      <c r="E332">
        <v>72.48</v>
      </c>
      <c r="F332" t="s">
        <v>84</v>
      </c>
      <c r="G332" t="s">
        <v>24</v>
      </c>
      <c r="H332">
        <v>0.1</v>
      </c>
      <c r="I332" t="s">
        <v>46</v>
      </c>
      <c r="J332">
        <v>521.86</v>
      </c>
      <c r="K332" t="s">
        <v>38</v>
      </c>
      <c r="L332" t="s">
        <v>48</v>
      </c>
      <c r="M332">
        <v>1</v>
      </c>
      <c r="N332" t="s">
        <v>1117</v>
      </c>
      <c r="O332" t="s">
        <v>1118</v>
      </c>
      <c r="P332">
        <v>26.92</v>
      </c>
      <c r="Q332" s="2">
        <v>45575</v>
      </c>
      <c r="R332" t="s">
        <v>485</v>
      </c>
      <c r="S332" t="s">
        <v>42</v>
      </c>
      <c r="T332" t="s">
        <v>32</v>
      </c>
      <c r="U332">
        <v>494.94</v>
      </c>
      <c r="V332">
        <v>57.984000000000009</v>
      </c>
    </row>
    <row r="333" spans="1:22" x14ac:dyDescent="0.3">
      <c r="A333" t="s">
        <v>365</v>
      </c>
      <c r="B333" t="s">
        <v>70</v>
      </c>
      <c r="C333" t="s">
        <v>71</v>
      </c>
      <c r="D333">
        <v>4</v>
      </c>
      <c r="E333">
        <v>194.09</v>
      </c>
      <c r="F333" t="s">
        <v>55</v>
      </c>
      <c r="G333" t="s">
        <v>24</v>
      </c>
      <c r="H333">
        <v>0.1</v>
      </c>
      <c r="I333" t="s">
        <v>65</v>
      </c>
      <c r="J333">
        <v>698.72</v>
      </c>
      <c r="K333" t="s">
        <v>101</v>
      </c>
      <c r="L333" t="s">
        <v>27</v>
      </c>
      <c r="M333">
        <v>0</v>
      </c>
      <c r="N333" t="s">
        <v>1119</v>
      </c>
      <c r="O333" t="s">
        <v>1120</v>
      </c>
      <c r="P333">
        <v>26.35</v>
      </c>
      <c r="Q333" s="2">
        <v>45357</v>
      </c>
      <c r="R333" t="s">
        <v>506</v>
      </c>
      <c r="S333" t="s">
        <v>75</v>
      </c>
      <c r="T333" t="s">
        <v>98</v>
      </c>
      <c r="U333">
        <v>672.37</v>
      </c>
      <c r="V333">
        <v>77.63600000000001</v>
      </c>
    </row>
    <row r="334" spans="1:22" x14ac:dyDescent="0.3">
      <c r="A334" t="s">
        <v>1121</v>
      </c>
      <c r="B334" t="s">
        <v>54</v>
      </c>
      <c r="C334" t="s">
        <v>35</v>
      </c>
      <c r="D334">
        <v>16</v>
      </c>
      <c r="E334">
        <v>541.96</v>
      </c>
      <c r="F334" t="s">
        <v>36</v>
      </c>
      <c r="G334" t="s">
        <v>37</v>
      </c>
      <c r="H334">
        <v>0.1</v>
      </c>
      <c r="I334" t="s">
        <v>65</v>
      </c>
      <c r="J334">
        <v>7804.22</v>
      </c>
      <c r="K334" t="s">
        <v>47</v>
      </c>
      <c r="L334" t="s">
        <v>58</v>
      </c>
      <c r="M334">
        <v>1</v>
      </c>
      <c r="N334" t="s">
        <v>1122</v>
      </c>
      <c r="O334" t="s">
        <v>1123</v>
      </c>
      <c r="P334">
        <v>9.93</v>
      </c>
      <c r="Q334" s="2">
        <v>45051</v>
      </c>
      <c r="R334" t="s">
        <v>925</v>
      </c>
      <c r="S334" t="s">
        <v>62</v>
      </c>
      <c r="T334" t="s">
        <v>63</v>
      </c>
      <c r="U334">
        <v>7794.29</v>
      </c>
      <c r="V334">
        <v>867.13600000000008</v>
      </c>
    </row>
    <row r="335" spans="1:22" x14ac:dyDescent="0.3">
      <c r="A335" t="s">
        <v>460</v>
      </c>
      <c r="B335" t="s">
        <v>34</v>
      </c>
      <c r="C335" t="s">
        <v>127</v>
      </c>
      <c r="D335">
        <v>16</v>
      </c>
      <c r="E335">
        <v>217.74</v>
      </c>
      <c r="F335" t="s">
        <v>84</v>
      </c>
      <c r="G335" t="s">
        <v>24</v>
      </c>
      <c r="H335">
        <v>0.15</v>
      </c>
      <c r="I335" t="s">
        <v>56</v>
      </c>
      <c r="J335">
        <v>2961.26</v>
      </c>
      <c r="K335" t="s">
        <v>47</v>
      </c>
      <c r="L335" t="s">
        <v>85</v>
      </c>
      <c r="M335">
        <v>1</v>
      </c>
      <c r="N335" t="s">
        <v>1124</v>
      </c>
      <c r="O335" t="s">
        <v>1125</v>
      </c>
      <c r="P335">
        <v>25.11</v>
      </c>
      <c r="Q335" s="2">
        <v>45872</v>
      </c>
      <c r="R335" t="s">
        <v>121</v>
      </c>
      <c r="S335" t="s">
        <v>42</v>
      </c>
      <c r="T335" t="s">
        <v>82</v>
      </c>
      <c r="U335">
        <v>2936.15</v>
      </c>
      <c r="V335">
        <v>522.57600000000002</v>
      </c>
    </row>
    <row r="336" spans="1:22" x14ac:dyDescent="0.3">
      <c r="A336" t="s">
        <v>1126</v>
      </c>
      <c r="B336" t="s">
        <v>70</v>
      </c>
      <c r="C336" t="s">
        <v>140</v>
      </c>
      <c r="D336">
        <v>15</v>
      </c>
      <c r="E336">
        <v>324.58</v>
      </c>
      <c r="F336" t="s">
        <v>84</v>
      </c>
      <c r="G336" t="s">
        <v>37</v>
      </c>
      <c r="H336">
        <v>0.15</v>
      </c>
      <c r="I336" t="s">
        <v>78</v>
      </c>
      <c r="J336">
        <v>4138.3999999999996</v>
      </c>
      <c r="K336" t="s">
        <v>38</v>
      </c>
      <c r="L336" t="s">
        <v>48</v>
      </c>
      <c r="M336">
        <v>0</v>
      </c>
      <c r="N336" t="s">
        <v>1127</v>
      </c>
      <c r="O336" t="s">
        <v>1128</v>
      </c>
      <c r="P336">
        <v>24.57</v>
      </c>
      <c r="Q336" s="2">
        <v>45052</v>
      </c>
      <c r="R336" t="s">
        <v>135</v>
      </c>
      <c r="S336" t="s">
        <v>75</v>
      </c>
      <c r="T336" t="s">
        <v>63</v>
      </c>
      <c r="U336">
        <v>4113.83</v>
      </c>
      <c r="V336">
        <v>730.30499999999995</v>
      </c>
    </row>
    <row r="337" spans="1:22" x14ac:dyDescent="0.3">
      <c r="A337" t="s">
        <v>1129</v>
      </c>
      <c r="B337" t="s">
        <v>21</v>
      </c>
      <c r="C337" t="s">
        <v>140</v>
      </c>
      <c r="D337">
        <v>8</v>
      </c>
      <c r="E337">
        <v>141.28</v>
      </c>
      <c r="F337" t="s">
        <v>55</v>
      </c>
      <c r="G337" t="s">
        <v>24</v>
      </c>
      <c r="H337">
        <v>0.05</v>
      </c>
      <c r="I337" t="s">
        <v>56</v>
      </c>
      <c r="J337">
        <v>1073.73</v>
      </c>
      <c r="K337" t="s">
        <v>26</v>
      </c>
      <c r="L337" t="s">
        <v>85</v>
      </c>
      <c r="M337">
        <v>0</v>
      </c>
      <c r="N337" t="s">
        <v>1130</v>
      </c>
      <c r="O337" t="s">
        <v>950</v>
      </c>
      <c r="P337">
        <v>28.69</v>
      </c>
      <c r="Q337" s="2">
        <v>44934</v>
      </c>
      <c r="R337" t="s">
        <v>139</v>
      </c>
      <c r="S337" t="s">
        <v>31</v>
      </c>
      <c r="T337" t="s">
        <v>187</v>
      </c>
      <c r="U337">
        <v>1045.04</v>
      </c>
      <c r="V337">
        <v>56.512</v>
      </c>
    </row>
    <row r="338" spans="1:22" x14ac:dyDescent="0.3">
      <c r="A338" t="s">
        <v>277</v>
      </c>
      <c r="B338" t="s">
        <v>54</v>
      </c>
      <c r="C338" t="s">
        <v>71</v>
      </c>
      <c r="D338">
        <v>13</v>
      </c>
      <c r="E338">
        <v>227.64</v>
      </c>
      <c r="F338" t="s">
        <v>36</v>
      </c>
      <c r="G338" t="s">
        <v>37</v>
      </c>
      <c r="H338">
        <v>0.15</v>
      </c>
      <c r="I338" t="s">
        <v>56</v>
      </c>
      <c r="J338">
        <v>2515.42</v>
      </c>
      <c r="K338" t="s">
        <v>47</v>
      </c>
      <c r="L338" t="s">
        <v>85</v>
      </c>
      <c r="M338">
        <v>1</v>
      </c>
      <c r="N338" t="s">
        <v>1131</v>
      </c>
      <c r="O338" t="s">
        <v>1132</v>
      </c>
      <c r="P338">
        <v>46.67</v>
      </c>
      <c r="Q338" s="2">
        <v>45993</v>
      </c>
      <c r="R338" t="s">
        <v>1133</v>
      </c>
      <c r="S338" t="s">
        <v>62</v>
      </c>
      <c r="T338" t="s">
        <v>76</v>
      </c>
      <c r="U338">
        <v>2468.75</v>
      </c>
      <c r="V338">
        <v>443.89799999999997</v>
      </c>
    </row>
    <row r="339" spans="1:22" x14ac:dyDescent="0.3">
      <c r="A339" t="s">
        <v>579</v>
      </c>
      <c r="B339" t="s">
        <v>45</v>
      </c>
      <c r="C339" t="s">
        <v>100</v>
      </c>
      <c r="D339">
        <v>19</v>
      </c>
      <c r="E339">
        <v>341.07</v>
      </c>
      <c r="F339" t="s">
        <v>36</v>
      </c>
      <c r="G339" t="s">
        <v>37</v>
      </c>
      <c r="H339">
        <v>0.1</v>
      </c>
      <c r="I339" t="s">
        <v>46</v>
      </c>
      <c r="J339">
        <v>5832.3</v>
      </c>
      <c r="K339" t="s">
        <v>47</v>
      </c>
      <c r="L339" t="s">
        <v>27</v>
      </c>
      <c r="M339">
        <v>0</v>
      </c>
      <c r="N339" t="s">
        <v>1134</v>
      </c>
      <c r="O339" t="s">
        <v>1135</v>
      </c>
      <c r="P339">
        <v>47.75</v>
      </c>
      <c r="Q339" s="2">
        <v>44992</v>
      </c>
      <c r="R339" t="s">
        <v>582</v>
      </c>
      <c r="S339" t="s">
        <v>51</v>
      </c>
      <c r="T339" t="s">
        <v>98</v>
      </c>
      <c r="U339">
        <v>5784.55</v>
      </c>
      <c r="V339">
        <v>648.03300000000002</v>
      </c>
    </row>
    <row r="340" spans="1:22" x14ac:dyDescent="0.3">
      <c r="A340" t="s">
        <v>639</v>
      </c>
      <c r="B340" t="s">
        <v>45</v>
      </c>
      <c r="C340" t="s">
        <v>71</v>
      </c>
      <c r="D340">
        <v>20</v>
      </c>
      <c r="E340">
        <v>324.55</v>
      </c>
      <c r="F340" t="s">
        <v>23</v>
      </c>
      <c r="G340" t="s">
        <v>24</v>
      </c>
      <c r="H340">
        <v>0.05</v>
      </c>
      <c r="I340" t="s">
        <v>65</v>
      </c>
      <c r="J340">
        <v>6166.45</v>
      </c>
      <c r="K340" t="s">
        <v>101</v>
      </c>
      <c r="L340" t="s">
        <v>27</v>
      </c>
      <c r="M340">
        <v>1</v>
      </c>
      <c r="N340" t="s">
        <v>1136</v>
      </c>
      <c r="O340" t="s">
        <v>1137</v>
      </c>
      <c r="P340">
        <v>21.21</v>
      </c>
      <c r="Q340" s="2">
        <v>45905</v>
      </c>
      <c r="R340" t="s">
        <v>1138</v>
      </c>
      <c r="S340" t="s">
        <v>51</v>
      </c>
      <c r="T340" t="s">
        <v>52</v>
      </c>
      <c r="U340">
        <v>6145.24</v>
      </c>
      <c r="V340">
        <v>324.55</v>
      </c>
    </row>
    <row r="341" spans="1:22" x14ac:dyDescent="0.3">
      <c r="A341" t="s">
        <v>816</v>
      </c>
      <c r="B341" t="s">
        <v>54</v>
      </c>
      <c r="C341" t="s">
        <v>22</v>
      </c>
      <c r="D341">
        <v>16</v>
      </c>
      <c r="E341">
        <v>301.07</v>
      </c>
      <c r="F341" t="s">
        <v>23</v>
      </c>
      <c r="G341" t="s">
        <v>37</v>
      </c>
      <c r="H341">
        <v>0.1</v>
      </c>
      <c r="I341" t="s">
        <v>46</v>
      </c>
      <c r="J341">
        <v>4335.41</v>
      </c>
      <c r="K341" t="s">
        <v>57</v>
      </c>
      <c r="L341" t="s">
        <v>27</v>
      </c>
      <c r="M341">
        <v>0</v>
      </c>
      <c r="N341" t="s">
        <v>1139</v>
      </c>
      <c r="O341" t="s">
        <v>1140</v>
      </c>
      <c r="P341">
        <v>5.58</v>
      </c>
      <c r="Q341" s="2">
        <v>45417</v>
      </c>
      <c r="R341" t="s">
        <v>618</v>
      </c>
      <c r="S341" t="s">
        <v>62</v>
      </c>
      <c r="T341" t="s">
        <v>63</v>
      </c>
      <c r="U341">
        <v>4329.83</v>
      </c>
      <c r="V341">
        <v>481.71199999999999</v>
      </c>
    </row>
    <row r="342" spans="1:22" x14ac:dyDescent="0.3">
      <c r="A342" t="s">
        <v>423</v>
      </c>
      <c r="B342" t="s">
        <v>34</v>
      </c>
      <c r="C342" t="s">
        <v>127</v>
      </c>
      <c r="D342">
        <v>13</v>
      </c>
      <c r="E342">
        <v>285.27999999999997</v>
      </c>
      <c r="F342" t="s">
        <v>55</v>
      </c>
      <c r="G342" t="s">
        <v>37</v>
      </c>
      <c r="H342">
        <v>0</v>
      </c>
      <c r="I342" t="s">
        <v>65</v>
      </c>
      <c r="J342">
        <v>3708.64</v>
      </c>
      <c r="K342" t="s">
        <v>57</v>
      </c>
      <c r="L342" t="s">
        <v>58</v>
      </c>
      <c r="M342">
        <v>0</v>
      </c>
      <c r="N342" t="s">
        <v>1141</v>
      </c>
      <c r="O342" t="s">
        <v>1142</v>
      </c>
      <c r="P342">
        <v>31.2</v>
      </c>
      <c r="Q342" s="2">
        <v>45505</v>
      </c>
      <c r="R342" t="s">
        <v>167</v>
      </c>
      <c r="S342" t="s">
        <v>42</v>
      </c>
      <c r="T342" t="s">
        <v>82</v>
      </c>
      <c r="U342">
        <v>3677.44</v>
      </c>
      <c r="V342">
        <v>0</v>
      </c>
    </row>
    <row r="343" spans="1:22" x14ac:dyDescent="0.3">
      <c r="A343" t="s">
        <v>229</v>
      </c>
      <c r="B343" t="s">
        <v>70</v>
      </c>
      <c r="C343" t="s">
        <v>140</v>
      </c>
      <c r="D343">
        <v>11</v>
      </c>
      <c r="E343">
        <v>495.44</v>
      </c>
      <c r="F343" t="s">
        <v>84</v>
      </c>
      <c r="G343" t="s">
        <v>24</v>
      </c>
      <c r="H343">
        <v>0</v>
      </c>
      <c r="I343" t="s">
        <v>94</v>
      </c>
      <c r="J343">
        <v>5449.84</v>
      </c>
      <c r="K343" t="s">
        <v>57</v>
      </c>
      <c r="L343" t="s">
        <v>85</v>
      </c>
      <c r="M343">
        <v>0</v>
      </c>
      <c r="N343" t="s">
        <v>1143</v>
      </c>
      <c r="O343" t="s">
        <v>1144</v>
      </c>
      <c r="P343">
        <v>44.77</v>
      </c>
      <c r="Q343" s="2">
        <v>45997</v>
      </c>
      <c r="R343" t="s">
        <v>378</v>
      </c>
      <c r="S343" t="s">
        <v>75</v>
      </c>
      <c r="T343" t="s">
        <v>76</v>
      </c>
      <c r="U343">
        <v>5405.07</v>
      </c>
      <c r="V343">
        <v>0</v>
      </c>
    </row>
    <row r="344" spans="1:22" x14ac:dyDescent="0.3">
      <c r="A344" t="s">
        <v>1145</v>
      </c>
      <c r="B344" t="s">
        <v>21</v>
      </c>
      <c r="C344" t="s">
        <v>100</v>
      </c>
      <c r="D344">
        <v>12</v>
      </c>
      <c r="E344">
        <v>276.42</v>
      </c>
      <c r="F344" t="s">
        <v>36</v>
      </c>
      <c r="G344" t="s">
        <v>37</v>
      </c>
      <c r="H344">
        <v>0.15</v>
      </c>
      <c r="I344" t="s">
        <v>46</v>
      </c>
      <c r="J344">
        <v>2819.48</v>
      </c>
      <c r="K344" t="s">
        <v>26</v>
      </c>
      <c r="L344" t="s">
        <v>48</v>
      </c>
      <c r="M344">
        <v>0</v>
      </c>
      <c r="N344" t="s">
        <v>1146</v>
      </c>
      <c r="O344" t="s">
        <v>1147</v>
      </c>
      <c r="P344">
        <v>30.57</v>
      </c>
      <c r="Q344" s="2">
        <v>45720</v>
      </c>
      <c r="R344" t="s">
        <v>1148</v>
      </c>
      <c r="S344" t="s">
        <v>31</v>
      </c>
      <c r="T344" t="s">
        <v>98</v>
      </c>
      <c r="U344">
        <v>2788.91</v>
      </c>
      <c r="V344">
        <v>497.55599999999998</v>
      </c>
    </row>
    <row r="345" spans="1:22" x14ac:dyDescent="0.3">
      <c r="A345" t="s">
        <v>811</v>
      </c>
      <c r="B345" t="s">
        <v>45</v>
      </c>
      <c r="C345" t="s">
        <v>127</v>
      </c>
      <c r="D345">
        <v>1</v>
      </c>
      <c r="E345">
        <v>498.19</v>
      </c>
      <c r="F345" t="s">
        <v>84</v>
      </c>
      <c r="G345" t="s">
        <v>24</v>
      </c>
      <c r="H345">
        <v>0.1</v>
      </c>
      <c r="I345" t="s">
        <v>94</v>
      </c>
      <c r="J345">
        <v>448.37</v>
      </c>
      <c r="K345" t="s">
        <v>57</v>
      </c>
      <c r="L345" t="s">
        <v>58</v>
      </c>
      <c r="M345">
        <v>0</v>
      </c>
      <c r="N345" t="s">
        <v>1149</v>
      </c>
      <c r="O345" t="s">
        <v>1150</v>
      </c>
      <c r="P345">
        <v>25.55</v>
      </c>
      <c r="Q345" s="2">
        <v>45108</v>
      </c>
      <c r="R345" t="s">
        <v>33</v>
      </c>
      <c r="S345" t="s">
        <v>51</v>
      </c>
      <c r="T345" t="s">
        <v>117</v>
      </c>
      <c r="U345">
        <v>422.82</v>
      </c>
      <c r="V345">
        <v>49.819000000000003</v>
      </c>
    </row>
    <row r="346" spans="1:22" x14ac:dyDescent="0.3">
      <c r="A346" t="s">
        <v>168</v>
      </c>
      <c r="B346" t="s">
        <v>21</v>
      </c>
      <c r="C346" t="s">
        <v>22</v>
      </c>
      <c r="D346">
        <v>19</v>
      </c>
      <c r="E346">
        <v>278.04000000000002</v>
      </c>
      <c r="F346" t="s">
        <v>23</v>
      </c>
      <c r="G346" t="s">
        <v>37</v>
      </c>
      <c r="H346">
        <v>0.05</v>
      </c>
      <c r="I346" t="s">
        <v>94</v>
      </c>
      <c r="J346">
        <v>5018.62</v>
      </c>
      <c r="K346" t="s">
        <v>101</v>
      </c>
      <c r="L346" t="s">
        <v>58</v>
      </c>
      <c r="M346">
        <v>0</v>
      </c>
      <c r="N346" t="s">
        <v>1151</v>
      </c>
      <c r="O346" t="s">
        <v>1152</v>
      </c>
      <c r="P346">
        <v>16.399999999999999</v>
      </c>
      <c r="Q346" s="2">
        <v>45967</v>
      </c>
      <c r="R346" t="s">
        <v>250</v>
      </c>
      <c r="S346" t="s">
        <v>31</v>
      </c>
      <c r="T346" t="s">
        <v>43</v>
      </c>
      <c r="U346">
        <v>5002.22</v>
      </c>
      <c r="V346">
        <v>264.13800000000003</v>
      </c>
    </row>
    <row r="347" spans="1:22" x14ac:dyDescent="0.3">
      <c r="A347" t="s">
        <v>305</v>
      </c>
      <c r="B347" t="s">
        <v>70</v>
      </c>
      <c r="C347" t="s">
        <v>127</v>
      </c>
      <c r="D347">
        <v>11</v>
      </c>
      <c r="E347">
        <v>200.3</v>
      </c>
      <c r="F347" t="s">
        <v>55</v>
      </c>
      <c r="G347" t="s">
        <v>37</v>
      </c>
      <c r="H347">
        <v>0.1</v>
      </c>
      <c r="I347" t="s">
        <v>65</v>
      </c>
      <c r="J347">
        <v>1982.97</v>
      </c>
      <c r="K347" t="s">
        <v>38</v>
      </c>
      <c r="L347" t="s">
        <v>27</v>
      </c>
      <c r="M347">
        <v>1</v>
      </c>
      <c r="N347" t="s">
        <v>1153</v>
      </c>
      <c r="O347" t="s">
        <v>1154</v>
      </c>
      <c r="P347">
        <v>48.27</v>
      </c>
      <c r="Q347" s="2">
        <v>45454</v>
      </c>
      <c r="R347" t="s">
        <v>308</v>
      </c>
      <c r="S347" t="s">
        <v>75</v>
      </c>
      <c r="T347" t="s">
        <v>105</v>
      </c>
      <c r="U347">
        <v>1934.7</v>
      </c>
      <c r="V347">
        <v>220.33000000000004</v>
      </c>
    </row>
    <row r="348" spans="1:22" x14ac:dyDescent="0.3">
      <c r="A348" t="s">
        <v>277</v>
      </c>
      <c r="B348" t="s">
        <v>21</v>
      </c>
      <c r="C348" t="s">
        <v>140</v>
      </c>
      <c r="D348">
        <v>4</v>
      </c>
      <c r="E348">
        <v>75.8</v>
      </c>
      <c r="F348" t="s">
        <v>36</v>
      </c>
      <c r="G348" t="s">
        <v>37</v>
      </c>
      <c r="H348">
        <v>0.15</v>
      </c>
      <c r="I348" t="s">
        <v>46</v>
      </c>
      <c r="J348">
        <v>257.72000000000003</v>
      </c>
      <c r="K348" t="s">
        <v>101</v>
      </c>
      <c r="L348" t="s">
        <v>58</v>
      </c>
      <c r="M348">
        <v>0</v>
      </c>
      <c r="N348" t="s">
        <v>1155</v>
      </c>
      <c r="O348" t="s">
        <v>1156</v>
      </c>
      <c r="P348">
        <v>12.22</v>
      </c>
      <c r="Q348" s="2">
        <v>45993</v>
      </c>
      <c r="R348" t="s">
        <v>1133</v>
      </c>
      <c r="S348" t="s">
        <v>31</v>
      </c>
      <c r="T348" t="s">
        <v>76</v>
      </c>
      <c r="U348">
        <v>245.50000000000003</v>
      </c>
      <c r="V348">
        <v>45.48</v>
      </c>
    </row>
    <row r="349" spans="1:22" x14ac:dyDescent="0.3">
      <c r="A349" t="s">
        <v>583</v>
      </c>
      <c r="B349" t="s">
        <v>21</v>
      </c>
      <c r="C349" t="s">
        <v>127</v>
      </c>
      <c r="D349">
        <v>4</v>
      </c>
      <c r="E349">
        <v>518.42999999999995</v>
      </c>
      <c r="F349" t="s">
        <v>84</v>
      </c>
      <c r="G349" t="s">
        <v>24</v>
      </c>
      <c r="H349">
        <v>0</v>
      </c>
      <c r="I349" t="s">
        <v>25</v>
      </c>
      <c r="J349">
        <v>2073.7199999999998</v>
      </c>
      <c r="K349" t="s">
        <v>26</v>
      </c>
      <c r="L349" t="s">
        <v>58</v>
      </c>
      <c r="M349">
        <v>0</v>
      </c>
      <c r="N349" t="s">
        <v>1157</v>
      </c>
      <c r="O349" t="s">
        <v>1158</v>
      </c>
      <c r="P349">
        <v>30.86</v>
      </c>
      <c r="Q349" s="2">
        <v>45904</v>
      </c>
      <c r="R349" t="s">
        <v>951</v>
      </c>
      <c r="S349" t="s">
        <v>31</v>
      </c>
      <c r="T349" t="s">
        <v>52</v>
      </c>
      <c r="U349">
        <v>2042.86</v>
      </c>
      <c r="V349">
        <v>0</v>
      </c>
    </row>
    <row r="350" spans="1:22" x14ac:dyDescent="0.3">
      <c r="A350" t="s">
        <v>139</v>
      </c>
      <c r="B350" t="s">
        <v>45</v>
      </c>
      <c r="C350" t="s">
        <v>140</v>
      </c>
      <c r="D350">
        <v>3</v>
      </c>
      <c r="E350">
        <v>59.78</v>
      </c>
      <c r="F350" t="s">
        <v>36</v>
      </c>
      <c r="G350" t="s">
        <v>37</v>
      </c>
      <c r="H350">
        <v>0</v>
      </c>
      <c r="I350" t="s">
        <v>65</v>
      </c>
      <c r="J350">
        <v>179.34</v>
      </c>
      <c r="K350" t="s">
        <v>26</v>
      </c>
      <c r="L350" t="s">
        <v>58</v>
      </c>
      <c r="M350">
        <v>0</v>
      </c>
      <c r="N350" t="s">
        <v>1159</v>
      </c>
      <c r="O350" t="s">
        <v>1160</v>
      </c>
      <c r="P350">
        <v>46.98</v>
      </c>
      <c r="Q350" s="2">
        <v>45207</v>
      </c>
      <c r="R350" t="s">
        <v>892</v>
      </c>
      <c r="S350" t="s">
        <v>51</v>
      </c>
      <c r="T350" t="s">
        <v>32</v>
      </c>
      <c r="U350">
        <v>132.36000000000001</v>
      </c>
      <c r="V350">
        <v>0</v>
      </c>
    </row>
    <row r="351" spans="1:22" x14ac:dyDescent="0.3">
      <c r="A351" t="s">
        <v>99</v>
      </c>
      <c r="B351" t="s">
        <v>45</v>
      </c>
      <c r="C351" t="s">
        <v>140</v>
      </c>
      <c r="D351">
        <v>13</v>
      </c>
      <c r="E351">
        <v>69.97</v>
      </c>
      <c r="F351" t="s">
        <v>84</v>
      </c>
      <c r="G351" t="s">
        <v>24</v>
      </c>
      <c r="H351">
        <v>0.05</v>
      </c>
      <c r="I351" t="s">
        <v>25</v>
      </c>
      <c r="J351">
        <v>864.13</v>
      </c>
      <c r="K351" t="s">
        <v>38</v>
      </c>
      <c r="L351" t="s">
        <v>48</v>
      </c>
      <c r="M351">
        <v>0</v>
      </c>
      <c r="N351" t="s">
        <v>1161</v>
      </c>
      <c r="O351" t="s">
        <v>1162</v>
      </c>
      <c r="P351">
        <v>27.66</v>
      </c>
      <c r="Q351" s="2">
        <v>45085</v>
      </c>
      <c r="R351" t="s">
        <v>354</v>
      </c>
      <c r="S351" t="s">
        <v>51</v>
      </c>
      <c r="T351" t="s">
        <v>105</v>
      </c>
      <c r="U351">
        <v>836.47</v>
      </c>
      <c r="V351">
        <v>45.480500000000006</v>
      </c>
    </row>
    <row r="352" spans="1:22" x14ac:dyDescent="0.3">
      <c r="A352" t="s">
        <v>329</v>
      </c>
      <c r="B352" t="s">
        <v>70</v>
      </c>
      <c r="C352" t="s">
        <v>100</v>
      </c>
      <c r="D352">
        <v>7</v>
      </c>
      <c r="E352">
        <v>241.81</v>
      </c>
      <c r="F352" t="s">
        <v>36</v>
      </c>
      <c r="G352" t="s">
        <v>24</v>
      </c>
      <c r="H352">
        <v>0.1</v>
      </c>
      <c r="I352" t="s">
        <v>25</v>
      </c>
      <c r="J352">
        <v>1523.4</v>
      </c>
      <c r="K352" t="s">
        <v>38</v>
      </c>
      <c r="L352" t="s">
        <v>85</v>
      </c>
      <c r="M352">
        <v>0</v>
      </c>
      <c r="N352" t="s">
        <v>1163</v>
      </c>
      <c r="O352" t="s">
        <v>1164</v>
      </c>
      <c r="P352">
        <v>32.94</v>
      </c>
      <c r="Q352" s="2">
        <v>45810</v>
      </c>
      <c r="R352" t="s">
        <v>464</v>
      </c>
      <c r="S352" t="s">
        <v>75</v>
      </c>
      <c r="T352" t="s">
        <v>105</v>
      </c>
      <c r="U352">
        <v>1490.46</v>
      </c>
      <c r="V352">
        <v>169.26700000000002</v>
      </c>
    </row>
    <row r="353" spans="1:22" x14ac:dyDescent="0.3">
      <c r="A353" t="s">
        <v>596</v>
      </c>
      <c r="B353" t="s">
        <v>34</v>
      </c>
      <c r="C353" t="s">
        <v>127</v>
      </c>
      <c r="D353">
        <v>9</v>
      </c>
      <c r="E353">
        <v>472.84</v>
      </c>
      <c r="F353" t="s">
        <v>55</v>
      </c>
      <c r="G353" t="s">
        <v>37</v>
      </c>
      <c r="H353">
        <v>0.05</v>
      </c>
      <c r="I353" t="s">
        <v>25</v>
      </c>
      <c r="J353">
        <v>4042.78</v>
      </c>
      <c r="K353" t="s">
        <v>101</v>
      </c>
      <c r="L353" t="s">
        <v>27</v>
      </c>
      <c r="M353">
        <v>0</v>
      </c>
      <c r="N353" t="s">
        <v>1165</v>
      </c>
      <c r="O353" t="s">
        <v>1166</v>
      </c>
      <c r="P353">
        <v>48.13</v>
      </c>
      <c r="Q353" s="2">
        <v>45574</v>
      </c>
      <c r="R353" t="s">
        <v>160</v>
      </c>
      <c r="S353" t="s">
        <v>42</v>
      </c>
      <c r="T353" t="s">
        <v>32</v>
      </c>
      <c r="U353">
        <v>3994.65</v>
      </c>
      <c r="V353">
        <v>212.77799999999999</v>
      </c>
    </row>
    <row r="354" spans="1:22" x14ac:dyDescent="0.3">
      <c r="A354" t="s">
        <v>188</v>
      </c>
      <c r="B354" t="s">
        <v>70</v>
      </c>
      <c r="C354" t="s">
        <v>100</v>
      </c>
      <c r="D354">
        <v>1</v>
      </c>
      <c r="E354">
        <v>176.17</v>
      </c>
      <c r="F354" t="s">
        <v>36</v>
      </c>
      <c r="G354" t="s">
        <v>37</v>
      </c>
      <c r="H354">
        <v>0.05</v>
      </c>
      <c r="I354" t="s">
        <v>25</v>
      </c>
      <c r="J354">
        <v>167.36</v>
      </c>
      <c r="K354" t="s">
        <v>38</v>
      </c>
      <c r="L354" t="s">
        <v>48</v>
      </c>
      <c r="M354">
        <v>1</v>
      </c>
      <c r="N354" t="s">
        <v>1167</v>
      </c>
      <c r="O354" t="s">
        <v>1168</v>
      </c>
      <c r="P354">
        <v>35.770000000000003</v>
      </c>
      <c r="Q354" s="2">
        <v>45354</v>
      </c>
      <c r="R354" t="s">
        <v>880</v>
      </c>
      <c r="S354" t="s">
        <v>75</v>
      </c>
      <c r="T354" t="s">
        <v>98</v>
      </c>
      <c r="U354">
        <v>131.59</v>
      </c>
      <c r="V354">
        <v>8.8085000000000004</v>
      </c>
    </row>
    <row r="355" spans="1:22" x14ac:dyDescent="0.3">
      <c r="A355" t="s">
        <v>599</v>
      </c>
      <c r="B355" t="s">
        <v>70</v>
      </c>
      <c r="C355" t="s">
        <v>100</v>
      </c>
      <c r="D355">
        <v>6</v>
      </c>
      <c r="E355">
        <v>62.43</v>
      </c>
      <c r="F355" t="s">
        <v>84</v>
      </c>
      <c r="G355" t="s">
        <v>24</v>
      </c>
      <c r="H355">
        <v>0</v>
      </c>
      <c r="I355" t="s">
        <v>78</v>
      </c>
      <c r="J355">
        <v>374.58</v>
      </c>
      <c r="K355" t="s">
        <v>57</v>
      </c>
      <c r="L355" t="s">
        <v>27</v>
      </c>
      <c r="M355">
        <v>0</v>
      </c>
      <c r="N355" t="s">
        <v>1169</v>
      </c>
      <c r="O355" t="s">
        <v>1170</v>
      </c>
      <c r="P355">
        <v>17.850000000000001</v>
      </c>
      <c r="Q355" s="2">
        <v>45576</v>
      </c>
      <c r="R355" t="s">
        <v>1171</v>
      </c>
      <c r="S355" t="s">
        <v>75</v>
      </c>
      <c r="T355" t="s">
        <v>32</v>
      </c>
      <c r="U355">
        <v>356.72999999999996</v>
      </c>
      <c r="V355">
        <v>0</v>
      </c>
    </row>
    <row r="356" spans="1:22" x14ac:dyDescent="0.3">
      <c r="A356" t="s">
        <v>1172</v>
      </c>
      <c r="B356" t="s">
        <v>45</v>
      </c>
      <c r="C356" t="s">
        <v>109</v>
      </c>
      <c r="D356">
        <v>7</v>
      </c>
      <c r="E356">
        <v>569.89</v>
      </c>
      <c r="F356" t="s">
        <v>55</v>
      </c>
      <c r="G356" t="s">
        <v>24</v>
      </c>
      <c r="H356">
        <v>0.1</v>
      </c>
      <c r="I356" t="s">
        <v>25</v>
      </c>
      <c r="J356">
        <v>3590.31</v>
      </c>
      <c r="K356" t="s">
        <v>47</v>
      </c>
      <c r="L356" t="s">
        <v>58</v>
      </c>
      <c r="M356">
        <v>0</v>
      </c>
      <c r="N356" t="s">
        <v>1173</v>
      </c>
      <c r="O356" t="s">
        <v>1174</v>
      </c>
      <c r="P356">
        <v>26.81</v>
      </c>
      <c r="Q356" s="2">
        <v>45749</v>
      </c>
      <c r="R356" t="s">
        <v>900</v>
      </c>
      <c r="S356" t="s">
        <v>51</v>
      </c>
      <c r="T356" t="s">
        <v>147</v>
      </c>
      <c r="U356">
        <v>3563.5</v>
      </c>
      <c r="V356">
        <v>398.923</v>
      </c>
    </row>
    <row r="357" spans="1:22" x14ac:dyDescent="0.3">
      <c r="A357" t="s">
        <v>816</v>
      </c>
      <c r="B357" t="s">
        <v>34</v>
      </c>
      <c r="C357" t="s">
        <v>140</v>
      </c>
      <c r="D357">
        <v>3</v>
      </c>
      <c r="E357">
        <v>89.72</v>
      </c>
      <c r="F357" t="s">
        <v>55</v>
      </c>
      <c r="G357" t="s">
        <v>24</v>
      </c>
      <c r="H357">
        <v>0.1</v>
      </c>
      <c r="I357" t="s">
        <v>25</v>
      </c>
      <c r="J357">
        <v>242.24</v>
      </c>
      <c r="K357" t="s">
        <v>57</v>
      </c>
      <c r="L357" t="s">
        <v>27</v>
      </c>
      <c r="M357">
        <v>0</v>
      </c>
      <c r="N357" t="s">
        <v>1175</v>
      </c>
      <c r="O357" t="s">
        <v>1176</v>
      </c>
      <c r="P357">
        <v>32.67</v>
      </c>
      <c r="Q357" s="2">
        <v>45417</v>
      </c>
      <c r="R357" t="s">
        <v>1177</v>
      </c>
      <c r="S357" t="s">
        <v>42</v>
      </c>
      <c r="T357" t="s">
        <v>63</v>
      </c>
      <c r="U357">
        <v>209.57</v>
      </c>
      <c r="V357">
        <v>26.915999999999997</v>
      </c>
    </row>
    <row r="358" spans="1:22" x14ac:dyDescent="0.3">
      <c r="A358" t="s">
        <v>1096</v>
      </c>
      <c r="B358" t="s">
        <v>34</v>
      </c>
      <c r="C358" t="s">
        <v>100</v>
      </c>
      <c r="D358">
        <v>18</v>
      </c>
      <c r="E358">
        <v>403.53</v>
      </c>
      <c r="F358" t="s">
        <v>55</v>
      </c>
      <c r="G358" t="s">
        <v>24</v>
      </c>
      <c r="H358">
        <v>0.1</v>
      </c>
      <c r="I358" t="s">
        <v>25</v>
      </c>
      <c r="J358">
        <v>6537.19</v>
      </c>
      <c r="K358" t="s">
        <v>26</v>
      </c>
      <c r="L358" t="s">
        <v>48</v>
      </c>
      <c r="M358">
        <v>0</v>
      </c>
      <c r="N358" t="s">
        <v>1178</v>
      </c>
      <c r="O358" t="s">
        <v>1179</v>
      </c>
      <c r="P358">
        <v>35.729999999999997</v>
      </c>
      <c r="Q358" s="2">
        <v>45392</v>
      </c>
      <c r="R358" t="s">
        <v>482</v>
      </c>
      <c r="S358" t="s">
        <v>42</v>
      </c>
      <c r="T358" t="s">
        <v>147</v>
      </c>
      <c r="U358">
        <v>6501.46</v>
      </c>
      <c r="V358">
        <v>726.35399999999993</v>
      </c>
    </row>
    <row r="359" spans="1:22" x14ac:dyDescent="0.3">
      <c r="A359" t="s">
        <v>1180</v>
      </c>
      <c r="B359" t="s">
        <v>34</v>
      </c>
      <c r="C359" t="s">
        <v>35</v>
      </c>
      <c r="D359">
        <v>2</v>
      </c>
      <c r="E359">
        <v>194.97</v>
      </c>
      <c r="F359" t="s">
        <v>84</v>
      </c>
      <c r="G359" t="s">
        <v>37</v>
      </c>
      <c r="H359">
        <v>0</v>
      </c>
      <c r="I359" t="s">
        <v>78</v>
      </c>
      <c r="J359">
        <v>389.94</v>
      </c>
      <c r="K359" t="s">
        <v>101</v>
      </c>
      <c r="L359" t="s">
        <v>58</v>
      </c>
      <c r="M359">
        <v>0</v>
      </c>
      <c r="N359" t="s">
        <v>1181</v>
      </c>
      <c r="O359" t="s">
        <v>575</v>
      </c>
      <c r="P359">
        <v>9.89</v>
      </c>
      <c r="Q359" s="2">
        <v>45748</v>
      </c>
      <c r="R359" t="s">
        <v>754</v>
      </c>
      <c r="S359" t="s">
        <v>42</v>
      </c>
      <c r="T359" t="s">
        <v>147</v>
      </c>
      <c r="U359">
        <v>380.05</v>
      </c>
      <c r="V359">
        <v>0</v>
      </c>
    </row>
    <row r="360" spans="1:22" x14ac:dyDescent="0.3">
      <c r="A360" t="s">
        <v>233</v>
      </c>
      <c r="B360" t="s">
        <v>54</v>
      </c>
      <c r="C360" t="s">
        <v>35</v>
      </c>
      <c r="D360">
        <v>12</v>
      </c>
      <c r="E360">
        <v>248.13</v>
      </c>
      <c r="F360" t="s">
        <v>84</v>
      </c>
      <c r="G360" t="s">
        <v>37</v>
      </c>
      <c r="H360">
        <v>0.05</v>
      </c>
      <c r="I360" t="s">
        <v>25</v>
      </c>
      <c r="J360">
        <v>2828.68</v>
      </c>
      <c r="K360" t="s">
        <v>47</v>
      </c>
      <c r="L360" t="s">
        <v>85</v>
      </c>
      <c r="M360">
        <v>0</v>
      </c>
      <c r="N360" t="s">
        <v>1182</v>
      </c>
      <c r="O360" t="s">
        <v>1183</v>
      </c>
      <c r="P360">
        <v>26.03</v>
      </c>
      <c r="Q360" s="2">
        <v>45604</v>
      </c>
      <c r="R360" t="s">
        <v>353</v>
      </c>
      <c r="S360" t="s">
        <v>62</v>
      </c>
      <c r="T360" t="s">
        <v>43</v>
      </c>
      <c r="U360">
        <v>2802.6499999999996</v>
      </c>
      <c r="V360">
        <v>148.87800000000001</v>
      </c>
    </row>
    <row r="361" spans="1:22" x14ac:dyDescent="0.3">
      <c r="A361" t="s">
        <v>297</v>
      </c>
      <c r="B361" t="s">
        <v>21</v>
      </c>
      <c r="C361" t="s">
        <v>127</v>
      </c>
      <c r="D361">
        <v>18</v>
      </c>
      <c r="E361">
        <v>382.01</v>
      </c>
      <c r="F361" t="s">
        <v>55</v>
      </c>
      <c r="G361" t="s">
        <v>24</v>
      </c>
      <c r="H361">
        <v>0.1</v>
      </c>
      <c r="I361" t="s">
        <v>25</v>
      </c>
      <c r="J361">
        <v>6188.56</v>
      </c>
      <c r="K361" t="s">
        <v>26</v>
      </c>
      <c r="L361" t="s">
        <v>58</v>
      </c>
      <c r="M361">
        <v>0</v>
      </c>
      <c r="N361" t="s">
        <v>1184</v>
      </c>
      <c r="O361" t="s">
        <v>1185</v>
      </c>
      <c r="P361">
        <v>36.549999999999997</v>
      </c>
      <c r="Q361" s="2">
        <v>45750</v>
      </c>
      <c r="R361" t="s">
        <v>460</v>
      </c>
      <c r="S361" t="s">
        <v>31</v>
      </c>
      <c r="T361" t="s">
        <v>147</v>
      </c>
      <c r="U361">
        <v>6152.01</v>
      </c>
      <c r="V361">
        <v>687.61800000000005</v>
      </c>
    </row>
    <row r="362" spans="1:22" x14ac:dyDescent="0.3">
      <c r="A362" t="s">
        <v>1032</v>
      </c>
      <c r="B362" t="s">
        <v>34</v>
      </c>
      <c r="C362" t="s">
        <v>35</v>
      </c>
      <c r="D362">
        <v>9</v>
      </c>
      <c r="E362">
        <v>251.43</v>
      </c>
      <c r="F362" t="s">
        <v>36</v>
      </c>
      <c r="G362" t="s">
        <v>37</v>
      </c>
      <c r="H362">
        <v>0.1</v>
      </c>
      <c r="I362" t="s">
        <v>56</v>
      </c>
      <c r="J362">
        <v>2036.58</v>
      </c>
      <c r="K362" t="s">
        <v>101</v>
      </c>
      <c r="L362" t="s">
        <v>48</v>
      </c>
      <c r="M362">
        <v>0</v>
      </c>
      <c r="N362" t="s">
        <v>1186</v>
      </c>
      <c r="O362" t="s">
        <v>1187</v>
      </c>
      <c r="P362">
        <v>22.57</v>
      </c>
      <c r="Q362" s="2">
        <v>45265</v>
      </c>
      <c r="R362" t="s">
        <v>112</v>
      </c>
      <c r="S362" t="s">
        <v>42</v>
      </c>
      <c r="T362" t="s">
        <v>76</v>
      </c>
      <c r="U362">
        <v>2014.01</v>
      </c>
      <c r="V362">
        <v>226.28700000000001</v>
      </c>
    </row>
    <row r="363" spans="1:22" x14ac:dyDescent="0.3">
      <c r="A363" t="s">
        <v>224</v>
      </c>
      <c r="B363" t="s">
        <v>34</v>
      </c>
      <c r="C363" t="s">
        <v>71</v>
      </c>
      <c r="D363">
        <v>4</v>
      </c>
      <c r="E363">
        <v>408.28</v>
      </c>
      <c r="F363" t="s">
        <v>84</v>
      </c>
      <c r="G363" t="s">
        <v>37</v>
      </c>
      <c r="H363">
        <v>0.15</v>
      </c>
      <c r="I363" t="s">
        <v>25</v>
      </c>
      <c r="J363">
        <v>1388.15</v>
      </c>
      <c r="K363" t="s">
        <v>47</v>
      </c>
      <c r="L363" t="s">
        <v>27</v>
      </c>
      <c r="M363">
        <v>0</v>
      </c>
      <c r="N363" t="s">
        <v>1188</v>
      </c>
      <c r="O363" t="s">
        <v>930</v>
      </c>
      <c r="P363">
        <v>5.38</v>
      </c>
      <c r="Q363" s="2">
        <v>45240</v>
      </c>
      <c r="R363" t="s">
        <v>1189</v>
      </c>
      <c r="S363" t="s">
        <v>42</v>
      </c>
      <c r="T363" t="s">
        <v>43</v>
      </c>
      <c r="U363">
        <v>1382.77</v>
      </c>
      <c r="V363">
        <v>244.96799999999996</v>
      </c>
    </row>
    <row r="364" spans="1:22" x14ac:dyDescent="0.3">
      <c r="A364" t="s">
        <v>285</v>
      </c>
      <c r="B364" t="s">
        <v>70</v>
      </c>
      <c r="C364" t="s">
        <v>71</v>
      </c>
      <c r="D364">
        <v>11</v>
      </c>
      <c r="E364">
        <v>321.72000000000003</v>
      </c>
      <c r="F364" t="s">
        <v>84</v>
      </c>
      <c r="G364" t="s">
        <v>37</v>
      </c>
      <c r="H364">
        <v>0.1</v>
      </c>
      <c r="I364" t="s">
        <v>46</v>
      </c>
      <c r="J364">
        <v>3185.03</v>
      </c>
      <c r="K364" t="s">
        <v>26</v>
      </c>
      <c r="L364" t="s">
        <v>27</v>
      </c>
      <c r="M364">
        <v>1</v>
      </c>
      <c r="N364" t="s">
        <v>1190</v>
      </c>
      <c r="O364" t="s">
        <v>1191</v>
      </c>
      <c r="P364">
        <v>17.940000000000001</v>
      </c>
      <c r="Q364" s="2">
        <v>44987</v>
      </c>
      <c r="R364" t="s">
        <v>437</v>
      </c>
      <c r="S364" t="s">
        <v>75</v>
      </c>
      <c r="T364" t="s">
        <v>98</v>
      </c>
      <c r="U364">
        <v>3167.09</v>
      </c>
      <c r="V364">
        <v>353.89200000000005</v>
      </c>
    </row>
    <row r="365" spans="1:22" x14ac:dyDescent="0.3">
      <c r="A365" t="s">
        <v>333</v>
      </c>
      <c r="B365" t="s">
        <v>21</v>
      </c>
      <c r="C365" t="s">
        <v>22</v>
      </c>
      <c r="D365">
        <v>5</v>
      </c>
      <c r="E365">
        <v>186.32</v>
      </c>
      <c r="F365" t="s">
        <v>84</v>
      </c>
      <c r="G365" t="s">
        <v>24</v>
      </c>
      <c r="H365">
        <v>0.1</v>
      </c>
      <c r="I365" t="s">
        <v>46</v>
      </c>
      <c r="J365">
        <v>838.44</v>
      </c>
      <c r="K365" t="s">
        <v>57</v>
      </c>
      <c r="L365" t="s">
        <v>27</v>
      </c>
      <c r="M365">
        <v>0</v>
      </c>
      <c r="N365" t="s">
        <v>1192</v>
      </c>
      <c r="O365" t="s">
        <v>1193</v>
      </c>
      <c r="P365">
        <v>17.09</v>
      </c>
      <c r="Q365" s="2">
        <v>45511</v>
      </c>
      <c r="R365" t="s">
        <v>1194</v>
      </c>
      <c r="S365" t="s">
        <v>31</v>
      </c>
      <c r="T365" t="s">
        <v>82</v>
      </c>
      <c r="U365">
        <v>821.35</v>
      </c>
      <c r="V365">
        <v>93.16</v>
      </c>
    </row>
    <row r="366" spans="1:22" x14ac:dyDescent="0.3">
      <c r="A366" t="s">
        <v>467</v>
      </c>
      <c r="B366" t="s">
        <v>34</v>
      </c>
      <c r="C366" t="s">
        <v>127</v>
      </c>
      <c r="D366">
        <v>13</v>
      </c>
      <c r="E366">
        <v>174.9</v>
      </c>
      <c r="F366" t="s">
        <v>84</v>
      </c>
      <c r="G366" t="s">
        <v>24</v>
      </c>
      <c r="H366">
        <v>0.15</v>
      </c>
      <c r="I366" t="s">
        <v>46</v>
      </c>
      <c r="J366">
        <v>1932.65</v>
      </c>
      <c r="K366" t="s">
        <v>26</v>
      </c>
      <c r="L366" t="s">
        <v>27</v>
      </c>
      <c r="M366">
        <v>0</v>
      </c>
      <c r="N366" t="s">
        <v>1195</v>
      </c>
      <c r="O366" t="s">
        <v>1196</v>
      </c>
      <c r="P366">
        <v>31.26</v>
      </c>
      <c r="Q366" s="2">
        <v>45180</v>
      </c>
      <c r="R366" t="s">
        <v>590</v>
      </c>
      <c r="S366" t="s">
        <v>42</v>
      </c>
      <c r="T366" t="s">
        <v>52</v>
      </c>
      <c r="U366">
        <v>1901.39</v>
      </c>
      <c r="V366">
        <v>341.05500000000001</v>
      </c>
    </row>
    <row r="367" spans="1:22" x14ac:dyDescent="0.3">
      <c r="A367" t="s">
        <v>582</v>
      </c>
      <c r="B367" t="s">
        <v>21</v>
      </c>
      <c r="C367" t="s">
        <v>35</v>
      </c>
      <c r="D367">
        <v>8</v>
      </c>
      <c r="E367">
        <v>419.13</v>
      </c>
      <c r="F367" t="s">
        <v>84</v>
      </c>
      <c r="G367" t="s">
        <v>37</v>
      </c>
      <c r="H367">
        <v>0.1</v>
      </c>
      <c r="I367" t="s">
        <v>25</v>
      </c>
      <c r="J367">
        <v>3017.74</v>
      </c>
      <c r="K367" t="s">
        <v>26</v>
      </c>
      <c r="L367" t="s">
        <v>48</v>
      </c>
      <c r="M367">
        <v>1</v>
      </c>
      <c r="N367" t="s">
        <v>1197</v>
      </c>
      <c r="O367" t="s">
        <v>1198</v>
      </c>
      <c r="P367">
        <v>11.02</v>
      </c>
      <c r="Q367" s="2">
        <v>45084</v>
      </c>
      <c r="R367" t="s">
        <v>1199</v>
      </c>
      <c r="S367" t="s">
        <v>31</v>
      </c>
      <c r="T367" t="s">
        <v>105</v>
      </c>
      <c r="U367">
        <v>3006.72</v>
      </c>
      <c r="V367">
        <v>335.30400000000003</v>
      </c>
    </row>
    <row r="368" spans="1:22" x14ac:dyDescent="0.3">
      <c r="A368" t="s">
        <v>326</v>
      </c>
      <c r="B368" t="s">
        <v>54</v>
      </c>
      <c r="C368" t="s">
        <v>109</v>
      </c>
      <c r="D368">
        <v>11</v>
      </c>
      <c r="E368">
        <v>155.49</v>
      </c>
      <c r="F368" t="s">
        <v>55</v>
      </c>
      <c r="G368" t="s">
        <v>37</v>
      </c>
      <c r="H368">
        <v>0.05</v>
      </c>
      <c r="I368" t="s">
        <v>56</v>
      </c>
      <c r="J368">
        <v>1624.87</v>
      </c>
      <c r="K368" t="s">
        <v>47</v>
      </c>
      <c r="L368" t="s">
        <v>48</v>
      </c>
      <c r="M368">
        <v>0</v>
      </c>
      <c r="N368" t="s">
        <v>1200</v>
      </c>
      <c r="O368" t="s">
        <v>1201</v>
      </c>
      <c r="P368">
        <v>47.01</v>
      </c>
      <c r="Q368" s="2">
        <v>45690</v>
      </c>
      <c r="R368" t="s">
        <v>277</v>
      </c>
      <c r="S368" t="s">
        <v>62</v>
      </c>
      <c r="T368" t="s">
        <v>199</v>
      </c>
      <c r="U368">
        <v>1577.86</v>
      </c>
      <c r="V368">
        <v>85.519500000000008</v>
      </c>
    </row>
    <row r="369" spans="1:22" x14ac:dyDescent="0.3">
      <c r="A369" t="s">
        <v>630</v>
      </c>
      <c r="B369" t="s">
        <v>34</v>
      </c>
      <c r="C369" t="s">
        <v>140</v>
      </c>
      <c r="D369">
        <v>20</v>
      </c>
      <c r="E369">
        <v>270.2</v>
      </c>
      <c r="F369" t="s">
        <v>84</v>
      </c>
      <c r="G369" t="s">
        <v>24</v>
      </c>
      <c r="H369">
        <v>0</v>
      </c>
      <c r="I369" t="s">
        <v>78</v>
      </c>
      <c r="J369">
        <v>5404</v>
      </c>
      <c r="K369" t="s">
        <v>101</v>
      </c>
      <c r="L369" t="s">
        <v>27</v>
      </c>
      <c r="M369">
        <v>0</v>
      </c>
      <c r="N369" t="s">
        <v>1202</v>
      </c>
      <c r="O369" t="s">
        <v>1203</v>
      </c>
      <c r="P369">
        <v>6.8</v>
      </c>
      <c r="Q369" s="2">
        <v>45448</v>
      </c>
      <c r="R369" t="s">
        <v>1204</v>
      </c>
      <c r="S369" t="s">
        <v>42</v>
      </c>
      <c r="T369" t="s">
        <v>105</v>
      </c>
      <c r="U369">
        <v>5397.2</v>
      </c>
      <c r="V369">
        <v>0</v>
      </c>
    </row>
    <row r="370" spans="1:22" x14ac:dyDescent="0.3">
      <c r="A370" t="s">
        <v>1205</v>
      </c>
      <c r="B370" t="s">
        <v>54</v>
      </c>
      <c r="C370" t="s">
        <v>35</v>
      </c>
      <c r="D370">
        <v>19</v>
      </c>
      <c r="E370">
        <v>344.92</v>
      </c>
      <c r="F370" t="s">
        <v>36</v>
      </c>
      <c r="G370" t="s">
        <v>24</v>
      </c>
      <c r="H370">
        <v>0</v>
      </c>
      <c r="I370" t="s">
        <v>65</v>
      </c>
      <c r="J370">
        <v>6553.48</v>
      </c>
      <c r="K370" t="s">
        <v>47</v>
      </c>
      <c r="L370" t="s">
        <v>27</v>
      </c>
      <c r="M370">
        <v>0</v>
      </c>
      <c r="N370" t="s">
        <v>1206</v>
      </c>
      <c r="O370" t="s">
        <v>1207</v>
      </c>
      <c r="P370">
        <v>6.91</v>
      </c>
      <c r="Q370" s="2">
        <v>45600</v>
      </c>
      <c r="R370" t="s">
        <v>1208</v>
      </c>
      <c r="S370" t="s">
        <v>62</v>
      </c>
      <c r="T370" t="s">
        <v>43</v>
      </c>
      <c r="U370">
        <v>6546.57</v>
      </c>
      <c r="V370">
        <v>0</v>
      </c>
    </row>
    <row r="371" spans="1:22" x14ac:dyDescent="0.3">
      <c r="A371" t="s">
        <v>200</v>
      </c>
      <c r="B371" t="s">
        <v>45</v>
      </c>
      <c r="C371" t="s">
        <v>35</v>
      </c>
      <c r="D371">
        <v>7</v>
      </c>
      <c r="E371">
        <v>511.46</v>
      </c>
      <c r="F371" t="s">
        <v>36</v>
      </c>
      <c r="G371" t="s">
        <v>37</v>
      </c>
      <c r="H371">
        <v>0.1</v>
      </c>
      <c r="I371" t="s">
        <v>65</v>
      </c>
      <c r="J371">
        <v>3222.2</v>
      </c>
      <c r="K371" t="s">
        <v>47</v>
      </c>
      <c r="L371" t="s">
        <v>85</v>
      </c>
      <c r="M371">
        <v>0</v>
      </c>
      <c r="N371" t="s">
        <v>1209</v>
      </c>
      <c r="O371" t="s">
        <v>1210</v>
      </c>
      <c r="P371">
        <v>19.2</v>
      </c>
      <c r="Q371" s="2">
        <v>45356</v>
      </c>
      <c r="R371" t="s">
        <v>203</v>
      </c>
      <c r="S371" t="s">
        <v>51</v>
      </c>
      <c r="T371" t="s">
        <v>98</v>
      </c>
      <c r="U371">
        <v>3203</v>
      </c>
      <c r="V371">
        <v>358.02199999999999</v>
      </c>
    </row>
    <row r="372" spans="1:22" x14ac:dyDescent="0.3">
      <c r="A372" t="s">
        <v>511</v>
      </c>
      <c r="B372" t="s">
        <v>54</v>
      </c>
      <c r="C372" t="s">
        <v>71</v>
      </c>
      <c r="D372">
        <v>8</v>
      </c>
      <c r="E372">
        <v>158.02000000000001</v>
      </c>
      <c r="F372" t="s">
        <v>36</v>
      </c>
      <c r="G372" t="s">
        <v>24</v>
      </c>
      <c r="H372">
        <v>0.15</v>
      </c>
      <c r="I372" t="s">
        <v>78</v>
      </c>
      <c r="J372">
        <v>1074.54</v>
      </c>
      <c r="K372" t="s">
        <v>101</v>
      </c>
      <c r="L372" t="s">
        <v>85</v>
      </c>
      <c r="M372">
        <v>0</v>
      </c>
      <c r="N372" t="s">
        <v>1211</v>
      </c>
      <c r="O372" t="s">
        <v>1212</v>
      </c>
      <c r="P372">
        <v>47.43</v>
      </c>
      <c r="Q372" s="2">
        <v>45506</v>
      </c>
      <c r="R372" t="s">
        <v>1213</v>
      </c>
      <c r="S372" t="s">
        <v>62</v>
      </c>
      <c r="T372" t="s">
        <v>82</v>
      </c>
      <c r="U372">
        <v>1027.1099999999999</v>
      </c>
      <c r="V372">
        <v>189.624</v>
      </c>
    </row>
    <row r="373" spans="1:22" x14ac:dyDescent="0.3">
      <c r="A373" t="s">
        <v>20</v>
      </c>
      <c r="B373" t="s">
        <v>45</v>
      </c>
      <c r="C373" t="s">
        <v>109</v>
      </c>
      <c r="D373">
        <v>2</v>
      </c>
      <c r="E373">
        <v>536.17999999999995</v>
      </c>
      <c r="F373" t="s">
        <v>23</v>
      </c>
      <c r="G373" t="s">
        <v>37</v>
      </c>
      <c r="H373">
        <v>0.1</v>
      </c>
      <c r="I373" t="s">
        <v>56</v>
      </c>
      <c r="J373">
        <v>965.12</v>
      </c>
      <c r="K373" t="s">
        <v>101</v>
      </c>
      <c r="L373" t="s">
        <v>85</v>
      </c>
      <c r="M373">
        <v>0</v>
      </c>
      <c r="N373" t="s">
        <v>1214</v>
      </c>
      <c r="O373" t="s">
        <v>1215</v>
      </c>
      <c r="P373">
        <v>34.75</v>
      </c>
      <c r="Q373" s="2">
        <v>45204</v>
      </c>
      <c r="R373" t="s">
        <v>925</v>
      </c>
      <c r="S373" t="s">
        <v>51</v>
      </c>
      <c r="T373" t="s">
        <v>32</v>
      </c>
      <c r="U373">
        <v>930.37</v>
      </c>
      <c r="V373">
        <v>107.23599999999999</v>
      </c>
    </row>
    <row r="374" spans="1:22" x14ac:dyDescent="0.3">
      <c r="A374" t="s">
        <v>93</v>
      </c>
      <c r="B374" t="s">
        <v>21</v>
      </c>
      <c r="C374" t="s">
        <v>35</v>
      </c>
      <c r="D374">
        <v>16</v>
      </c>
      <c r="E374">
        <v>571.26</v>
      </c>
      <c r="F374" t="s">
        <v>36</v>
      </c>
      <c r="G374" t="s">
        <v>24</v>
      </c>
      <c r="H374">
        <v>0.15</v>
      </c>
      <c r="I374" t="s">
        <v>94</v>
      </c>
      <c r="J374">
        <v>7769.14</v>
      </c>
      <c r="K374" t="s">
        <v>57</v>
      </c>
      <c r="L374" t="s">
        <v>58</v>
      </c>
      <c r="M374">
        <v>0</v>
      </c>
      <c r="N374" t="s">
        <v>1216</v>
      </c>
      <c r="O374" t="s">
        <v>1217</v>
      </c>
      <c r="P374">
        <v>6.13</v>
      </c>
      <c r="Q374" s="2">
        <v>44988</v>
      </c>
      <c r="R374" t="s">
        <v>916</v>
      </c>
      <c r="S374" t="s">
        <v>31</v>
      </c>
      <c r="T374" t="s">
        <v>98</v>
      </c>
      <c r="U374">
        <v>7763.01</v>
      </c>
      <c r="V374">
        <v>1371.0239999999999</v>
      </c>
    </row>
    <row r="375" spans="1:22" x14ac:dyDescent="0.3">
      <c r="A375" t="s">
        <v>1218</v>
      </c>
      <c r="B375" t="s">
        <v>21</v>
      </c>
      <c r="C375" t="s">
        <v>71</v>
      </c>
      <c r="D375">
        <v>11</v>
      </c>
      <c r="E375">
        <v>546.57000000000005</v>
      </c>
      <c r="F375" t="s">
        <v>55</v>
      </c>
      <c r="G375" t="s">
        <v>37</v>
      </c>
      <c r="H375">
        <v>0.15</v>
      </c>
      <c r="I375" t="s">
        <v>94</v>
      </c>
      <c r="J375">
        <v>5110.43</v>
      </c>
      <c r="K375" t="s">
        <v>101</v>
      </c>
      <c r="L375" t="s">
        <v>58</v>
      </c>
      <c r="M375">
        <v>1</v>
      </c>
      <c r="N375" t="s">
        <v>1219</v>
      </c>
      <c r="O375" t="s">
        <v>1220</v>
      </c>
      <c r="P375">
        <v>24.77</v>
      </c>
      <c r="Q375" s="2">
        <v>44961</v>
      </c>
      <c r="R375" t="s">
        <v>1221</v>
      </c>
      <c r="S375" t="s">
        <v>31</v>
      </c>
      <c r="T375" t="s">
        <v>199</v>
      </c>
      <c r="U375">
        <v>5085.66</v>
      </c>
      <c r="V375">
        <v>901.84050000000002</v>
      </c>
    </row>
    <row r="376" spans="1:22" x14ac:dyDescent="0.3">
      <c r="A376" t="s">
        <v>643</v>
      </c>
      <c r="B376" t="s">
        <v>34</v>
      </c>
      <c r="C376" t="s">
        <v>127</v>
      </c>
      <c r="D376">
        <v>7</v>
      </c>
      <c r="E376">
        <v>368.27</v>
      </c>
      <c r="F376" t="s">
        <v>36</v>
      </c>
      <c r="G376" t="s">
        <v>24</v>
      </c>
      <c r="H376">
        <v>0.15</v>
      </c>
      <c r="I376" t="s">
        <v>46</v>
      </c>
      <c r="J376">
        <v>2191.21</v>
      </c>
      <c r="K376" t="s">
        <v>26</v>
      </c>
      <c r="L376" t="s">
        <v>27</v>
      </c>
      <c r="M376">
        <v>0</v>
      </c>
      <c r="N376" t="s">
        <v>1222</v>
      </c>
      <c r="O376" t="s">
        <v>1223</v>
      </c>
      <c r="P376">
        <v>28.98</v>
      </c>
      <c r="Q376" s="2">
        <v>45210</v>
      </c>
      <c r="R376" t="s">
        <v>1224</v>
      </c>
      <c r="S376" t="s">
        <v>42</v>
      </c>
      <c r="T376" t="s">
        <v>32</v>
      </c>
      <c r="U376">
        <v>2162.23</v>
      </c>
      <c r="V376">
        <v>386.68349999999998</v>
      </c>
    </row>
    <row r="377" spans="1:22" x14ac:dyDescent="0.3">
      <c r="A377" t="s">
        <v>1225</v>
      </c>
      <c r="B377" t="s">
        <v>21</v>
      </c>
      <c r="C377" t="s">
        <v>22</v>
      </c>
      <c r="D377">
        <v>2</v>
      </c>
      <c r="E377">
        <v>239.04</v>
      </c>
      <c r="F377" t="s">
        <v>84</v>
      </c>
      <c r="G377" t="s">
        <v>24</v>
      </c>
      <c r="H377">
        <v>0</v>
      </c>
      <c r="I377" t="s">
        <v>94</v>
      </c>
      <c r="J377">
        <v>478.08</v>
      </c>
      <c r="K377" t="s">
        <v>38</v>
      </c>
      <c r="L377" t="s">
        <v>58</v>
      </c>
      <c r="M377">
        <v>1</v>
      </c>
      <c r="N377" t="s">
        <v>1226</v>
      </c>
      <c r="O377" t="s">
        <v>1227</v>
      </c>
      <c r="P377">
        <v>43.84</v>
      </c>
      <c r="Q377" s="2">
        <v>45385</v>
      </c>
      <c r="R377" t="s">
        <v>883</v>
      </c>
      <c r="S377" t="s">
        <v>31</v>
      </c>
      <c r="T377" t="s">
        <v>147</v>
      </c>
      <c r="U377">
        <v>434.24</v>
      </c>
      <c r="V377">
        <v>0</v>
      </c>
    </row>
    <row r="378" spans="1:22" x14ac:dyDescent="0.3">
      <c r="A378" t="s">
        <v>788</v>
      </c>
      <c r="B378" t="s">
        <v>34</v>
      </c>
      <c r="C378" t="s">
        <v>100</v>
      </c>
      <c r="D378">
        <v>14</v>
      </c>
      <c r="E378">
        <v>362.44</v>
      </c>
      <c r="F378" t="s">
        <v>36</v>
      </c>
      <c r="G378" t="s">
        <v>24</v>
      </c>
      <c r="H378">
        <v>0.1</v>
      </c>
      <c r="I378" t="s">
        <v>94</v>
      </c>
      <c r="J378">
        <v>4566.74</v>
      </c>
      <c r="K378" t="s">
        <v>47</v>
      </c>
      <c r="L378" t="s">
        <v>27</v>
      </c>
      <c r="M378">
        <v>0</v>
      </c>
      <c r="N378" t="s">
        <v>1228</v>
      </c>
      <c r="O378" t="s">
        <v>1229</v>
      </c>
      <c r="P378">
        <v>36.729999999999997</v>
      </c>
      <c r="Q378" s="2">
        <v>45237</v>
      </c>
      <c r="R378" t="s">
        <v>1230</v>
      </c>
      <c r="S378" t="s">
        <v>42</v>
      </c>
      <c r="T378" t="s">
        <v>43</v>
      </c>
      <c r="U378">
        <v>4530.01</v>
      </c>
      <c r="V378">
        <v>507.416</v>
      </c>
    </row>
    <row r="379" spans="1:22" x14ac:dyDescent="0.3">
      <c r="A379" t="s">
        <v>361</v>
      </c>
      <c r="B379" t="s">
        <v>34</v>
      </c>
      <c r="C379" t="s">
        <v>71</v>
      </c>
      <c r="D379">
        <v>16</v>
      </c>
      <c r="E379">
        <v>144.07</v>
      </c>
      <c r="F379" t="s">
        <v>55</v>
      </c>
      <c r="G379" t="s">
        <v>24</v>
      </c>
      <c r="H379">
        <v>0.1</v>
      </c>
      <c r="I379" t="s">
        <v>65</v>
      </c>
      <c r="J379">
        <v>2074.61</v>
      </c>
      <c r="K379" t="s">
        <v>38</v>
      </c>
      <c r="L379" t="s">
        <v>85</v>
      </c>
      <c r="M379">
        <v>0</v>
      </c>
      <c r="N379" t="s">
        <v>1231</v>
      </c>
      <c r="O379" t="s">
        <v>1232</v>
      </c>
      <c r="P379">
        <v>7.33</v>
      </c>
      <c r="Q379" s="2">
        <v>45116</v>
      </c>
      <c r="R379" t="s">
        <v>928</v>
      </c>
      <c r="S379" t="s">
        <v>42</v>
      </c>
      <c r="T379" t="s">
        <v>117</v>
      </c>
      <c r="U379">
        <v>2067.2800000000002</v>
      </c>
      <c r="V379">
        <v>230.512</v>
      </c>
    </row>
    <row r="380" spans="1:22" x14ac:dyDescent="0.3">
      <c r="A380" t="s">
        <v>1233</v>
      </c>
      <c r="B380" t="s">
        <v>54</v>
      </c>
      <c r="C380" t="s">
        <v>127</v>
      </c>
      <c r="D380">
        <v>11</v>
      </c>
      <c r="E380">
        <v>201.09</v>
      </c>
      <c r="F380" t="s">
        <v>36</v>
      </c>
      <c r="G380" t="s">
        <v>37</v>
      </c>
      <c r="H380">
        <v>0.15</v>
      </c>
      <c r="I380" t="s">
        <v>46</v>
      </c>
      <c r="J380">
        <v>1880.19</v>
      </c>
      <c r="K380" t="s">
        <v>47</v>
      </c>
      <c r="L380" t="s">
        <v>48</v>
      </c>
      <c r="M380">
        <v>1</v>
      </c>
      <c r="N380" t="s">
        <v>1234</v>
      </c>
      <c r="O380" t="s">
        <v>1235</v>
      </c>
      <c r="P380">
        <v>48.42</v>
      </c>
      <c r="Q380" s="2">
        <v>45293</v>
      </c>
      <c r="R380" t="s">
        <v>1236</v>
      </c>
      <c r="S380" t="s">
        <v>62</v>
      </c>
      <c r="T380" t="s">
        <v>187</v>
      </c>
      <c r="U380">
        <v>1831.77</v>
      </c>
      <c r="V380">
        <v>331.79850000000005</v>
      </c>
    </row>
    <row r="381" spans="1:22" x14ac:dyDescent="0.3">
      <c r="A381" t="s">
        <v>126</v>
      </c>
      <c r="B381" t="s">
        <v>34</v>
      </c>
      <c r="C381" t="s">
        <v>35</v>
      </c>
      <c r="D381">
        <v>11</v>
      </c>
      <c r="E381">
        <v>585.45000000000005</v>
      </c>
      <c r="F381" t="s">
        <v>55</v>
      </c>
      <c r="G381" t="s">
        <v>24</v>
      </c>
      <c r="H381">
        <v>0.1</v>
      </c>
      <c r="I381" t="s">
        <v>25</v>
      </c>
      <c r="J381">
        <v>5795.96</v>
      </c>
      <c r="K381" t="s">
        <v>101</v>
      </c>
      <c r="L381" t="s">
        <v>27</v>
      </c>
      <c r="M381">
        <v>0</v>
      </c>
      <c r="N381" t="s">
        <v>1237</v>
      </c>
      <c r="O381" t="s">
        <v>1238</v>
      </c>
      <c r="P381">
        <v>36.590000000000003</v>
      </c>
      <c r="Q381" s="2">
        <v>45874</v>
      </c>
      <c r="R381" t="s">
        <v>130</v>
      </c>
      <c r="S381" t="s">
        <v>42</v>
      </c>
      <c r="T381" t="s">
        <v>82</v>
      </c>
      <c r="U381">
        <v>5759.37</v>
      </c>
      <c r="V381">
        <v>643.99500000000012</v>
      </c>
    </row>
    <row r="382" spans="1:22" x14ac:dyDescent="0.3">
      <c r="A382" t="s">
        <v>795</v>
      </c>
      <c r="B382" t="s">
        <v>70</v>
      </c>
      <c r="C382" t="s">
        <v>127</v>
      </c>
      <c r="D382">
        <v>9</v>
      </c>
      <c r="E382">
        <v>184.43</v>
      </c>
      <c r="F382" t="s">
        <v>55</v>
      </c>
      <c r="G382" t="s">
        <v>24</v>
      </c>
      <c r="H382">
        <v>0</v>
      </c>
      <c r="I382" t="s">
        <v>46</v>
      </c>
      <c r="J382">
        <v>1659.87</v>
      </c>
      <c r="K382" t="s">
        <v>26</v>
      </c>
      <c r="L382" t="s">
        <v>27</v>
      </c>
      <c r="M382">
        <v>0</v>
      </c>
      <c r="N382" t="s">
        <v>1239</v>
      </c>
      <c r="O382" t="s">
        <v>1240</v>
      </c>
      <c r="P382">
        <v>30.78</v>
      </c>
      <c r="Q382" s="2">
        <v>44966</v>
      </c>
      <c r="R382" t="s">
        <v>450</v>
      </c>
      <c r="S382" t="s">
        <v>75</v>
      </c>
      <c r="T382" t="s">
        <v>199</v>
      </c>
      <c r="U382">
        <v>1629.09</v>
      </c>
      <c r="V382">
        <v>0</v>
      </c>
    </row>
    <row r="383" spans="1:22" x14ac:dyDescent="0.3">
      <c r="A383" t="s">
        <v>1241</v>
      </c>
      <c r="B383" t="s">
        <v>45</v>
      </c>
      <c r="C383" t="s">
        <v>127</v>
      </c>
      <c r="D383">
        <v>2</v>
      </c>
      <c r="E383">
        <v>494.22</v>
      </c>
      <c r="F383" t="s">
        <v>36</v>
      </c>
      <c r="G383" t="s">
        <v>37</v>
      </c>
      <c r="H383">
        <v>0.1</v>
      </c>
      <c r="I383" t="s">
        <v>46</v>
      </c>
      <c r="J383">
        <v>889.6</v>
      </c>
      <c r="K383" t="s">
        <v>57</v>
      </c>
      <c r="L383" t="s">
        <v>85</v>
      </c>
      <c r="M383">
        <v>0</v>
      </c>
      <c r="N383" t="s">
        <v>1242</v>
      </c>
      <c r="O383" t="s">
        <v>1243</v>
      </c>
      <c r="P383">
        <v>13.45</v>
      </c>
      <c r="Q383" s="2">
        <v>45638</v>
      </c>
      <c r="R383" t="s">
        <v>1244</v>
      </c>
      <c r="S383" t="s">
        <v>51</v>
      </c>
      <c r="T383" t="s">
        <v>76</v>
      </c>
      <c r="U383">
        <v>876.15</v>
      </c>
      <c r="V383">
        <v>98.844000000000008</v>
      </c>
    </row>
    <row r="384" spans="1:22" x14ac:dyDescent="0.3">
      <c r="A384" t="s">
        <v>644</v>
      </c>
      <c r="B384" t="s">
        <v>21</v>
      </c>
      <c r="C384" t="s">
        <v>22</v>
      </c>
      <c r="D384">
        <v>12</v>
      </c>
      <c r="E384">
        <v>465.94</v>
      </c>
      <c r="F384" t="s">
        <v>55</v>
      </c>
      <c r="G384" t="s">
        <v>24</v>
      </c>
      <c r="H384">
        <v>0</v>
      </c>
      <c r="I384" t="s">
        <v>25</v>
      </c>
      <c r="J384">
        <v>5591.28</v>
      </c>
      <c r="K384" t="s">
        <v>101</v>
      </c>
      <c r="L384" t="s">
        <v>27</v>
      </c>
      <c r="M384">
        <v>0</v>
      </c>
      <c r="N384" t="s">
        <v>1245</v>
      </c>
      <c r="O384" t="s">
        <v>1246</v>
      </c>
      <c r="P384">
        <v>34.159999999999997</v>
      </c>
      <c r="Q384" s="2">
        <v>45332</v>
      </c>
      <c r="R384" t="s">
        <v>647</v>
      </c>
      <c r="S384" t="s">
        <v>31</v>
      </c>
      <c r="T384" t="s">
        <v>199</v>
      </c>
      <c r="U384">
        <v>5557.12</v>
      </c>
      <c r="V384">
        <v>0</v>
      </c>
    </row>
    <row r="385" spans="1:22" x14ac:dyDescent="0.3">
      <c r="A385" t="s">
        <v>1247</v>
      </c>
      <c r="B385" t="s">
        <v>54</v>
      </c>
      <c r="C385" t="s">
        <v>71</v>
      </c>
      <c r="D385">
        <v>12</v>
      </c>
      <c r="E385">
        <v>187.8</v>
      </c>
      <c r="F385" t="s">
        <v>55</v>
      </c>
      <c r="G385" t="s">
        <v>24</v>
      </c>
      <c r="H385">
        <v>0.15</v>
      </c>
      <c r="I385" t="s">
        <v>78</v>
      </c>
      <c r="J385">
        <v>1915.56</v>
      </c>
      <c r="K385" t="s">
        <v>26</v>
      </c>
      <c r="L385" t="s">
        <v>85</v>
      </c>
      <c r="M385">
        <v>0</v>
      </c>
      <c r="N385" t="s">
        <v>1248</v>
      </c>
      <c r="O385" t="s">
        <v>1249</v>
      </c>
      <c r="P385">
        <v>17.739999999999998</v>
      </c>
      <c r="Q385" s="2">
        <v>45303</v>
      </c>
      <c r="R385" t="s">
        <v>821</v>
      </c>
      <c r="S385" t="s">
        <v>62</v>
      </c>
      <c r="T385" t="s">
        <v>187</v>
      </c>
      <c r="U385">
        <v>1897.82</v>
      </c>
      <c r="V385">
        <v>338.04</v>
      </c>
    </row>
    <row r="386" spans="1:22" x14ac:dyDescent="0.3">
      <c r="A386" t="s">
        <v>1250</v>
      </c>
      <c r="B386" t="s">
        <v>70</v>
      </c>
      <c r="C386" t="s">
        <v>22</v>
      </c>
      <c r="D386">
        <v>1</v>
      </c>
      <c r="E386">
        <v>561.29999999999995</v>
      </c>
      <c r="F386" t="s">
        <v>55</v>
      </c>
      <c r="G386" t="s">
        <v>37</v>
      </c>
      <c r="H386">
        <v>0.15</v>
      </c>
      <c r="I386" t="s">
        <v>56</v>
      </c>
      <c r="J386">
        <v>477.11</v>
      </c>
      <c r="K386" t="s">
        <v>57</v>
      </c>
      <c r="L386" t="s">
        <v>48</v>
      </c>
      <c r="M386">
        <v>0</v>
      </c>
      <c r="N386" t="s">
        <v>1251</v>
      </c>
      <c r="O386" t="s">
        <v>1252</v>
      </c>
      <c r="P386">
        <v>5.19</v>
      </c>
      <c r="Q386" s="2">
        <v>45360</v>
      </c>
      <c r="R386" t="s">
        <v>160</v>
      </c>
      <c r="S386" t="s">
        <v>75</v>
      </c>
      <c r="T386" t="s">
        <v>98</v>
      </c>
      <c r="U386">
        <v>471.92</v>
      </c>
      <c r="V386">
        <v>84.194999999999993</v>
      </c>
    </row>
    <row r="387" spans="1:22" x14ac:dyDescent="0.3">
      <c r="A387" t="s">
        <v>83</v>
      </c>
      <c r="B387" t="s">
        <v>54</v>
      </c>
      <c r="C387" t="s">
        <v>127</v>
      </c>
      <c r="D387">
        <v>20</v>
      </c>
      <c r="E387">
        <v>552.83000000000004</v>
      </c>
      <c r="F387" t="s">
        <v>55</v>
      </c>
      <c r="G387" t="s">
        <v>37</v>
      </c>
      <c r="H387">
        <v>0.15</v>
      </c>
      <c r="I387" t="s">
        <v>65</v>
      </c>
      <c r="J387">
        <v>9398.11</v>
      </c>
      <c r="K387" t="s">
        <v>26</v>
      </c>
      <c r="L387" t="s">
        <v>85</v>
      </c>
      <c r="M387">
        <v>1</v>
      </c>
      <c r="N387" t="s">
        <v>1253</v>
      </c>
      <c r="O387" t="s">
        <v>1254</v>
      </c>
      <c r="P387">
        <v>20.5</v>
      </c>
      <c r="Q387" s="2">
        <v>45966</v>
      </c>
      <c r="R387" t="s">
        <v>1138</v>
      </c>
      <c r="S387" t="s">
        <v>62</v>
      </c>
      <c r="T387" t="s">
        <v>43</v>
      </c>
      <c r="U387">
        <v>9377.61</v>
      </c>
      <c r="V387">
        <v>1658.49</v>
      </c>
    </row>
    <row r="388" spans="1:22" x14ac:dyDescent="0.3">
      <c r="A388" t="s">
        <v>131</v>
      </c>
      <c r="B388" t="s">
        <v>21</v>
      </c>
      <c r="C388" t="s">
        <v>22</v>
      </c>
      <c r="D388">
        <v>16</v>
      </c>
      <c r="E388">
        <v>440.48</v>
      </c>
      <c r="F388" t="s">
        <v>23</v>
      </c>
      <c r="G388" t="s">
        <v>37</v>
      </c>
      <c r="H388">
        <v>0.05</v>
      </c>
      <c r="I388" t="s">
        <v>56</v>
      </c>
      <c r="J388">
        <v>6695.3</v>
      </c>
      <c r="K388" t="s">
        <v>47</v>
      </c>
      <c r="L388" t="s">
        <v>85</v>
      </c>
      <c r="M388">
        <v>1</v>
      </c>
      <c r="N388" t="s">
        <v>1255</v>
      </c>
      <c r="O388" t="s">
        <v>1256</v>
      </c>
      <c r="P388">
        <v>26.87</v>
      </c>
      <c r="Q388" s="2">
        <v>44994</v>
      </c>
      <c r="R388" t="s">
        <v>652</v>
      </c>
      <c r="S388" t="s">
        <v>31</v>
      </c>
      <c r="T388" t="s">
        <v>98</v>
      </c>
      <c r="U388">
        <v>6668.43</v>
      </c>
      <c r="V388">
        <v>352.38400000000001</v>
      </c>
    </row>
    <row r="389" spans="1:22" x14ac:dyDescent="0.3">
      <c r="A389" t="s">
        <v>876</v>
      </c>
      <c r="B389" t="s">
        <v>21</v>
      </c>
      <c r="C389" t="s">
        <v>100</v>
      </c>
      <c r="D389">
        <v>8</v>
      </c>
      <c r="E389">
        <v>143.94999999999999</v>
      </c>
      <c r="F389" t="s">
        <v>23</v>
      </c>
      <c r="G389" t="s">
        <v>37</v>
      </c>
      <c r="H389">
        <v>0.1</v>
      </c>
      <c r="I389" t="s">
        <v>78</v>
      </c>
      <c r="J389">
        <v>1036.44</v>
      </c>
      <c r="K389" t="s">
        <v>47</v>
      </c>
      <c r="L389" t="s">
        <v>58</v>
      </c>
      <c r="M389">
        <v>0</v>
      </c>
      <c r="N389" t="s">
        <v>1257</v>
      </c>
      <c r="O389" t="s">
        <v>1258</v>
      </c>
      <c r="P389">
        <v>28.09</v>
      </c>
      <c r="Q389" s="2">
        <v>45353</v>
      </c>
      <c r="R389" t="s">
        <v>633</v>
      </c>
      <c r="S389" t="s">
        <v>31</v>
      </c>
      <c r="T389" t="s">
        <v>98</v>
      </c>
      <c r="U389">
        <v>1008.35</v>
      </c>
      <c r="V389">
        <v>115.16</v>
      </c>
    </row>
    <row r="390" spans="1:22" x14ac:dyDescent="0.3">
      <c r="A390" t="s">
        <v>1104</v>
      </c>
      <c r="B390" t="s">
        <v>54</v>
      </c>
      <c r="C390" t="s">
        <v>35</v>
      </c>
      <c r="D390">
        <v>14</v>
      </c>
      <c r="E390">
        <v>250.98</v>
      </c>
      <c r="F390" t="s">
        <v>36</v>
      </c>
      <c r="G390" t="s">
        <v>37</v>
      </c>
      <c r="H390">
        <v>0</v>
      </c>
      <c r="I390" t="s">
        <v>65</v>
      </c>
      <c r="J390">
        <v>3513.72</v>
      </c>
      <c r="K390" t="s">
        <v>38</v>
      </c>
      <c r="L390" t="s">
        <v>48</v>
      </c>
      <c r="M390">
        <v>0</v>
      </c>
      <c r="N390" t="s">
        <v>1259</v>
      </c>
      <c r="O390" t="s">
        <v>1260</v>
      </c>
      <c r="P390">
        <v>14.94</v>
      </c>
      <c r="Q390" s="2">
        <v>45200</v>
      </c>
      <c r="R390" t="s">
        <v>1261</v>
      </c>
      <c r="S390" t="s">
        <v>62</v>
      </c>
      <c r="T390" t="s">
        <v>32</v>
      </c>
      <c r="U390">
        <v>3498.7799999999997</v>
      </c>
      <c r="V390">
        <v>0</v>
      </c>
    </row>
    <row r="391" spans="1:22" x14ac:dyDescent="0.3">
      <c r="A391" t="s">
        <v>437</v>
      </c>
      <c r="B391" t="s">
        <v>45</v>
      </c>
      <c r="C391" t="s">
        <v>71</v>
      </c>
      <c r="D391">
        <v>7</v>
      </c>
      <c r="E391">
        <v>335.41</v>
      </c>
      <c r="F391" t="s">
        <v>36</v>
      </c>
      <c r="G391" t="s">
        <v>37</v>
      </c>
      <c r="H391">
        <v>0</v>
      </c>
      <c r="I391" t="s">
        <v>94</v>
      </c>
      <c r="J391">
        <v>2347.87</v>
      </c>
      <c r="K391" t="s">
        <v>26</v>
      </c>
      <c r="L391" t="s">
        <v>58</v>
      </c>
      <c r="M391">
        <v>0</v>
      </c>
      <c r="N391" t="s">
        <v>1262</v>
      </c>
      <c r="O391" t="s">
        <v>442</v>
      </c>
      <c r="P391">
        <v>18.91</v>
      </c>
      <c r="Q391" s="2">
        <v>45079</v>
      </c>
      <c r="R391" t="s">
        <v>1263</v>
      </c>
      <c r="S391" t="s">
        <v>51</v>
      </c>
      <c r="T391" t="s">
        <v>105</v>
      </c>
      <c r="U391">
        <v>2328.96</v>
      </c>
      <c r="V391">
        <v>0</v>
      </c>
    </row>
    <row r="392" spans="1:22" x14ac:dyDescent="0.3">
      <c r="A392" t="s">
        <v>375</v>
      </c>
      <c r="B392" t="s">
        <v>21</v>
      </c>
      <c r="C392" t="s">
        <v>140</v>
      </c>
      <c r="D392">
        <v>11</v>
      </c>
      <c r="E392">
        <v>204.5</v>
      </c>
      <c r="F392" t="s">
        <v>84</v>
      </c>
      <c r="G392" t="s">
        <v>37</v>
      </c>
      <c r="H392">
        <v>0</v>
      </c>
      <c r="I392" t="s">
        <v>65</v>
      </c>
      <c r="J392">
        <v>2249.5</v>
      </c>
      <c r="K392" t="s">
        <v>38</v>
      </c>
      <c r="L392" t="s">
        <v>27</v>
      </c>
      <c r="M392">
        <v>0</v>
      </c>
      <c r="N392" t="s">
        <v>1264</v>
      </c>
      <c r="O392" t="s">
        <v>1144</v>
      </c>
      <c r="P392">
        <v>13.82</v>
      </c>
      <c r="Q392" s="2">
        <v>45934</v>
      </c>
      <c r="R392" t="s">
        <v>1265</v>
      </c>
      <c r="S392" t="s">
        <v>31</v>
      </c>
      <c r="T392" t="s">
        <v>32</v>
      </c>
      <c r="U392">
        <v>2235.6799999999998</v>
      </c>
      <c r="V392">
        <v>0</v>
      </c>
    </row>
    <row r="393" spans="1:22" x14ac:dyDescent="0.3">
      <c r="A393" t="s">
        <v>798</v>
      </c>
      <c r="B393" t="s">
        <v>54</v>
      </c>
      <c r="C393" t="s">
        <v>35</v>
      </c>
      <c r="D393">
        <v>10</v>
      </c>
      <c r="E393">
        <v>419.58</v>
      </c>
      <c r="F393" t="s">
        <v>84</v>
      </c>
      <c r="G393" t="s">
        <v>24</v>
      </c>
      <c r="H393">
        <v>0.15</v>
      </c>
      <c r="I393" t="s">
        <v>65</v>
      </c>
      <c r="J393">
        <v>3566.43</v>
      </c>
      <c r="K393" t="s">
        <v>38</v>
      </c>
      <c r="L393" t="s">
        <v>85</v>
      </c>
      <c r="M393">
        <v>0</v>
      </c>
      <c r="N393" t="s">
        <v>1266</v>
      </c>
      <c r="O393" t="s">
        <v>1267</v>
      </c>
      <c r="P393">
        <v>13.09</v>
      </c>
      <c r="Q393" s="2">
        <v>45269</v>
      </c>
      <c r="R393" t="s">
        <v>1268</v>
      </c>
      <c r="S393" t="s">
        <v>62</v>
      </c>
      <c r="T393" t="s">
        <v>76</v>
      </c>
      <c r="U393">
        <v>3553.3399999999997</v>
      </c>
      <c r="V393">
        <v>629.37</v>
      </c>
    </row>
    <row r="394" spans="1:22" x14ac:dyDescent="0.3">
      <c r="A394" t="s">
        <v>639</v>
      </c>
      <c r="B394" t="s">
        <v>21</v>
      </c>
      <c r="C394" t="s">
        <v>22</v>
      </c>
      <c r="D394">
        <v>4</v>
      </c>
      <c r="E394">
        <v>242.8</v>
      </c>
      <c r="F394" t="s">
        <v>55</v>
      </c>
      <c r="G394" t="s">
        <v>24</v>
      </c>
      <c r="H394">
        <v>0.05</v>
      </c>
      <c r="I394" t="s">
        <v>78</v>
      </c>
      <c r="J394">
        <v>922.64</v>
      </c>
      <c r="K394" t="s">
        <v>38</v>
      </c>
      <c r="L394" t="s">
        <v>85</v>
      </c>
      <c r="M394">
        <v>0</v>
      </c>
      <c r="N394" t="s">
        <v>1269</v>
      </c>
      <c r="O394" t="s">
        <v>1270</v>
      </c>
      <c r="P394">
        <v>30.03</v>
      </c>
      <c r="Q394" s="2">
        <v>45905</v>
      </c>
      <c r="R394" t="s">
        <v>1271</v>
      </c>
      <c r="S394" t="s">
        <v>31</v>
      </c>
      <c r="T394" t="s">
        <v>52</v>
      </c>
      <c r="U394">
        <v>892.61</v>
      </c>
      <c r="V394">
        <v>48.56</v>
      </c>
    </row>
    <row r="395" spans="1:22" x14ac:dyDescent="0.3">
      <c r="A395" t="s">
        <v>693</v>
      </c>
      <c r="B395" t="s">
        <v>70</v>
      </c>
      <c r="C395" t="s">
        <v>140</v>
      </c>
      <c r="D395">
        <v>4</v>
      </c>
      <c r="E395">
        <v>410.59</v>
      </c>
      <c r="F395" t="s">
        <v>84</v>
      </c>
      <c r="G395" t="s">
        <v>37</v>
      </c>
      <c r="H395">
        <v>0</v>
      </c>
      <c r="I395" t="s">
        <v>65</v>
      </c>
      <c r="J395">
        <v>1642.36</v>
      </c>
      <c r="K395" t="s">
        <v>47</v>
      </c>
      <c r="L395" t="s">
        <v>48</v>
      </c>
      <c r="M395">
        <v>0</v>
      </c>
      <c r="N395" t="s">
        <v>1272</v>
      </c>
      <c r="O395" t="s">
        <v>1273</v>
      </c>
      <c r="P395">
        <v>17.36</v>
      </c>
      <c r="Q395" s="2">
        <v>45416</v>
      </c>
      <c r="R395" t="s">
        <v>339</v>
      </c>
      <c r="S395" t="s">
        <v>75</v>
      </c>
      <c r="T395" t="s">
        <v>63</v>
      </c>
      <c r="U395">
        <v>1625</v>
      </c>
      <c r="V395">
        <v>0</v>
      </c>
    </row>
    <row r="396" spans="1:22" x14ac:dyDescent="0.3">
      <c r="A396" t="s">
        <v>990</v>
      </c>
      <c r="B396" t="s">
        <v>34</v>
      </c>
      <c r="C396" t="s">
        <v>35</v>
      </c>
      <c r="D396">
        <v>3</v>
      </c>
      <c r="E396">
        <v>10.93</v>
      </c>
      <c r="F396" t="s">
        <v>55</v>
      </c>
      <c r="G396" t="s">
        <v>24</v>
      </c>
      <c r="H396">
        <v>0.15</v>
      </c>
      <c r="I396" t="s">
        <v>65</v>
      </c>
      <c r="J396">
        <v>27.87</v>
      </c>
      <c r="K396" t="s">
        <v>47</v>
      </c>
      <c r="L396" t="s">
        <v>85</v>
      </c>
      <c r="M396">
        <v>0</v>
      </c>
      <c r="N396" t="s">
        <v>1274</v>
      </c>
      <c r="O396" t="s">
        <v>1275</v>
      </c>
      <c r="P396">
        <v>19.010000000000002</v>
      </c>
      <c r="Q396" s="2">
        <v>45299</v>
      </c>
      <c r="R396" t="s">
        <v>414</v>
      </c>
      <c r="S396" t="s">
        <v>42</v>
      </c>
      <c r="T396" t="s">
        <v>187</v>
      </c>
      <c r="U396">
        <v>8.86</v>
      </c>
      <c r="V396">
        <v>4.9184999999999999</v>
      </c>
    </row>
    <row r="397" spans="1:22" x14ac:dyDescent="0.3">
      <c r="A397" t="s">
        <v>822</v>
      </c>
      <c r="B397" t="s">
        <v>34</v>
      </c>
      <c r="C397" t="s">
        <v>35</v>
      </c>
      <c r="D397">
        <v>20</v>
      </c>
      <c r="E397">
        <v>150.16</v>
      </c>
      <c r="F397" t="s">
        <v>36</v>
      </c>
      <c r="G397" t="s">
        <v>24</v>
      </c>
      <c r="H397">
        <v>0</v>
      </c>
      <c r="I397" t="s">
        <v>94</v>
      </c>
      <c r="J397">
        <v>3003.2</v>
      </c>
      <c r="K397" t="s">
        <v>47</v>
      </c>
      <c r="L397" t="s">
        <v>48</v>
      </c>
      <c r="M397">
        <v>0</v>
      </c>
      <c r="N397" t="s">
        <v>1276</v>
      </c>
      <c r="O397" t="s">
        <v>1277</v>
      </c>
      <c r="P397">
        <v>41.66</v>
      </c>
      <c r="Q397" s="2">
        <v>45572</v>
      </c>
      <c r="R397" t="s">
        <v>69</v>
      </c>
      <c r="S397" t="s">
        <v>42</v>
      </c>
      <c r="T397" t="s">
        <v>32</v>
      </c>
      <c r="U397">
        <v>2961.54</v>
      </c>
      <c r="V397">
        <v>0</v>
      </c>
    </row>
    <row r="398" spans="1:22" x14ac:dyDescent="0.3">
      <c r="A398" t="s">
        <v>788</v>
      </c>
      <c r="B398" t="s">
        <v>54</v>
      </c>
      <c r="C398" t="s">
        <v>71</v>
      </c>
      <c r="D398">
        <v>13</v>
      </c>
      <c r="E398">
        <v>50.51</v>
      </c>
      <c r="F398" t="s">
        <v>55</v>
      </c>
      <c r="G398" t="s">
        <v>24</v>
      </c>
      <c r="H398">
        <v>0.1</v>
      </c>
      <c r="I398" t="s">
        <v>25</v>
      </c>
      <c r="J398">
        <v>590.97</v>
      </c>
      <c r="K398" t="s">
        <v>38</v>
      </c>
      <c r="L398" t="s">
        <v>27</v>
      </c>
      <c r="M398">
        <v>0</v>
      </c>
      <c r="N398" t="s">
        <v>1278</v>
      </c>
      <c r="O398" t="s">
        <v>1279</v>
      </c>
      <c r="P398">
        <v>40.57</v>
      </c>
      <c r="Q398" s="2">
        <v>45237</v>
      </c>
      <c r="R398" t="s">
        <v>1280</v>
      </c>
      <c r="S398" t="s">
        <v>62</v>
      </c>
      <c r="T398" t="s">
        <v>43</v>
      </c>
      <c r="U398">
        <v>550.4</v>
      </c>
      <c r="V398">
        <v>65.662999999999997</v>
      </c>
    </row>
    <row r="399" spans="1:22" x14ac:dyDescent="0.3">
      <c r="A399" t="s">
        <v>521</v>
      </c>
      <c r="B399" t="s">
        <v>21</v>
      </c>
      <c r="C399" t="s">
        <v>35</v>
      </c>
      <c r="D399">
        <v>7</v>
      </c>
      <c r="E399">
        <v>294.95</v>
      </c>
      <c r="F399" t="s">
        <v>55</v>
      </c>
      <c r="G399" t="s">
        <v>24</v>
      </c>
      <c r="H399">
        <v>0</v>
      </c>
      <c r="I399" t="s">
        <v>56</v>
      </c>
      <c r="J399">
        <v>2064.65</v>
      </c>
      <c r="K399" t="s">
        <v>26</v>
      </c>
      <c r="L399" t="s">
        <v>85</v>
      </c>
      <c r="M399">
        <v>0</v>
      </c>
      <c r="N399" t="s">
        <v>1281</v>
      </c>
      <c r="O399" t="s">
        <v>1282</v>
      </c>
      <c r="P399">
        <v>15.78</v>
      </c>
      <c r="Q399" s="2">
        <v>45054</v>
      </c>
      <c r="R399" t="s">
        <v>139</v>
      </c>
      <c r="S399" t="s">
        <v>31</v>
      </c>
      <c r="T399" t="s">
        <v>63</v>
      </c>
      <c r="U399">
        <v>2048.87</v>
      </c>
      <c r="V399">
        <v>0</v>
      </c>
    </row>
    <row r="400" spans="1:22" x14ac:dyDescent="0.3">
      <c r="A400" t="s">
        <v>583</v>
      </c>
      <c r="B400" t="s">
        <v>21</v>
      </c>
      <c r="C400" t="s">
        <v>140</v>
      </c>
      <c r="D400">
        <v>3</v>
      </c>
      <c r="E400">
        <v>238.82</v>
      </c>
      <c r="F400" t="s">
        <v>36</v>
      </c>
      <c r="G400" t="s">
        <v>37</v>
      </c>
      <c r="H400">
        <v>0.1</v>
      </c>
      <c r="I400" t="s">
        <v>94</v>
      </c>
      <c r="J400">
        <v>644.80999999999995</v>
      </c>
      <c r="K400" t="s">
        <v>57</v>
      </c>
      <c r="L400" t="s">
        <v>27</v>
      </c>
      <c r="M400">
        <v>0</v>
      </c>
      <c r="N400" t="s">
        <v>1283</v>
      </c>
      <c r="O400" t="s">
        <v>1284</v>
      </c>
      <c r="P400">
        <v>37.07</v>
      </c>
      <c r="Q400" s="2">
        <v>45904</v>
      </c>
      <c r="R400" t="s">
        <v>1285</v>
      </c>
      <c r="S400" t="s">
        <v>31</v>
      </c>
      <c r="T400" t="s">
        <v>52</v>
      </c>
      <c r="U400">
        <v>607.7399999999999</v>
      </c>
      <c r="V400">
        <v>71.646000000000001</v>
      </c>
    </row>
    <row r="401" spans="1:22" x14ac:dyDescent="0.3">
      <c r="A401" t="s">
        <v>719</v>
      </c>
      <c r="B401" t="s">
        <v>21</v>
      </c>
      <c r="C401" t="s">
        <v>109</v>
      </c>
      <c r="D401">
        <v>16</v>
      </c>
      <c r="E401">
        <v>332.19</v>
      </c>
      <c r="F401" t="s">
        <v>36</v>
      </c>
      <c r="G401" t="s">
        <v>37</v>
      </c>
      <c r="H401">
        <v>0.1</v>
      </c>
      <c r="I401" t="s">
        <v>65</v>
      </c>
      <c r="J401">
        <v>4783.54</v>
      </c>
      <c r="K401" t="s">
        <v>101</v>
      </c>
      <c r="L401" t="s">
        <v>58</v>
      </c>
      <c r="M401">
        <v>1</v>
      </c>
      <c r="N401" t="s">
        <v>1286</v>
      </c>
      <c r="O401" t="s">
        <v>1287</v>
      </c>
      <c r="P401">
        <v>34.97</v>
      </c>
      <c r="Q401" s="2">
        <v>45962</v>
      </c>
      <c r="R401" t="s">
        <v>1288</v>
      </c>
      <c r="S401" t="s">
        <v>31</v>
      </c>
      <c r="T401" t="s">
        <v>43</v>
      </c>
      <c r="U401">
        <v>4748.57</v>
      </c>
      <c r="V401">
        <v>531.50400000000002</v>
      </c>
    </row>
    <row r="402" spans="1:22" x14ac:dyDescent="0.3">
      <c r="A402" t="s">
        <v>1180</v>
      </c>
      <c r="B402" t="s">
        <v>54</v>
      </c>
      <c r="C402" t="s">
        <v>140</v>
      </c>
      <c r="D402">
        <v>6</v>
      </c>
      <c r="E402">
        <v>540.54</v>
      </c>
      <c r="F402" t="s">
        <v>84</v>
      </c>
      <c r="G402" t="s">
        <v>37</v>
      </c>
      <c r="H402">
        <v>0.05</v>
      </c>
      <c r="I402" t="s">
        <v>46</v>
      </c>
      <c r="J402">
        <v>3081.08</v>
      </c>
      <c r="K402" t="s">
        <v>38</v>
      </c>
      <c r="L402" t="s">
        <v>58</v>
      </c>
      <c r="M402">
        <v>0</v>
      </c>
      <c r="N402" t="s">
        <v>1289</v>
      </c>
      <c r="O402" t="s">
        <v>1290</v>
      </c>
      <c r="P402">
        <v>19.77</v>
      </c>
      <c r="Q402" s="2">
        <v>45748</v>
      </c>
      <c r="R402" t="s">
        <v>570</v>
      </c>
      <c r="S402" t="s">
        <v>62</v>
      </c>
      <c r="T402" t="s">
        <v>147</v>
      </c>
      <c r="U402">
        <v>3061.31</v>
      </c>
      <c r="V402">
        <v>162.16200000000001</v>
      </c>
    </row>
    <row r="403" spans="1:22" x14ac:dyDescent="0.3">
      <c r="A403" t="s">
        <v>1199</v>
      </c>
      <c r="B403" t="s">
        <v>70</v>
      </c>
      <c r="C403" t="s">
        <v>127</v>
      </c>
      <c r="D403">
        <v>2</v>
      </c>
      <c r="E403">
        <v>327.57</v>
      </c>
      <c r="F403" t="s">
        <v>84</v>
      </c>
      <c r="G403" t="s">
        <v>37</v>
      </c>
      <c r="H403">
        <v>0.05</v>
      </c>
      <c r="I403" t="s">
        <v>78</v>
      </c>
      <c r="J403">
        <v>622.38</v>
      </c>
      <c r="K403" t="s">
        <v>38</v>
      </c>
      <c r="L403" t="s">
        <v>48</v>
      </c>
      <c r="M403">
        <v>0</v>
      </c>
      <c r="N403" t="s">
        <v>1291</v>
      </c>
      <c r="O403" t="s">
        <v>1292</v>
      </c>
      <c r="P403">
        <v>19.489999999999998</v>
      </c>
      <c r="Q403" s="2">
        <v>45206</v>
      </c>
      <c r="R403" t="s">
        <v>1293</v>
      </c>
      <c r="S403" t="s">
        <v>75</v>
      </c>
      <c r="T403" t="s">
        <v>32</v>
      </c>
      <c r="U403">
        <v>602.89</v>
      </c>
      <c r="V403">
        <v>32.756999999999998</v>
      </c>
    </row>
    <row r="404" spans="1:22" x14ac:dyDescent="0.3">
      <c r="A404" t="s">
        <v>1015</v>
      </c>
      <c r="B404" t="s">
        <v>70</v>
      </c>
      <c r="C404" t="s">
        <v>140</v>
      </c>
      <c r="D404">
        <v>18</v>
      </c>
      <c r="E404">
        <v>166.92</v>
      </c>
      <c r="F404" t="s">
        <v>36</v>
      </c>
      <c r="G404" t="s">
        <v>24</v>
      </c>
      <c r="H404">
        <v>0.05</v>
      </c>
      <c r="I404" t="s">
        <v>25</v>
      </c>
      <c r="J404">
        <v>2854.33</v>
      </c>
      <c r="K404" t="s">
        <v>57</v>
      </c>
      <c r="L404" t="s">
        <v>27</v>
      </c>
      <c r="M404">
        <v>0</v>
      </c>
      <c r="N404" t="s">
        <v>1294</v>
      </c>
      <c r="O404" t="s">
        <v>1295</v>
      </c>
      <c r="P404">
        <v>9.35</v>
      </c>
      <c r="Q404" s="2">
        <v>45451</v>
      </c>
      <c r="R404" t="s">
        <v>1296</v>
      </c>
      <c r="S404" t="s">
        <v>75</v>
      </c>
      <c r="T404" t="s">
        <v>105</v>
      </c>
      <c r="U404">
        <v>2844.98</v>
      </c>
      <c r="V404">
        <v>150.22800000000001</v>
      </c>
    </row>
    <row r="405" spans="1:22" x14ac:dyDescent="0.3">
      <c r="A405" t="s">
        <v>1172</v>
      </c>
      <c r="B405" t="s">
        <v>70</v>
      </c>
      <c r="C405" t="s">
        <v>71</v>
      </c>
      <c r="D405">
        <v>9</v>
      </c>
      <c r="E405">
        <v>256.14</v>
      </c>
      <c r="F405" t="s">
        <v>84</v>
      </c>
      <c r="G405" t="s">
        <v>37</v>
      </c>
      <c r="H405">
        <v>0.15</v>
      </c>
      <c r="I405" t="s">
        <v>56</v>
      </c>
      <c r="J405">
        <v>1959.47</v>
      </c>
      <c r="K405" t="s">
        <v>101</v>
      </c>
      <c r="L405" t="s">
        <v>58</v>
      </c>
      <c r="M405">
        <v>1</v>
      </c>
      <c r="N405" t="s">
        <v>1297</v>
      </c>
      <c r="O405" t="s">
        <v>1298</v>
      </c>
      <c r="P405">
        <v>5.21</v>
      </c>
      <c r="Q405" s="2">
        <v>45749</v>
      </c>
      <c r="R405" t="s">
        <v>777</v>
      </c>
      <c r="S405" t="s">
        <v>75</v>
      </c>
      <c r="T405" t="s">
        <v>147</v>
      </c>
      <c r="U405">
        <v>1954.26</v>
      </c>
      <c r="V405">
        <v>345.78899999999993</v>
      </c>
    </row>
    <row r="406" spans="1:22" x14ac:dyDescent="0.3">
      <c r="A406" t="s">
        <v>850</v>
      </c>
      <c r="B406" t="s">
        <v>54</v>
      </c>
      <c r="C406" t="s">
        <v>35</v>
      </c>
      <c r="D406">
        <v>3</v>
      </c>
      <c r="E406">
        <v>312.97000000000003</v>
      </c>
      <c r="F406" t="s">
        <v>36</v>
      </c>
      <c r="G406" t="s">
        <v>37</v>
      </c>
      <c r="H406">
        <v>0.05</v>
      </c>
      <c r="I406" t="s">
        <v>65</v>
      </c>
      <c r="J406">
        <v>891.96</v>
      </c>
      <c r="K406" t="s">
        <v>101</v>
      </c>
      <c r="L406" t="s">
        <v>48</v>
      </c>
      <c r="M406">
        <v>1</v>
      </c>
      <c r="N406" t="s">
        <v>1299</v>
      </c>
      <c r="O406" t="s">
        <v>1300</v>
      </c>
      <c r="P406">
        <v>20.059999999999999</v>
      </c>
      <c r="Q406" s="2">
        <v>45086</v>
      </c>
      <c r="R406" t="s">
        <v>798</v>
      </c>
      <c r="S406" t="s">
        <v>62</v>
      </c>
      <c r="T406" t="s">
        <v>105</v>
      </c>
      <c r="U406">
        <v>871.90000000000009</v>
      </c>
      <c r="V406">
        <v>46.94550000000001</v>
      </c>
    </row>
    <row r="407" spans="1:22" x14ac:dyDescent="0.3">
      <c r="A407" t="s">
        <v>368</v>
      </c>
      <c r="B407" t="s">
        <v>70</v>
      </c>
      <c r="C407" t="s">
        <v>100</v>
      </c>
      <c r="D407">
        <v>9</v>
      </c>
      <c r="E407">
        <v>418</v>
      </c>
      <c r="F407" t="s">
        <v>36</v>
      </c>
      <c r="G407" t="s">
        <v>24</v>
      </c>
      <c r="H407">
        <v>0</v>
      </c>
      <c r="I407" t="s">
        <v>94</v>
      </c>
      <c r="J407">
        <v>3762</v>
      </c>
      <c r="K407" t="s">
        <v>101</v>
      </c>
      <c r="L407" t="s">
        <v>27</v>
      </c>
      <c r="M407">
        <v>0</v>
      </c>
      <c r="N407" t="s">
        <v>1301</v>
      </c>
      <c r="O407" t="s">
        <v>1302</v>
      </c>
      <c r="P407">
        <v>30.45</v>
      </c>
      <c r="Q407" s="2">
        <v>45632</v>
      </c>
      <c r="R407" t="s">
        <v>1303</v>
      </c>
      <c r="S407" t="s">
        <v>75</v>
      </c>
      <c r="T407" t="s">
        <v>76</v>
      </c>
      <c r="U407">
        <v>3731.55</v>
      </c>
      <c r="V407">
        <v>0</v>
      </c>
    </row>
    <row r="408" spans="1:22" x14ac:dyDescent="0.3">
      <c r="A408" t="s">
        <v>433</v>
      </c>
      <c r="B408" t="s">
        <v>34</v>
      </c>
      <c r="C408" t="s">
        <v>35</v>
      </c>
      <c r="D408">
        <v>1</v>
      </c>
      <c r="E408">
        <v>80.959999999999994</v>
      </c>
      <c r="F408" t="s">
        <v>84</v>
      </c>
      <c r="G408" t="s">
        <v>24</v>
      </c>
      <c r="H408">
        <v>0</v>
      </c>
      <c r="I408" t="s">
        <v>94</v>
      </c>
      <c r="J408">
        <v>80.959999999999994</v>
      </c>
      <c r="K408" t="s">
        <v>101</v>
      </c>
      <c r="L408" t="s">
        <v>85</v>
      </c>
      <c r="M408">
        <v>0</v>
      </c>
      <c r="N408" t="s">
        <v>1304</v>
      </c>
      <c r="O408" t="s">
        <v>1305</v>
      </c>
      <c r="P408">
        <v>48.07</v>
      </c>
      <c r="Q408" s="2">
        <v>44959</v>
      </c>
      <c r="R408" t="s">
        <v>497</v>
      </c>
      <c r="S408" t="s">
        <v>42</v>
      </c>
      <c r="T408" t="s">
        <v>199</v>
      </c>
      <c r="U408">
        <v>32.889999999999993</v>
      </c>
      <c r="V408">
        <v>0</v>
      </c>
    </row>
    <row r="409" spans="1:22" x14ac:dyDescent="0.3">
      <c r="A409" t="s">
        <v>1306</v>
      </c>
      <c r="B409" t="s">
        <v>70</v>
      </c>
      <c r="C409" t="s">
        <v>71</v>
      </c>
      <c r="D409">
        <v>20</v>
      </c>
      <c r="E409">
        <v>42.12</v>
      </c>
      <c r="F409" t="s">
        <v>23</v>
      </c>
      <c r="G409" t="s">
        <v>24</v>
      </c>
      <c r="H409">
        <v>0.15</v>
      </c>
      <c r="I409" t="s">
        <v>25</v>
      </c>
      <c r="J409">
        <v>716.04</v>
      </c>
      <c r="K409" t="s">
        <v>101</v>
      </c>
      <c r="L409" t="s">
        <v>48</v>
      </c>
      <c r="M409">
        <v>0</v>
      </c>
      <c r="N409" t="s">
        <v>1307</v>
      </c>
      <c r="O409" t="s">
        <v>1308</v>
      </c>
      <c r="P409">
        <v>43.22</v>
      </c>
      <c r="Q409" s="2">
        <v>45021</v>
      </c>
      <c r="R409" t="s">
        <v>1032</v>
      </c>
      <c r="S409" t="s">
        <v>75</v>
      </c>
      <c r="T409" t="s">
        <v>147</v>
      </c>
      <c r="U409">
        <v>672.81999999999994</v>
      </c>
      <c r="V409">
        <v>126.35999999999999</v>
      </c>
    </row>
    <row r="410" spans="1:22" x14ac:dyDescent="0.3">
      <c r="A410" t="s">
        <v>285</v>
      </c>
      <c r="B410" t="s">
        <v>54</v>
      </c>
      <c r="C410" t="s">
        <v>127</v>
      </c>
      <c r="D410">
        <v>19</v>
      </c>
      <c r="E410">
        <v>534.91999999999996</v>
      </c>
      <c r="F410" t="s">
        <v>55</v>
      </c>
      <c r="G410" t="s">
        <v>37</v>
      </c>
      <c r="H410">
        <v>0</v>
      </c>
      <c r="I410" t="s">
        <v>78</v>
      </c>
      <c r="J410">
        <v>10163.48</v>
      </c>
      <c r="K410" t="s">
        <v>26</v>
      </c>
      <c r="L410" t="s">
        <v>48</v>
      </c>
      <c r="M410">
        <v>0</v>
      </c>
      <c r="N410" t="s">
        <v>1309</v>
      </c>
      <c r="O410" t="s">
        <v>1310</v>
      </c>
      <c r="P410">
        <v>26.97</v>
      </c>
      <c r="Q410" s="2">
        <v>44987</v>
      </c>
      <c r="R410" t="s">
        <v>288</v>
      </c>
      <c r="S410" t="s">
        <v>62</v>
      </c>
      <c r="T410" t="s">
        <v>98</v>
      </c>
      <c r="U410">
        <v>10136.51</v>
      </c>
      <c r="V410">
        <v>0</v>
      </c>
    </row>
    <row r="411" spans="1:22" x14ac:dyDescent="0.3">
      <c r="A411" t="s">
        <v>1085</v>
      </c>
      <c r="B411" t="s">
        <v>45</v>
      </c>
      <c r="C411" t="s">
        <v>127</v>
      </c>
      <c r="D411">
        <v>12</v>
      </c>
      <c r="E411">
        <v>489.14</v>
      </c>
      <c r="F411" t="s">
        <v>55</v>
      </c>
      <c r="G411" t="s">
        <v>37</v>
      </c>
      <c r="H411">
        <v>0.15</v>
      </c>
      <c r="I411" t="s">
        <v>94</v>
      </c>
      <c r="J411">
        <v>4989.2299999999996</v>
      </c>
      <c r="K411" t="s">
        <v>26</v>
      </c>
      <c r="L411" t="s">
        <v>58</v>
      </c>
      <c r="M411">
        <v>0</v>
      </c>
      <c r="N411" t="s">
        <v>1311</v>
      </c>
      <c r="O411" t="s">
        <v>1312</v>
      </c>
      <c r="P411">
        <v>29.31</v>
      </c>
      <c r="Q411" s="2">
        <v>45449</v>
      </c>
      <c r="R411" t="s">
        <v>1313</v>
      </c>
      <c r="S411" t="s">
        <v>51</v>
      </c>
      <c r="T411" t="s">
        <v>105</v>
      </c>
      <c r="U411">
        <v>4959.9199999999992</v>
      </c>
      <c r="V411">
        <v>880.452</v>
      </c>
    </row>
    <row r="412" spans="1:22" x14ac:dyDescent="0.3">
      <c r="A412" t="s">
        <v>1314</v>
      </c>
      <c r="B412" t="s">
        <v>21</v>
      </c>
      <c r="C412" t="s">
        <v>140</v>
      </c>
      <c r="D412">
        <v>17</v>
      </c>
      <c r="E412">
        <v>99.76</v>
      </c>
      <c r="F412" t="s">
        <v>36</v>
      </c>
      <c r="G412" t="s">
        <v>24</v>
      </c>
      <c r="H412">
        <v>0</v>
      </c>
      <c r="I412" t="s">
        <v>78</v>
      </c>
      <c r="J412">
        <v>1695.92</v>
      </c>
      <c r="K412" t="s">
        <v>26</v>
      </c>
      <c r="L412" t="s">
        <v>85</v>
      </c>
      <c r="M412">
        <v>1</v>
      </c>
      <c r="N412" t="s">
        <v>1315</v>
      </c>
      <c r="O412" t="s">
        <v>1316</v>
      </c>
      <c r="P412">
        <v>21.89</v>
      </c>
      <c r="Q412" s="2">
        <v>45362</v>
      </c>
      <c r="R412" t="s">
        <v>308</v>
      </c>
      <c r="S412" t="s">
        <v>31</v>
      </c>
      <c r="T412" t="s">
        <v>98</v>
      </c>
      <c r="U412">
        <v>1674.03</v>
      </c>
      <c r="V412">
        <v>0</v>
      </c>
    </row>
    <row r="413" spans="1:22" x14ac:dyDescent="0.3">
      <c r="A413" t="s">
        <v>876</v>
      </c>
      <c r="B413" t="s">
        <v>21</v>
      </c>
      <c r="C413" t="s">
        <v>140</v>
      </c>
      <c r="D413">
        <v>14</v>
      </c>
      <c r="E413">
        <v>575.66</v>
      </c>
      <c r="F413" t="s">
        <v>36</v>
      </c>
      <c r="G413" t="s">
        <v>24</v>
      </c>
      <c r="H413">
        <v>0.1</v>
      </c>
      <c r="I413" t="s">
        <v>56</v>
      </c>
      <c r="J413">
        <v>7253.32</v>
      </c>
      <c r="K413" t="s">
        <v>101</v>
      </c>
      <c r="L413" t="s">
        <v>48</v>
      </c>
      <c r="M413">
        <v>0</v>
      </c>
      <c r="N413" t="s">
        <v>1317</v>
      </c>
      <c r="O413" t="s">
        <v>1318</v>
      </c>
      <c r="P413">
        <v>32.53</v>
      </c>
      <c r="Q413" s="2">
        <v>45353</v>
      </c>
      <c r="R413" t="s">
        <v>514</v>
      </c>
      <c r="S413" t="s">
        <v>31</v>
      </c>
      <c r="T413" t="s">
        <v>98</v>
      </c>
      <c r="U413">
        <v>7220.79</v>
      </c>
      <c r="V413">
        <v>805.92399999999998</v>
      </c>
    </row>
    <row r="414" spans="1:22" x14ac:dyDescent="0.3">
      <c r="A414" t="s">
        <v>1104</v>
      </c>
      <c r="B414" t="s">
        <v>70</v>
      </c>
      <c r="C414" t="s">
        <v>35</v>
      </c>
      <c r="D414">
        <v>6</v>
      </c>
      <c r="E414">
        <v>176.52</v>
      </c>
      <c r="F414" t="s">
        <v>55</v>
      </c>
      <c r="G414" t="s">
        <v>24</v>
      </c>
      <c r="H414">
        <v>0.15</v>
      </c>
      <c r="I414" t="s">
        <v>25</v>
      </c>
      <c r="J414">
        <v>900.25</v>
      </c>
      <c r="K414" t="s">
        <v>26</v>
      </c>
      <c r="L414" t="s">
        <v>85</v>
      </c>
      <c r="M414">
        <v>0</v>
      </c>
      <c r="N414" t="s">
        <v>1319</v>
      </c>
      <c r="O414" t="s">
        <v>1320</v>
      </c>
      <c r="P414">
        <v>16.98</v>
      </c>
      <c r="Q414" s="2">
        <v>45200</v>
      </c>
      <c r="R414" t="s">
        <v>849</v>
      </c>
      <c r="S414" t="s">
        <v>75</v>
      </c>
      <c r="T414" t="s">
        <v>32</v>
      </c>
      <c r="U414">
        <v>883.27</v>
      </c>
      <c r="V414">
        <v>158.86800000000002</v>
      </c>
    </row>
    <row r="415" spans="1:22" x14ac:dyDescent="0.3">
      <c r="A415" t="s">
        <v>1104</v>
      </c>
      <c r="B415" t="s">
        <v>70</v>
      </c>
      <c r="C415" t="s">
        <v>22</v>
      </c>
      <c r="D415">
        <v>13</v>
      </c>
      <c r="E415">
        <v>347.73</v>
      </c>
      <c r="F415" t="s">
        <v>23</v>
      </c>
      <c r="G415" t="s">
        <v>24</v>
      </c>
      <c r="H415">
        <v>0.05</v>
      </c>
      <c r="I415" t="s">
        <v>78</v>
      </c>
      <c r="J415">
        <v>4294.47</v>
      </c>
      <c r="K415" t="s">
        <v>57</v>
      </c>
      <c r="L415" t="s">
        <v>85</v>
      </c>
      <c r="M415">
        <v>1</v>
      </c>
      <c r="N415" t="s">
        <v>1321</v>
      </c>
      <c r="O415" t="s">
        <v>1322</v>
      </c>
      <c r="P415">
        <v>31.81</v>
      </c>
      <c r="Q415" s="2">
        <v>45200</v>
      </c>
      <c r="R415" t="s">
        <v>456</v>
      </c>
      <c r="S415" t="s">
        <v>75</v>
      </c>
      <c r="T415" t="s">
        <v>32</v>
      </c>
      <c r="U415">
        <v>4262.66</v>
      </c>
      <c r="V415">
        <v>226.02449999999999</v>
      </c>
    </row>
    <row r="416" spans="1:22" x14ac:dyDescent="0.3">
      <c r="A416" t="s">
        <v>639</v>
      </c>
      <c r="B416" t="s">
        <v>45</v>
      </c>
      <c r="C416" t="s">
        <v>35</v>
      </c>
      <c r="D416">
        <v>3</v>
      </c>
      <c r="E416">
        <v>371.21</v>
      </c>
      <c r="F416" t="s">
        <v>36</v>
      </c>
      <c r="G416" t="s">
        <v>24</v>
      </c>
      <c r="H416">
        <v>0.1</v>
      </c>
      <c r="I416" t="s">
        <v>65</v>
      </c>
      <c r="J416">
        <v>1002.27</v>
      </c>
      <c r="K416" t="s">
        <v>57</v>
      </c>
      <c r="L416" t="s">
        <v>58</v>
      </c>
      <c r="M416">
        <v>0</v>
      </c>
      <c r="N416" t="s">
        <v>1323</v>
      </c>
      <c r="O416" t="s">
        <v>1324</v>
      </c>
      <c r="P416">
        <v>20.02</v>
      </c>
      <c r="Q416" s="2">
        <v>45905</v>
      </c>
      <c r="R416" t="s">
        <v>1271</v>
      </c>
      <c r="S416" t="s">
        <v>51</v>
      </c>
      <c r="T416" t="s">
        <v>52</v>
      </c>
      <c r="U416">
        <v>982.25</v>
      </c>
      <c r="V416">
        <v>111.363</v>
      </c>
    </row>
    <row r="417" spans="1:22" x14ac:dyDescent="0.3">
      <c r="A417" t="s">
        <v>743</v>
      </c>
      <c r="B417" t="s">
        <v>70</v>
      </c>
      <c r="C417" t="s">
        <v>140</v>
      </c>
      <c r="D417">
        <v>12</v>
      </c>
      <c r="E417">
        <v>434.33</v>
      </c>
      <c r="F417" t="s">
        <v>84</v>
      </c>
      <c r="G417" t="s">
        <v>24</v>
      </c>
      <c r="H417">
        <v>0.15</v>
      </c>
      <c r="I417" t="s">
        <v>94</v>
      </c>
      <c r="J417">
        <v>4430.17</v>
      </c>
      <c r="K417" t="s">
        <v>47</v>
      </c>
      <c r="L417" t="s">
        <v>85</v>
      </c>
      <c r="M417">
        <v>0</v>
      </c>
      <c r="N417" t="s">
        <v>1325</v>
      </c>
      <c r="O417" t="s">
        <v>1326</v>
      </c>
      <c r="P417">
        <v>15.33</v>
      </c>
      <c r="Q417" s="2">
        <v>45508</v>
      </c>
      <c r="R417" t="s">
        <v>342</v>
      </c>
      <c r="S417" t="s">
        <v>75</v>
      </c>
      <c r="T417" t="s">
        <v>82</v>
      </c>
      <c r="U417">
        <v>4414.84</v>
      </c>
      <c r="V417">
        <v>781.79399999999998</v>
      </c>
    </row>
    <row r="418" spans="1:22" x14ac:dyDescent="0.3">
      <c r="A418" t="s">
        <v>507</v>
      </c>
      <c r="B418" t="s">
        <v>70</v>
      </c>
      <c r="C418" t="s">
        <v>127</v>
      </c>
      <c r="D418">
        <v>16</v>
      </c>
      <c r="E418">
        <v>426.65</v>
      </c>
      <c r="F418" t="s">
        <v>84</v>
      </c>
      <c r="G418" t="s">
        <v>37</v>
      </c>
      <c r="H418">
        <v>0.1</v>
      </c>
      <c r="I418" t="s">
        <v>78</v>
      </c>
      <c r="J418">
        <v>6143.76</v>
      </c>
      <c r="K418" t="s">
        <v>57</v>
      </c>
      <c r="L418" t="s">
        <v>48</v>
      </c>
      <c r="M418">
        <v>0</v>
      </c>
      <c r="N418" t="s">
        <v>1327</v>
      </c>
      <c r="O418" t="s">
        <v>1328</v>
      </c>
      <c r="P418">
        <v>10.199999999999999</v>
      </c>
      <c r="Q418" s="2">
        <v>45813</v>
      </c>
      <c r="R418" t="s">
        <v>1329</v>
      </c>
      <c r="S418" t="s">
        <v>75</v>
      </c>
      <c r="T418" t="s">
        <v>105</v>
      </c>
      <c r="U418">
        <v>6133.56</v>
      </c>
      <c r="V418">
        <v>682.64</v>
      </c>
    </row>
    <row r="419" spans="1:22" x14ac:dyDescent="0.3">
      <c r="A419" t="s">
        <v>1330</v>
      </c>
      <c r="B419" t="s">
        <v>70</v>
      </c>
      <c r="C419" t="s">
        <v>35</v>
      </c>
      <c r="D419">
        <v>5</v>
      </c>
      <c r="E419">
        <v>411.24</v>
      </c>
      <c r="F419" t="s">
        <v>84</v>
      </c>
      <c r="G419" t="s">
        <v>24</v>
      </c>
      <c r="H419">
        <v>0.15</v>
      </c>
      <c r="I419" t="s">
        <v>94</v>
      </c>
      <c r="J419">
        <v>1747.77</v>
      </c>
      <c r="K419" t="s">
        <v>47</v>
      </c>
      <c r="L419" t="s">
        <v>27</v>
      </c>
      <c r="M419">
        <v>1</v>
      </c>
      <c r="N419" t="s">
        <v>1331</v>
      </c>
      <c r="O419" t="s">
        <v>1332</v>
      </c>
      <c r="P419">
        <v>5.35</v>
      </c>
      <c r="Q419" s="2">
        <v>45081</v>
      </c>
      <c r="R419" t="s">
        <v>293</v>
      </c>
      <c r="S419" t="s">
        <v>75</v>
      </c>
      <c r="T419" t="s">
        <v>105</v>
      </c>
      <c r="U419">
        <v>1742.42</v>
      </c>
      <c r="V419">
        <v>308.42999999999995</v>
      </c>
    </row>
    <row r="420" spans="1:22" x14ac:dyDescent="0.3">
      <c r="A420" t="s">
        <v>799</v>
      </c>
      <c r="B420" t="s">
        <v>21</v>
      </c>
      <c r="C420" t="s">
        <v>22</v>
      </c>
      <c r="D420">
        <v>19</v>
      </c>
      <c r="E420">
        <v>25.61</v>
      </c>
      <c r="F420" t="s">
        <v>23</v>
      </c>
      <c r="G420" t="s">
        <v>37</v>
      </c>
      <c r="H420">
        <v>0</v>
      </c>
      <c r="I420" t="s">
        <v>94</v>
      </c>
      <c r="J420">
        <v>486.59</v>
      </c>
      <c r="K420" t="s">
        <v>57</v>
      </c>
      <c r="L420" t="s">
        <v>48</v>
      </c>
      <c r="M420">
        <v>0</v>
      </c>
      <c r="N420" t="s">
        <v>1333</v>
      </c>
      <c r="O420" t="s">
        <v>1334</v>
      </c>
      <c r="P420">
        <v>30.32</v>
      </c>
      <c r="Q420" s="2">
        <v>45361</v>
      </c>
      <c r="R420" t="s">
        <v>699</v>
      </c>
      <c r="S420" t="s">
        <v>31</v>
      </c>
      <c r="T420" t="s">
        <v>98</v>
      </c>
      <c r="U420">
        <v>456.27</v>
      </c>
      <c r="V420">
        <v>0</v>
      </c>
    </row>
    <row r="421" spans="1:22" x14ac:dyDescent="0.3">
      <c r="A421" t="s">
        <v>131</v>
      </c>
      <c r="B421" t="s">
        <v>34</v>
      </c>
      <c r="C421" t="s">
        <v>22</v>
      </c>
      <c r="D421">
        <v>4</v>
      </c>
      <c r="E421">
        <v>467.45</v>
      </c>
      <c r="F421" t="s">
        <v>36</v>
      </c>
      <c r="G421" t="s">
        <v>24</v>
      </c>
      <c r="H421">
        <v>0.05</v>
      </c>
      <c r="I421" t="s">
        <v>56</v>
      </c>
      <c r="J421">
        <v>1776.31</v>
      </c>
      <c r="K421" t="s">
        <v>57</v>
      </c>
      <c r="L421" t="s">
        <v>27</v>
      </c>
      <c r="M421">
        <v>0</v>
      </c>
      <c r="N421" t="s">
        <v>1335</v>
      </c>
      <c r="O421" t="s">
        <v>1336</v>
      </c>
      <c r="P421">
        <v>25.05</v>
      </c>
      <c r="Q421" s="2">
        <v>44994</v>
      </c>
      <c r="R421" t="s">
        <v>1042</v>
      </c>
      <c r="S421" t="s">
        <v>42</v>
      </c>
      <c r="T421" t="s">
        <v>98</v>
      </c>
      <c r="U421">
        <v>1751.26</v>
      </c>
      <c r="V421">
        <v>93.490000000000009</v>
      </c>
    </row>
    <row r="422" spans="1:22" x14ac:dyDescent="0.3">
      <c r="A422" t="s">
        <v>368</v>
      </c>
      <c r="B422" t="s">
        <v>21</v>
      </c>
      <c r="C422" t="s">
        <v>71</v>
      </c>
      <c r="D422">
        <v>8</v>
      </c>
      <c r="E422">
        <v>57.85</v>
      </c>
      <c r="F422" t="s">
        <v>55</v>
      </c>
      <c r="G422" t="s">
        <v>24</v>
      </c>
      <c r="H422">
        <v>0</v>
      </c>
      <c r="I422" t="s">
        <v>56</v>
      </c>
      <c r="J422">
        <v>462.8</v>
      </c>
      <c r="K422" t="s">
        <v>26</v>
      </c>
      <c r="L422" t="s">
        <v>27</v>
      </c>
      <c r="M422">
        <v>1</v>
      </c>
      <c r="N422" t="s">
        <v>1337</v>
      </c>
      <c r="O422" t="s">
        <v>1338</v>
      </c>
      <c r="P422">
        <v>49.82</v>
      </c>
      <c r="Q422" s="2">
        <v>45632</v>
      </c>
      <c r="R422" t="s">
        <v>1339</v>
      </c>
      <c r="S422" t="s">
        <v>31</v>
      </c>
      <c r="T422" t="s">
        <v>76</v>
      </c>
      <c r="U422">
        <v>412.98</v>
      </c>
      <c r="V422">
        <v>0</v>
      </c>
    </row>
    <row r="423" spans="1:22" x14ac:dyDescent="0.3">
      <c r="A423" t="s">
        <v>1340</v>
      </c>
      <c r="B423" t="s">
        <v>34</v>
      </c>
      <c r="C423" t="s">
        <v>71</v>
      </c>
      <c r="D423">
        <v>10</v>
      </c>
      <c r="E423">
        <v>522.73</v>
      </c>
      <c r="F423" t="s">
        <v>36</v>
      </c>
      <c r="G423" t="s">
        <v>37</v>
      </c>
      <c r="H423">
        <v>0.1</v>
      </c>
      <c r="I423" t="s">
        <v>94</v>
      </c>
      <c r="J423">
        <v>4704.57</v>
      </c>
      <c r="K423" t="s">
        <v>101</v>
      </c>
      <c r="L423" t="s">
        <v>48</v>
      </c>
      <c r="M423">
        <v>0</v>
      </c>
      <c r="N423" t="s">
        <v>1341</v>
      </c>
      <c r="O423" t="s">
        <v>1342</v>
      </c>
      <c r="P423">
        <v>20.059999999999999</v>
      </c>
      <c r="Q423" s="2">
        <v>45543</v>
      </c>
      <c r="R423" t="s">
        <v>449</v>
      </c>
      <c r="S423" t="s">
        <v>42</v>
      </c>
      <c r="T423" t="s">
        <v>52</v>
      </c>
      <c r="U423">
        <v>4684.5099999999993</v>
      </c>
      <c r="V423">
        <v>522.73</v>
      </c>
    </row>
    <row r="424" spans="1:22" x14ac:dyDescent="0.3">
      <c r="A424" t="s">
        <v>333</v>
      </c>
      <c r="B424" t="s">
        <v>21</v>
      </c>
      <c r="C424" t="s">
        <v>109</v>
      </c>
      <c r="D424">
        <v>18</v>
      </c>
      <c r="E424">
        <v>448.03</v>
      </c>
      <c r="F424" t="s">
        <v>23</v>
      </c>
      <c r="G424" t="s">
        <v>37</v>
      </c>
      <c r="H424">
        <v>0.15</v>
      </c>
      <c r="I424" t="s">
        <v>56</v>
      </c>
      <c r="J424">
        <v>6854.86</v>
      </c>
      <c r="K424" t="s">
        <v>47</v>
      </c>
      <c r="L424" t="s">
        <v>27</v>
      </c>
      <c r="M424">
        <v>1</v>
      </c>
      <c r="N424" t="s">
        <v>1343</v>
      </c>
      <c r="O424" t="s">
        <v>1344</v>
      </c>
      <c r="P424">
        <v>13.23</v>
      </c>
      <c r="Q424" s="2">
        <v>45511</v>
      </c>
      <c r="R424" t="s">
        <v>220</v>
      </c>
      <c r="S424" t="s">
        <v>31</v>
      </c>
      <c r="T424" t="s">
        <v>82</v>
      </c>
      <c r="U424">
        <v>6841.63</v>
      </c>
      <c r="V424">
        <v>1209.6809999999998</v>
      </c>
    </row>
    <row r="425" spans="1:22" x14ac:dyDescent="0.3">
      <c r="A425" t="s">
        <v>266</v>
      </c>
      <c r="B425" t="s">
        <v>70</v>
      </c>
      <c r="C425" t="s">
        <v>140</v>
      </c>
      <c r="D425">
        <v>15</v>
      </c>
      <c r="E425">
        <v>140.54</v>
      </c>
      <c r="F425" t="s">
        <v>84</v>
      </c>
      <c r="G425" t="s">
        <v>24</v>
      </c>
      <c r="H425">
        <v>0.1</v>
      </c>
      <c r="I425" t="s">
        <v>65</v>
      </c>
      <c r="J425">
        <v>1897.29</v>
      </c>
      <c r="K425" t="s">
        <v>101</v>
      </c>
      <c r="L425" t="s">
        <v>58</v>
      </c>
      <c r="M425">
        <v>0</v>
      </c>
      <c r="N425" t="s">
        <v>1345</v>
      </c>
      <c r="O425" t="s">
        <v>1346</v>
      </c>
      <c r="P425">
        <v>49.91</v>
      </c>
      <c r="Q425" s="2">
        <v>45607</v>
      </c>
      <c r="R425" t="s">
        <v>1347</v>
      </c>
      <c r="S425" t="s">
        <v>75</v>
      </c>
      <c r="T425" t="s">
        <v>43</v>
      </c>
      <c r="U425">
        <v>1847.3799999999999</v>
      </c>
      <c r="V425">
        <v>210.81</v>
      </c>
    </row>
    <row r="426" spans="1:22" x14ac:dyDescent="0.3">
      <c r="A426" t="s">
        <v>1348</v>
      </c>
      <c r="B426" t="s">
        <v>54</v>
      </c>
      <c r="C426" t="s">
        <v>22</v>
      </c>
      <c r="D426">
        <v>17</v>
      </c>
      <c r="E426">
        <v>460.31</v>
      </c>
      <c r="F426" t="s">
        <v>84</v>
      </c>
      <c r="G426" t="s">
        <v>37</v>
      </c>
      <c r="H426">
        <v>0.15</v>
      </c>
      <c r="I426" t="s">
        <v>78</v>
      </c>
      <c r="J426">
        <v>6651.48</v>
      </c>
      <c r="K426" t="s">
        <v>26</v>
      </c>
      <c r="L426" t="s">
        <v>27</v>
      </c>
      <c r="M426">
        <v>0</v>
      </c>
      <c r="N426" t="s">
        <v>1349</v>
      </c>
      <c r="O426" t="s">
        <v>1350</v>
      </c>
      <c r="P426">
        <v>40.18</v>
      </c>
      <c r="Q426" s="2">
        <v>45119</v>
      </c>
      <c r="R426" t="s">
        <v>1351</v>
      </c>
      <c r="S426" t="s">
        <v>62</v>
      </c>
      <c r="T426" t="s">
        <v>117</v>
      </c>
      <c r="U426">
        <v>6611.2999999999993</v>
      </c>
      <c r="V426">
        <v>1173.7905000000001</v>
      </c>
    </row>
    <row r="427" spans="1:22" x14ac:dyDescent="0.3">
      <c r="A427" t="s">
        <v>763</v>
      </c>
      <c r="B427" t="s">
        <v>54</v>
      </c>
      <c r="C427" t="s">
        <v>22</v>
      </c>
      <c r="D427">
        <v>6</v>
      </c>
      <c r="E427">
        <v>287.72000000000003</v>
      </c>
      <c r="F427" t="s">
        <v>84</v>
      </c>
      <c r="G427" t="s">
        <v>37</v>
      </c>
      <c r="H427">
        <v>0.05</v>
      </c>
      <c r="I427" t="s">
        <v>94</v>
      </c>
      <c r="J427">
        <v>1640</v>
      </c>
      <c r="K427" t="s">
        <v>38</v>
      </c>
      <c r="L427" t="s">
        <v>27</v>
      </c>
      <c r="M427">
        <v>0</v>
      </c>
      <c r="N427" t="s">
        <v>1352</v>
      </c>
      <c r="O427" t="s">
        <v>1353</v>
      </c>
      <c r="P427">
        <v>17.14</v>
      </c>
      <c r="Q427" s="2">
        <v>45176</v>
      </c>
      <c r="R427" t="s">
        <v>1354</v>
      </c>
      <c r="S427" t="s">
        <v>62</v>
      </c>
      <c r="T427" t="s">
        <v>52</v>
      </c>
      <c r="U427">
        <v>1622.86</v>
      </c>
      <c r="V427">
        <v>86.316000000000017</v>
      </c>
    </row>
    <row r="428" spans="1:22" x14ac:dyDescent="0.3">
      <c r="A428" t="s">
        <v>900</v>
      </c>
      <c r="B428" t="s">
        <v>21</v>
      </c>
      <c r="C428" t="s">
        <v>109</v>
      </c>
      <c r="D428">
        <v>10</v>
      </c>
      <c r="E428">
        <v>396.73</v>
      </c>
      <c r="F428" t="s">
        <v>23</v>
      </c>
      <c r="G428" t="s">
        <v>37</v>
      </c>
      <c r="H428">
        <v>0.1</v>
      </c>
      <c r="I428" t="s">
        <v>65</v>
      </c>
      <c r="J428">
        <v>3570.57</v>
      </c>
      <c r="K428" t="s">
        <v>26</v>
      </c>
      <c r="L428" t="s">
        <v>85</v>
      </c>
      <c r="M428">
        <v>0</v>
      </c>
      <c r="N428" t="s">
        <v>1355</v>
      </c>
      <c r="O428" t="s">
        <v>1356</v>
      </c>
      <c r="P428">
        <v>18.13</v>
      </c>
      <c r="Q428" s="2">
        <v>45871</v>
      </c>
      <c r="R428" t="s">
        <v>780</v>
      </c>
      <c r="S428" t="s">
        <v>31</v>
      </c>
      <c r="T428" t="s">
        <v>82</v>
      </c>
      <c r="U428">
        <v>3552.44</v>
      </c>
      <c r="V428">
        <v>396.73</v>
      </c>
    </row>
    <row r="429" spans="1:22" x14ac:dyDescent="0.3">
      <c r="A429" t="s">
        <v>89</v>
      </c>
      <c r="B429" t="s">
        <v>70</v>
      </c>
      <c r="C429" t="s">
        <v>100</v>
      </c>
      <c r="D429">
        <v>1</v>
      </c>
      <c r="E429">
        <v>299.66000000000003</v>
      </c>
      <c r="F429" t="s">
        <v>84</v>
      </c>
      <c r="G429" t="s">
        <v>37</v>
      </c>
      <c r="H429">
        <v>0.1</v>
      </c>
      <c r="I429" t="s">
        <v>78</v>
      </c>
      <c r="J429">
        <v>269.69</v>
      </c>
      <c r="K429" t="s">
        <v>47</v>
      </c>
      <c r="L429" t="s">
        <v>58</v>
      </c>
      <c r="M429">
        <v>0</v>
      </c>
      <c r="N429" t="s">
        <v>1357</v>
      </c>
      <c r="O429" t="s">
        <v>1358</v>
      </c>
      <c r="P429">
        <v>38.94</v>
      </c>
      <c r="Q429" s="2">
        <v>45783</v>
      </c>
      <c r="R429" t="s">
        <v>915</v>
      </c>
      <c r="S429" t="s">
        <v>75</v>
      </c>
      <c r="T429" t="s">
        <v>63</v>
      </c>
      <c r="U429">
        <v>230.75</v>
      </c>
      <c r="V429">
        <v>29.966000000000005</v>
      </c>
    </row>
    <row r="430" spans="1:22" x14ac:dyDescent="0.3">
      <c r="A430" t="s">
        <v>850</v>
      </c>
      <c r="B430" t="s">
        <v>45</v>
      </c>
      <c r="C430" t="s">
        <v>71</v>
      </c>
      <c r="D430">
        <v>17</v>
      </c>
      <c r="E430">
        <v>588.58000000000004</v>
      </c>
      <c r="F430" t="s">
        <v>55</v>
      </c>
      <c r="G430" t="s">
        <v>24</v>
      </c>
      <c r="H430">
        <v>0.05</v>
      </c>
      <c r="I430" t="s">
        <v>78</v>
      </c>
      <c r="J430">
        <v>9505.57</v>
      </c>
      <c r="K430" t="s">
        <v>38</v>
      </c>
      <c r="L430" t="s">
        <v>58</v>
      </c>
      <c r="M430">
        <v>1</v>
      </c>
      <c r="N430" t="s">
        <v>1359</v>
      </c>
      <c r="O430" t="s">
        <v>1360</v>
      </c>
      <c r="P430">
        <v>25.31</v>
      </c>
      <c r="Q430" s="2">
        <v>45086</v>
      </c>
      <c r="R430" t="s">
        <v>1042</v>
      </c>
      <c r="S430" t="s">
        <v>51</v>
      </c>
      <c r="T430" t="s">
        <v>105</v>
      </c>
      <c r="U430">
        <v>9480.26</v>
      </c>
      <c r="V430">
        <v>500.29300000000006</v>
      </c>
    </row>
    <row r="431" spans="1:22" x14ac:dyDescent="0.3">
      <c r="A431" t="s">
        <v>188</v>
      </c>
      <c r="B431" t="s">
        <v>34</v>
      </c>
      <c r="C431" t="s">
        <v>100</v>
      </c>
      <c r="D431">
        <v>3</v>
      </c>
      <c r="E431">
        <v>260.72000000000003</v>
      </c>
      <c r="F431" t="s">
        <v>23</v>
      </c>
      <c r="G431" t="s">
        <v>24</v>
      </c>
      <c r="H431">
        <v>0.15</v>
      </c>
      <c r="I431" t="s">
        <v>56</v>
      </c>
      <c r="J431">
        <v>664.84</v>
      </c>
      <c r="K431" t="s">
        <v>26</v>
      </c>
      <c r="L431" t="s">
        <v>27</v>
      </c>
      <c r="M431">
        <v>0</v>
      </c>
      <c r="N431" t="s">
        <v>1361</v>
      </c>
      <c r="O431" t="s">
        <v>1362</v>
      </c>
      <c r="P431">
        <v>19.41</v>
      </c>
      <c r="Q431" s="2">
        <v>45354</v>
      </c>
      <c r="R431" t="s">
        <v>880</v>
      </c>
      <c r="S431" t="s">
        <v>42</v>
      </c>
      <c r="T431" t="s">
        <v>98</v>
      </c>
      <c r="U431">
        <v>645.43000000000006</v>
      </c>
      <c r="V431">
        <v>117.32400000000001</v>
      </c>
    </row>
    <row r="432" spans="1:22" x14ac:dyDescent="0.3">
      <c r="A432" t="s">
        <v>1363</v>
      </c>
      <c r="B432" t="s">
        <v>21</v>
      </c>
      <c r="C432" t="s">
        <v>22</v>
      </c>
      <c r="D432">
        <v>13</v>
      </c>
      <c r="E432">
        <v>492.66</v>
      </c>
      <c r="F432" t="s">
        <v>23</v>
      </c>
      <c r="G432" t="s">
        <v>37</v>
      </c>
      <c r="H432">
        <v>0.1</v>
      </c>
      <c r="I432" t="s">
        <v>56</v>
      </c>
      <c r="J432">
        <v>5764.12</v>
      </c>
      <c r="K432" t="s">
        <v>57</v>
      </c>
      <c r="L432" t="s">
        <v>85</v>
      </c>
      <c r="M432">
        <v>0</v>
      </c>
      <c r="N432" t="s">
        <v>1364</v>
      </c>
      <c r="O432" t="s">
        <v>1365</v>
      </c>
      <c r="P432">
        <v>46.21</v>
      </c>
      <c r="Q432" s="2">
        <v>45902</v>
      </c>
      <c r="R432" t="s">
        <v>1044</v>
      </c>
      <c r="S432" t="s">
        <v>31</v>
      </c>
      <c r="T432" t="s">
        <v>52</v>
      </c>
      <c r="U432">
        <v>5717.91</v>
      </c>
      <c r="V432">
        <v>640.45800000000008</v>
      </c>
    </row>
    <row r="433" spans="1:22" x14ac:dyDescent="0.3">
      <c r="A433" t="s">
        <v>784</v>
      </c>
      <c r="B433" t="s">
        <v>54</v>
      </c>
      <c r="C433" t="s">
        <v>109</v>
      </c>
      <c r="D433">
        <v>15</v>
      </c>
      <c r="E433">
        <v>188.57</v>
      </c>
      <c r="F433" t="s">
        <v>36</v>
      </c>
      <c r="G433" t="s">
        <v>24</v>
      </c>
      <c r="H433">
        <v>0.05</v>
      </c>
      <c r="I433" t="s">
        <v>94</v>
      </c>
      <c r="J433">
        <v>2687.12</v>
      </c>
      <c r="K433" t="s">
        <v>101</v>
      </c>
      <c r="L433" t="s">
        <v>85</v>
      </c>
      <c r="M433">
        <v>1</v>
      </c>
      <c r="N433" t="s">
        <v>1366</v>
      </c>
      <c r="O433" t="s">
        <v>1367</v>
      </c>
      <c r="P433">
        <v>38.61</v>
      </c>
      <c r="Q433" s="2">
        <v>45117</v>
      </c>
      <c r="R433" t="s">
        <v>1368</v>
      </c>
      <c r="S433" t="s">
        <v>62</v>
      </c>
      <c r="T433" t="s">
        <v>117</v>
      </c>
      <c r="U433">
        <v>2648.5099999999998</v>
      </c>
      <c r="V433">
        <v>141.42749999999998</v>
      </c>
    </row>
    <row r="434" spans="1:22" x14ac:dyDescent="0.3">
      <c r="A434" t="s">
        <v>543</v>
      </c>
      <c r="B434" t="s">
        <v>54</v>
      </c>
      <c r="C434" t="s">
        <v>71</v>
      </c>
      <c r="D434">
        <v>8</v>
      </c>
      <c r="E434">
        <v>200.74</v>
      </c>
      <c r="F434" t="s">
        <v>84</v>
      </c>
      <c r="G434" t="s">
        <v>24</v>
      </c>
      <c r="H434">
        <v>0</v>
      </c>
      <c r="I434" t="s">
        <v>78</v>
      </c>
      <c r="J434">
        <v>1605.92</v>
      </c>
      <c r="K434" t="s">
        <v>57</v>
      </c>
      <c r="L434" t="s">
        <v>58</v>
      </c>
      <c r="M434">
        <v>1</v>
      </c>
      <c r="N434" t="s">
        <v>1369</v>
      </c>
      <c r="O434" t="s">
        <v>1370</v>
      </c>
      <c r="P434">
        <v>30.7</v>
      </c>
      <c r="Q434" s="2">
        <v>45146</v>
      </c>
      <c r="R434" t="s">
        <v>139</v>
      </c>
      <c r="S434" t="s">
        <v>62</v>
      </c>
      <c r="T434" t="s">
        <v>82</v>
      </c>
      <c r="U434">
        <v>1575.22</v>
      </c>
      <c r="V434">
        <v>0</v>
      </c>
    </row>
    <row r="435" spans="1:22" x14ac:dyDescent="0.3">
      <c r="A435" t="s">
        <v>217</v>
      </c>
      <c r="B435" t="s">
        <v>21</v>
      </c>
      <c r="C435" t="s">
        <v>109</v>
      </c>
      <c r="D435">
        <v>15</v>
      </c>
      <c r="E435">
        <v>576.12</v>
      </c>
      <c r="F435" t="s">
        <v>55</v>
      </c>
      <c r="G435" t="s">
        <v>37</v>
      </c>
      <c r="H435">
        <v>0.1</v>
      </c>
      <c r="I435" t="s">
        <v>25</v>
      </c>
      <c r="J435">
        <v>7777.62</v>
      </c>
      <c r="K435" t="s">
        <v>26</v>
      </c>
      <c r="L435" t="s">
        <v>27</v>
      </c>
      <c r="M435">
        <v>0</v>
      </c>
      <c r="N435" t="s">
        <v>1371</v>
      </c>
      <c r="O435" t="s">
        <v>1372</v>
      </c>
      <c r="P435">
        <v>29.31</v>
      </c>
      <c r="Q435" s="2">
        <v>45480</v>
      </c>
      <c r="R435" t="s">
        <v>301</v>
      </c>
      <c r="S435" t="s">
        <v>31</v>
      </c>
      <c r="T435" t="s">
        <v>117</v>
      </c>
      <c r="U435">
        <v>7748.3099999999995</v>
      </c>
      <c r="V435">
        <v>864.18</v>
      </c>
    </row>
    <row r="436" spans="1:22" x14ac:dyDescent="0.3">
      <c r="A436" t="s">
        <v>1373</v>
      </c>
      <c r="B436" t="s">
        <v>21</v>
      </c>
      <c r="C436" t="s">
        <v>109</v>
      </c>
      <c r="D436">
        <v>17</v>
      </c>
      <c r="E436">
        <v>218.04</v>
      </c>
      <c r="F436" t="s">
        <v>55</v>
      </c>
      <c r="G436" t="s">
        <v>24</v>
      </c>
      <c r="H436">
        <v>0.15</v>
      </c>
      <c r="I436" t="s">
        <v>94</v>
      </c>
      <c r="J436">
        <v>3150.68</v>
      </c>
      <c r="K436" t="s">
        <v>47</v>
      </c>
      <c r="L436" t="s">
        <v>48</v>
      </c>
      <c r="M436">
        <v>0</v>
      </c>
      <c r="N436" t="s">
        <v>1374</v>
      </c>
      <c r="O436" t="s">
        <v>1375</v>
      </c>
      <c r="P436">
        <v>16</v>
      </c>
      <c r="Q436" s="2">
        <v>45089</v>
      </c>
      <c r="R436" t="s">
        <v>1376</v>
      </c>
      <c r="S436" t="s">
        <v>31</v>
      </c>
      <c r="T436" t="s">
        <v>105</v>
      </c>
      <c r="U436">
        <v>3134.68</v>
      </c>
      <c r="V436">
        <v>556.00199999999995</v>
      </c>
    </row>
    <row r="437" spans="1:22" x14ac:dyDescent="0.3">
      <c r="A437" t="s">
        <v>1080</v>
      </c>
      <c r="B437" t="s">
        <v>34</v>
      </c>
      <c r="C437" t="s">
        <v>22</v>
      </c>
      <c r="D437">
        <v>2</v>
      </c>
      <c r="E437">
        <v>153.33000000000001</v>
      </c>
      <c r="F437" t="s">
        <v>36</v>
      </c>
      <c r="G437" t="s">
        <v>24</v>
      </c>
      <c r="H437">
        <v>0.05</v>
      </c>
      <c r="I437" t="s">
        <v>46</v>
      </c>
      <c r="J437">
        <v>291.33</v>
      </c>
      <c r="K437" t="s">
        <v>47</v>
      </c>
      <c r="L437" t="s">
        <v>48</v>
      </c>
      <c r="M437">
        <v>0</v>
      </c>
      <c r="N437" t="s">
        <v>1377</v>
      </c>
      <c r="O437" t="s">
        <v>1378</v>
      </c>
      <c r="P437">
        <v>31.55</v>
      </c>
      <c r="Q437" s="2">
        <v>44929</v>
      </c>
      <c r="R437" t="s">
        <v>603</v>
      </c>
      <c r="S437" t="s">
        <v>42</v>
      </c>
      <c r="T437" t="s">
        <v>187</v>
      </c>
      <c r="U437">
        <v>259.77999999999997</v>
      </c>
      <c r="V437">
        <v>15.333000000000002</v>
      </c>
    </row>
    <row r="438" spans="1:22" x14ac:dyDescent="0.3">
      <c r="A438" t="s">
        <v>573</v>
      </c>
      <c r="B438" t="s">
        <v>21</v>
      </c>
      <c r="C438" t="s">
        <v>140</v>
      </c>
      <c r="D438">
        <v>8</v>
      </c>
      <c r="E438">
        <v>316.12</v>
      </c>
      <c r="F438" t="s">
        <v>23</v>
      </c>
      <c r="G438" t="s">
        <v>24</v>
      </c>
      <c r="H438">
        <v>0.1</v>
      </c>
      <c r="I438" t="s">
        <v>78</v>
      </c>
      <c r="J438">
        <v>2276.06</v>
      </c>
      <c r="K438" t="s">
        <v>57</v>
      </c>
      <c r="L438" t="s">
        <v>27</v>
      </c>
      <c r="M438">
        <v>0</v>
      </c>
      <c r="N438" t="s">
        <v>1379</v>
      </c>
      <c r="O438" t="s">
        <v>1380</v>
      </c>
      <c r="P438">
        <v>6.28</v>
      </c>
      <c r="Q438" s="2">
        <v>45963</v>
      </c>
      <c r="R438" t="s">
        <v>1381</v>
      </c>
      <c r="S438" t="s">
        <v>31</v>
      </c>
      <c r="T438" t="s">
        <v>43</v>
      </c>
      <c r="U438">
        <v>2269.7799999999997</v>
      </c>
      <c r="V438">
        <v>252.89600000000002</v>
      </c>
    </row>
    <row r="439" spans="1:22" x14ac:dyDescent="0.3">
      <c r="A439" t="s">
        <v>1382</v>
      </c>
      <c r="B439" t="s">
        <v>45</v>
      </c>
      <c r="C439" t="s">
        <v>22</v>
      </c>
      <c r="D439">
        <v>14</v>
      </c>
      <c r="E439">
        <v>115.77</v>
      </c>
      <c r="F439" t="s">
        <v>23</v>
      </c>
      <c r="G439" t="s">
        <v>24</v>
      </c>
      <c r="H439">
        <v>0.15</v>
      </c>
      <c r="I439" t="s">
        <v>56</v>
      </c>
      <c r="J439">
        <v>1377.66</v>
      </c>
      <c r="K439" t="s">
        <v>101</v>
      </c>
      <c r="L439" t="s">
        <v>58</v>
      </c>
      <c r="M439">
        <v>1</v>
      </c>
      <c r="N439" t="s">
        <v>1383</v>
      </c>
      <c r="O439" t="s">
        <v>1384</v>
      </c>
      <c r="P439">
        <v>20.12</v>
      </c>
      <c r="Q439" s="2">
        <v>45512</v>
      </c>
      <c r="R439" t="s">
        <v>233</v>
      </c>
      <c r="S439" t="s">
        <v>51</v>
      </c>
      <c r="T439" t="s">
        <v>82</v>
      </c>
      <c r="U439">
        <v>1357.5400000000002</v>
      </c>
      <c r="V439">
        <v>243.11699999999999</v>
      </c>
    </row>
    <row r="440" spans="1:22" x14ac:dyDescent="0.3">
      <c r="A440" t="s">
        <v>383</v>
      </c>
      <c r="B440" t="s">
        <v>54</v>
      </c>
      <c r="C440" t="s">
        <v>71</v>
      </c>
      <c r="D440">
        <v>12</v>
      </c>
      <c r="E440">
        <v>535.41</v>
      </c>
      <c r="F440" t="s">
        <v>36</v>
      </c>
      <c r="G440" t="s">
        <v>37</v>
      </c>
      <c r="H440">
        <v>0.1</v>
      </c>
      <c r="I440" t="s">
        <v>56</v>
      </c>
      <c r="J440">
        <v>5782.43</v>
      </c>
      <c r="K440" t="s">
        <v>57</v>
      </c>
      <c r="L440" t="s">
        <v>48</v>
      </c>
      <c r="M440">
        <v>0</v>
      </c>
      <c r="N440" t="s">
        <v>1385</v>
      </c>
      <c r="O440" t="s">
        <v>1386</v>
      </c>
      <c r="P440">
        <v>27.82</v>
      </c>
      <c r="Q440" s="2">
        <v>45422</v>
      </c>
      <c r="R440" t="s">
        <v>482</v>
      </c>
      <c r="S440" t="s">
        <v>62</v>
      </c>
      <c r="T440" t="s">
        <v>63</v>
      </c>
      <c r="U440">
        <v>5754.6100000000006</v>
      </c>
      <c r="V440">
        <v>642.49200000000008</v>
      </c>
    </row>
    <row r="441" spans="1:22" x14ac:dyDescent="0.3">
      <c r="A441" t="s">
        <v>1340</v>
      </c>
      <c r="B441" t="s">
        <v>54</v>
      </c>
      <c r="C441" t="s">
        <v>140</v>
      </c>
      <c r="D441">
        <v>17</v>
      </c>
      <c r="E441">
        <v>66.48</v>
      </c>
      <c r="F441" t="s">
        <v>36</v>
      </c>
      <c r="G441" t="s">
        <v>24</v>
      </c>
      <c r="H441">
        <v>0.15</v>
      </c>
      <c r="I441" t="s">
        <v>65</v>
      </c>
      <c r="J441">
        <v>960.64</v>
      </c>
      <c r="K441" t="s">
        <v>57</v>
      </c>
      <c r="L441" t="s">
        <v>27</v>
      </c>
      <c r="M441">
        <v>1</v>
      </c>
      <c r="N441" t="s">
        <v>1387</v>
      </c>
      <c r="O441" t="s">
        <v>1388</v>
      </c>
      <c r="P441">
        <v>10.79</v>
      </c>
      <c r="Q441" s="2">
        <v>45543</v>
      </c>
      <c r="R441" t="s">
        <v>503</v>
      </c>
      <c r="S441" t="s">
        <v>62</v>
      </c>
      <c r="T441" t="s">
        <v>52</v>
      </c>
      <c r="U441">
        <v>949.85</v>
      </c>
      <c r="V441">
        <v>169.524</v>
      </c>
    </row>
    <row r="442" spans="1:22" x14ac:dyDescent="0.3">
      <c r="A442" t="s">
        <v>1225</v>
      </c>
      <c r="B442" t="s">
        <v>54</v>
      </c>
      <c r="C442" t="s">
        <v>109</v>
      </c>
      <c r="D442">
        <v>11</v>
      </c>
      <c r="E442">
        <v>97.84</v>
      </c>
      <c r="F442" t="s">
        <v>23</v>
      </c>
      <c r="G442" t="s">
        <v>37</v>
      </c>
      <c r="H442">
        <v>0.05</v>
      </c>
      <c r="I442" t="s">
        <v>25</v>
      </c>
      <c r="J442">
        <v>1022.43</v>
      </c>
      <c r="K442" t="s">
        <v>38</v>
      </c>
      <c r="L442" t="s">
        <v>58</v>
      </c>
      <c r="M442">
        <v>1</v>
      </c>
      <c r="N442" t="s">
        <v>1389</v>
      </c>
      <c r="O442" t="s">
        <v>1390</v>
      </c>
      <c r="P442">
        <v>45.97</v>
      </c>
      <c r="Q442" s="2">
        <v>45385</v>
      </c>
      <c r="R442" t="s">
        <v>191</v>
      </c>
      <c r="S442" t="s">
        <v>62</v>
      </c>
      <c r="T442" t="s">
        <v>147</v>
      </c>
      <c r="U442">
        <v>976.45999999999992</v>
      </c>
      <c r="V442">
        <v>53.812000000000005</v>
      </c>
    </row>
    <row r="443" spans="1:22" x14ac:dyDescent="0.3">
      <c r="A443" t="s">
        <v>188</v>
      </c>
      <c r="B443" t="s">
        <v>21</v>
      </c>
      <c r="C443" t="s">
        <v>71</v>
      </c>
      <c r="D443">
        <v>2</v>
      </c>
      <c r="E443">
        <v>160.72999999999999</v>
      </c>
      <c r="F443" t="s">
        <v>84</v>
      </c>
      <c r="G443" t="s">
        <v>24</v>
      </c>
      <c r="H443">
        <v>0.15</v>
      </c>
      <c r="I443" t="s">
        <v>56</v>
      </c>
      <c r="J443">
        <v>273.24</v>
      </c>
      <c r="K443" t="s">
        <v>47</v>
      </c>
      <c r="L443" t="s">
        <v>85</v>
      </c>
      <c r="M443">
        <v>0</v>
      </c>
      <c r="N443" t="s">
        <v>1391</v>
      </c>
      <c r="O443" t="s">
        <v>1392</v>
      </c>
      <c r="P443">
        <v>20.18</v>
      </c>
      <c r="Q443" s="2">
        <v>45354</v>
      </c>
      <c r="R443" t="s">
        <v>883</v>
      </c>
      <c r="S443" t="s">
        <v>31</v>
      </c>
      <c r="T443" t="s">
        <v>98</v>
      </c>
      <c r="U443">
        <v>253.06</v>
      </c>
      <c r="V443">
        <v>48.218999999999994</v>
      </c>
    </row>
    <row r="444" spans="1:22" x14ac:dyDescent="0.3">
      <c r="A444" t="s">
        <v>1393</v>
      </c>
      <c r="B444" t="s">
        <v>54</v>
      </c>
      <c r="C444" t="s">
        <v>109</v>
      </c>
      <c r="D444">
        <v>9</v>
      </c>
      <c r="E444">
        <v>228.98</v>
      </c>
      <c r="F444" t="s">
        <v>55</v>
      </c>
      <c r="G444" t="s">
        <v>37</v>
      </c>
      <c r="H444">
        <v>0.15</v>
      </c>
      <c r="I444" t="s">
        <v>56</v>
      </c>
      <c r="J444">
        <v>1751.7</v>
      </c>
      <c r="K444" t="s">
        <v>26</v>
      </c>
      <c r="L444" t="s">
        <v>27</v>
      </c>
      <c r="M444">
        <v>0</v>
      </c>
      <c r="N444" t="s">
        <v>1394</v>
      </c>
      <c r="O444" t="s">
        <v>1395</v>
      </c>
      <c r="P444">
        <v>45.79</v>
      </c>
      <c r="Q444" s="2">
        <v>45391</v>
      </c>
      <c r="R444" t="s">
        <v>1396</v>
      </c>
      <c r="S444" t="s">
        <v>62</v>
      </c>
      <c r="T444" t="s">
        <v>147</v>
      </c>
      <c r="U444">
        <v>1705.91</v>
      </c>
      <c r="V444">
        <v>309.12299999999993</v>
      </c>
    </row>
    <row r="445" spans="1:22" x14ac:dyDescent="0.3">
      <c r="A445" t="s">
        <v>1397</v>
      </c>
      <c r="B445" t="s">
        <v>70</v>
      </c>
      <c r="C445" t="s">
        <v>140</v>
      </c>
      <c r="D445">
        <v>18</v>
      </c>
      <c r="E445">
        <v>411.59</v>
      </c>
      <c r="F445" t="s">
        <v>84</v>
      </c>
      <c r="G445" t="s">
        <v>24</v>
      </c>
      <c r="H445">
        <v>0</v>
      </c>
      <c r="I445" t="s">
        <v>94</v>
      </c>
      <c r="J445">
        <v>7408.62</v>
      </c>
      <c r="K445" t="s">
        <v>101</v>
      </c>
      <c r="L445" t="s">
        <v>27</v>
      </c>
      <c r="M445">
        <v>0</v>
      </c>
      <c r="N445" t="s">
        <v>1398</v>
      </c>
      <c r="O445" t="s">
        <v>1399</v>
      </c>
      <c r="P445">
        <v>9.6199999999999992</v>
      </c>
      <c r="Q445" s="2">
        <v>45567</v>
      </c>
      <c r="R445" t="s">
        <v>1400</v>
      </c>
      <c r="S445" t="s">
        <v>75</v>
      </c>
      <c r="T445" t="s">
        <v>32</v>
      </c>
      <c r="U445">
        <v>7399</v>
      </c>
      <c r="V445">
        <v>0</v>
      </c>
    </row>
    <row r="446" spans="1:22" x14ac:dyDescent="0.3">
      <c r="A446" t="s">
        <v>361</v>
      </c>
      <c r="B446" t="s">
        <v>45</v>
      </c>
      <c r="C446" t="s">
        <v>140</v>
      </c>
      <c r="D446">
        <v>1</v>
      </c>
      <c r="E446">
        <v>431.49</v>
      </c>
      <c r="F446" t="s">
        <v>36</v>
      </c>
      <c r="G446" t="s">
        <v>24</v>
      </c>
      <c r="H446">
        <v>0.15</v>
      </c>
      <c r="I446" t="s">
        <v>25</v>
      </c>
      <c r="J446">
        <v>366.77</v>
      </c>
      <c r="K446" t="s">
        <v>47</v>
      </c>
      <c r="L446" t="s">
        <v>58</v>
      </c>
      <c r="M446">
        <v>0</v>
      </c>
      <c r="N446" t="s">
        <v>1401</v>
      </c>
      <c r="O446" t="s">
        <v>1402</v>
      </c>
      <c r="P446">
        <v>17.53</v>
      </c>
      <c r="Q446" s="2">
        <v>45116</v>
      </c>
      <c r="R446" t="s">
        <v>453</v>
      </c>
      <c r="S446" t="s">
        <v>51</v>
      </c>
      <c r="T446" t="s">
        <v>117</v>
      </c>
      <c r="U446">
        <v>349.24</v>
      </c>
      <c r="V446">
        <v>64.723500000000001</v>
      </c>
    </row>
    <row r="447" spans="1:22" x14ac:dyDescent="0.3">
      <c r="A447" t="s">
        <v>243</v>
      </c>
      <c r="B447" t="s">
        <v>70</v>
      </c>
      <c r="C447" t="s">
        <v>100</v>
      </c>
      <c r="D447">
        <v>18</v>
      </c>
      <c r="E447">
        <v>495.39</v>
      </c>
      <c r="F447" t="s">
        <v>84</v>
      </c>
      <c r="G447" t="s">
        <v>24</v>
      </c>
      <c r="H447">
        <v>0</v>
      </c>
      <c r="I447" t="s">
        <v>46</v>
      </c>
      <c r="J447">
        <v>8917.02</v>
      </c>
      <c r="K447" t="s">
        <v>57</v>
      </c>
      <c r="L447" t="s">
        <v>58</v>
      </c>
      <c r="M447">
        <v>0</v>
      </c>
      <c r="N447" t="s">
        <v>1403</v>
      </c>
      <c r="O447" t="s">
        <v>1404</v>
      </c>
      <c r="P447">
        <v>14.88</v>
      </c>
      <c r="Q447" s="2">
        <v>45238</v>
      </c>
      <c r="R447" t="s">
        <v>357</v>
      </c>
      <c r="S447" t="s">
        <v>75</v>
      </c>
      <c r="T447" t="s">
        <v>43</v>
      </c>
      <c r="U447">
        <v>8902.1400000000012</v>
      </c>
      <c r="V447">
        <v>0</v>
      </c>
    </row>
    <row r="448" spans="1:22" x14ac:dyDescent="0.3">
      <c r="A448" t="s">
        <v>916</v>
      </c>
      <c r="B448" t="s">
        <v>54</v>
      </c>
      <c r="C448" t="s">
        <v>71</v>
      </c>
      <c r="D448">
        <v>4</v>
      </c>
      <c r="E448">
        <v>149.30000000000001</v>
      </c>
      <c r="F448" t="s">
        <v>84</v>
      </c>
      <c r="G448" t="s">
        <v>24</v>
      </c>
      <c r="H448">
        <v>0.1</v>
      </c>
      <c r="I448" t="s">
        <v>78</v>
      </c>
      <c r="J448">
        <v>537.48</v>
      </c>
      <c r="K448" t="s">
        <v>38</v>
      </c>
      <c r="L448" t="s">
        <v>85</v>
      </c>
      <c r="M448">
        <v>0</v>
      </c>
      <c r="N448" t="s">
        <v>1405</v>
      </c>
      <c r="O448" t="s">
        <v>1406</v>
      </c>
      <c r="P448">
        <v>47.84</v>
      </c>
      <c r="Q448" s="2">
        <v>45263</v>
      </c>
      <c r="R448" t="s">
        <v>1407</v>
      </c>
      <c r="S448" t="s">
        <v>62</v>
      </c>
      <c r="T448" t="s">
        <v>76</v>
      </c>
      <c r="U448">
        <v>489.64</v>
      </c>
      <c r="V448">
        <v>59.720000000000006</v>
      </c>
    </row>
    <row r="449" spans="1:22" x14ac:dyDescent="0.3">
      <c r="A449" t="s">
        <v>284</v>
      </c>
      <c r="B449" t="s">
        <v>21</v>
      </c>
      <c r="C449" t="s">
        <v>35</v>
      </c>
      <c r="D449">
        <v>5</v>
      </c>
      <c r="E449">
        <v>454.62</v>
      </c>
      <c r="F449" t="s">
        <v>36</v>
      </c>
      <c r="G449" t="s">
        <v>24</v>
      </c>
      <c r="H449">
        <v>0.05</v>
      </c>
      <c r="I449" t="s">
        <v>78</v>
      </c>
      <c r="J449">
        <v>2159.4499999999998</v>
      </c>
      <c r="K449" t="s">
        <v>57</v>
      </c>
      <c r="L449" t="s">
        <v>48</v>
      </c>
      <c r="M449">
        <v>0</v>
      </c>
      <c r="N449" t="s">
        <v>1408</v>
      </c>
      <c r="O449" t="s">
        <v>1409</v>
      </c>
      <c r="P449">
        <v>10.19</v>
      </c>
      <c r="Q449" s="2">
        <v>45474</v>
      </c>
      <c r="R449" t="s">
        <v>167</v>
      </c>
      <c r="S449" t="s">
        <v>31</v>
      </c>
      <c r="T449" t="s">
        <v>117</v>
      </c>
      <c r="U449">
        <v>2149.2599999999998</v>
      </c>
      <c r="V449">
        <v>113.655</v>
      </c>
    </row>
    <row r="450" spans="1:22" x14ac:dyDescent="0.3">
      <c r="A450" t="s">
        <v>281</v>
      </c>
      <c r="B450" t="s">
        <v>54</v>
      </c>
      <c r="C450" t="s">
        <v>100</v>
      </c>
      <c r="D450">
        <v>2</v>
      </c>
      <c r="E450">
        <v>132.91</v>
      </c>
      <c r="F450" t="s">
        <v>84</v>
      </c>
      <c r="G450" t="s">
        <v>24</v>
      </c>
      <c r="H450">
        <v>0</v>
      </c>
      <c r="I450" t="s">
        <v>94</v>
      </c>
      <c r="J450">
        <v>265.82</v>
      </c>
      <c r="K450" t="s">
        <v>38</v>
      </c>
      <c r="L450" t="s">
        <v>27</v>
      </c>
      <c r="M450">
        <v>0</v>
      </c>
      <c r="N450" t="s">
        <v>1410</v>
      </c>
      <c r="O450" t="s">
        <v>1411</v>
      </c>
      <c r="P450">
        <v>7.76</v>
      </c>
      <c r="Q450" s="2">
        <v>45352</v>
      </c>
      <c r="R450" t="s">
        <v>739</v>
      </c>
      <c r="S450" t="s">
        <v>62</v>
      </c>
      <c r="T450" t="s">
        <v>98</v>
      </c>
      <c r="U450">
        <v>258.06</v>
      </c>
      <c r="V450">
        <v>0</v>
      </c>
    </row>
    <row r="451" spans="1:22" x14ac:dyDescent="0.3">
      <c r="A451" t="s">
        <v>647</v>
      </c>
      <c r="B451" t="s">
        <v>34</v>
      </c>
      <c r="C451" t="s">
        <v>71</v>
      </c>
      <c r="D451">
        <v>13</v>
      </c>
      <c r="E451">
        <v>55.46</v>
      </c>
      <c r="F451" t="s">
        <v>84</v>
      </c>
      <c r="G451" t="s">
        <v>37</v>
      </c>
      <c r="H451">
        <v>0.05</v>
      </c>
      <c r="I451" t="s">
        <v>94</v>
      </c>
      <c r="J451">
        <v>684.93</v>
      </c>
      <c r="K451" t="s">
        <v>101</v>
      </c>
      <c r="L451" t="s">
        <v>85</v>
      </c>
      <c r="M451">
        <v>1</v>
      </c>
      <c r="N451" t="s">
        <v>1412</v>
      </c>
      <c r="O451" t="s">
        <v>1413</v>
      </c>
      <c r="P451">
        <v>18.010000000000002</v>
      </c>
      <c r="Q451" s="2">
        <v>45453</v>
      </c>
      <c r="R451" t="s">
        <v>386</v>
      </c>
      <c r="S451" t="s">
        <v>42</v>
      </c>
      <c r="T451" t="s">
        <v>105</v>
      </c>
      <c r="U451">
        <v>666.92</v>
      </c>
      <c r="V451">
        <v>36.048999999999999</v>
      </c>
    </row>
    <row r="452" spans="1:22" x14ac:dyDescent="0.3">
      <c r="A452" t="s">
        <v>916</v>
      </c>
      <c r="B452" t="s">
        <v>45</v>
      </c>
      <c r="C452" t="s">
        <v>109</v>
      </c>
      <c r="D452">
        <v>17</v>
      </c>
      <c r="E452">
        <v>515.12</v>
      </c>
      <c r="F452" t="s">
        <v>55</v>
      </c>
      <c r="G452" t="s">
        <v>24</v>
      </c>
      <c r="H452">
        <v>0.15</v>
      </c>
      <c r="I452" t="s">
        <v>94</v>
      </c>
      <c r="J452">
        <v>7443.48</v>
      </c>
      <c r="K452" t="s">
        <v>101</v>
      </c>
      <c r="L452" t="s">
        <v>58</v>
      </c>
      <c r="M452">
        <v>1</v>
      </c>
      <c r="N452" t="s">
        <v>1414</v>
      </c>
      <c r="O452" t="s">
        <v>1415</v>
      </c>
      <c r="P452">
        <v>32.74</v>
      </c>
      <c r="Q452" s="2">
        <v>45263</v>
      </c>
      <c r="R452" t="s">
        <v>1416</v>
      </c>
      <c r="S452" t="s">
        <v>51</v>
      </c>
      <c r="T452" t="s">
        <v>76</v>
      </c>
      <c r="U452">
        <v>7410.74</v>
      </c>
      <c r="V452">
        <v>1313.556</v>
      </c>
    </row>
    <row r="453" spans="1:22" x14ac:dyDescent="0.3">
      <c r="A453" t="s">
        <v>746</v>
      </c>
      <c r="B453" t="s">
        <v>21</v>
      </c>
      <c r="C453" t="s">
        <v>71</v>
      </c>
      <c r="D453">
        <v>1</v>
      </c>
      <c r="E453">
        <v>256.63</v>
      </c>
      <c r="F453" t="s">
        <v>55</v>
      </c>
      <c r="G453" t="s">
        <v>24</v>
      </c>
      <c r="H453">
        <v>0</v>
      </c>
      <c r="I453" t="s">
        <v>46</v>
      </c>
      <c r="J453">
        <v>256.63</v>
      </c>
      <c r="K453" t="s">
        <v>57</v>
      </c>
      <c r="L453" t="s">
        <v>85</v>
      </c>
      <c r="M453">
        <v>0</v>
      </c>
      <c r="N453" t="s">
        <v>1417</v>
      </c>
      <c r="O453" t="s">
        <v>1418</v>
      </c>
      <c r="P453">
        <v>12.97</v>
      </c>
      <c r="Q453" s="2">
        <v>45447</v>
      </c>
      <c r="R453" t="s">
        <v>743</v>
      </c>
      <c r="S453" t="s">
        <v>31</v>
      </c>
      <c r="T453" t="s">
        <v>105</v>
      </c>
      <c r="U453">
        <v>243.66</v>
      </c>
      <c r="V453">
        <v>0</v>
      </c>
    </row>
    <row r="454" spans="1:22" x14ac:dyDescent="0.3">
      <c r="A454" t="s">
        <v>333</v>
      </c>
      <c r="B454" t="s">
        <v>54</v>
      </c>
      <c r="C454" t="s">
        <v>100</v>
      </c>
      <c r="D454">
        <v>15</v>
      </c>
      <c r="E454">
        <v>77.89</v>
      </c>
      <c r="F454" t="s">
        <v>23</v>
      </c>
      <c r="G454" t="s">
        <v>24</v>
      </c>
      <c r="H454">
        <v>0.05</v>
      </c>
      <c r="I454" t="s">
        <v>78</v>
      </c>
      <c r="J454">
        <v>1109.93</v>
      </c>
      <c r="K454" t="s">
        <v>101</v>
      </c>
      <c r="L454" t="s">
        <v>48</v>
      </c>
      <c r="M454">
        <v>0</v>
      </c>
      <c r="N454" t="s">
        <v>1419</v>
      </c>
      <c r="O454" t="s">
        <v>1420</v>
      </c>
      <c r="P454">
        <v>20.87</v>
      </c>
      <c r="Q454" s="2">
        <v>45511</v>
      </c>
      <c r="R454" t="s">
        <v>69</v>
      </c>
      <c r="S454" t="s">
        <v>62</v>
      </c>
      <c r="T454" t="s">
        <v>82</v>
      </c>
      <c r="U454">
        <v>1089.0600000000002</v>
      </c>
      <c r="V454">
        <v>58.417499999999997</v>
      </c>
    </row>
    <row r="455" spans="1:22" x14ac:dyDescent="0.3">
      <c r="A455" t="s">
        <v>1421</v>
      </c>
      <c r="B455" t="s">
        <v>21</v>
      </c>
      <c r="C455" t="s">
        <v>71</v>
      </c>
      <c r="D455">
        <v>12</v>
      </c>
      <c r="E455">
        <v>11.95</v>
      </c>
      <c r="F455" t="s">
        <v>84</v>
      </c>
      <c r="G455" t="s">
        <v>37</v>
      </c>
      <c r="H455">
        <v>0.05</v>
      </c>
      <c r="I455" t="s">
        <v>46</v>
      </c>
      <c r="J455">
        <v>136.22999999999999</v>
      </c>
      <c r="K455" t="s">
        <v>26</v>
      </c>
      <c r="L455" t="s">
        <v>48</v>
      </c>
      <c r="M455">
        <v>0</v>
      </c>
      <c r="N455" t="s">
        <v>1422</v>
      </c>
      <c r="O455" t="s">
        <v>1423</v>
      </c>
      <c r="P455">
        <v>26.66</v>
      </c>
      <c r="Q455" s="2">
        <v>45087</v>
      </c>
      <c r="R455" t="s">
        <v>787</v>
      </c>
      <c r="S455" t="s">
        <v>31</v>
      </c>
      <c r="T455" t="s">
        <v>105</v>
      </c>
      <c r="U455">
        <v>109.57</v>
      </c>
      <c r="V455">
        <v>7.169999999999999</v>
      </c>
    </row>
    <row r="456" spans="1:22" x14ac:dyDescent="0.3">
      <c r="A456" t="s">
        <v>134</v>
      </c>
      <c r="B456" t="s">
        <v>70</v>
      </c>
      <c r="C456" t="s">
        <v>22</v>
      </c>
      <c r="D456">
        <v>7</v>
      </c>
      <c r="E456">
        <v>67.05</v>
      </c>
      <c r="F456" t="s">
        <v>55</v>
      </c>
      <c r="G456" t="s">
        <v>24</v>
      </c>
      <c r="H456">
        <v>0.1</v>
      </c>
      <c r="I456" t="s">
        <v>46</v>
      </c>
      <c r="J456">
        <v>422.42</v>
      </c>
      <c r="K456" t="s">
        <v>47</v>
      </c>
      <c r="L456" t="s">
        <v>85</v>
      </c>
      <c r="M456">
        <v>0</v>
      </c>
      <c r="N456" t="s">
        <v>1424</v>
      </c>
      <c r="O456" t="s">
        <v>231</v>
      </c>
      <c r="P456">
        <v>36.67</v>
      </c>
      <c r="Q456" s="2">
        <v>45239</v>
      </c>
      <c r="R456" t="s">
        <v>655</v>
      </c>
      <c r="S456" t="s">
        <v>75</v>
      </c>
      <c r="T456" t="s">
        <v>43</v>
      </c>
      <c r="U456">
        <v>385.75</v>
      </c>
      <c r="V456">
        <v>46.935000000000002</v>
      </c>
    </row>
    <row r="457" spans="1:22" x14ac:dyDescent="0.3">
      <c r="A457" t="s">
        <v>490</v>
      </c>
      <c r="B457" t="s">
        <v>21</v>
      </c>
      <c r="C457" t="s">
        <v>140</v>
      </c>
      <c r="D457">
        <v>16</v>
      </c>
      <c r="E457">
        <v>114.47</v>
      </c>
      <c r="F457" t="s">
        <v>23</v>
      </c>
      <c r="G457" t="s">
        <v>24</v>
      </c>
      <c r="H457">
        <v>0.15</v>
      </c>
      <c r="I457" t="s">
        <v>46</v>
      </c>
      <c r="J457">
        <v>1556.79</v>
      </c>
      <c r="K457" t="s">
        <v>26</v>
      </c>
      <c r="L457" t="s">
        <v>48</v>
      </c>
      <c r="M457">
        <v>0</v>
      </c>
      <c r="N457" t="s">
        <v>1425</v>
      </c>
      <c r="O457" t="s">
        <v>1426</v>
      </c>
      <c r="P457">
        <v>43.85</v>
      </c>
      <c r="Q457" s="2">
        <v>45088</v>
      </c>
      <c r="R457" t="s">
        <v>389</v>
      </c>
      <c r="S457" t="s">
        <v>31</v>
      </c>
      <c r="T457" t="s">
        <v>105</v>
      </c>
      <c r="U457">
        <v>1512.94</v>
      </c>
      <c r="V457">
        <v>274.72800000000001</v>
      </c>
    </row>
    <row r="458" spans="1:22" x14ac:dyDescent="0.3">
      <c r="A458" t="s">
        <v>383</v>
      </c>
      <c r="B458" t="s">
        <v>70</v>
      </c>
      <c r="C458" t="s">
        <v>71</v>
      </c>
      <c r="D458">
        <v>6</v>
      </c>
      <c r="E458">
        <v>272.26</v>
      </c>
      <c r="F458" t="s">
        <v>84</v>
      </c>
      <c r="G458" t="s">
        <v>37</v>
      </c>
      <c r="H458">
        <v>0.1</v>
      </c>
      <c r="I458" t="s">
        <v>46</v>
      </c>
      <c r="J458">
        <v>1470.2</v>
      </c>
      <c r="K458" t="s">
        <v>38</v>
      </c>
      <c r="L458" t="s">
        <v>58</v>
      </c>
      <c r="M458">
        <v>0</v>
      </c>
      <c r="N458" t="s">
        <v>1427</v>
      </c>
      <c r="O458" t="s">
        <v>1428</v>
      </c>
      <c r="P458">
        <v>43.67</v>
      </c>
      <c r="Q458" s="2">
        <v>45422</v>
      </c>
      <c r="R458" t="s">
        <v>955</v>
      </c>
      <c r="S458" t="s">
        <v>75</v>
      </c>
      <c r="T458" t="s">
        <v>63</v>
      </c>
      <c r="U458">
        <v>1426.53</v>
      </c>
      <c r="V458">
        <v>163.35599999999999</v>
      </c>
    </row>
    <row r="459" spans="1:22" x14ac:dyDescent="0.3">
      <c r="A459" t="s">
        <v>751</v>
      </c>
      <c r="B459" t="s">
        <v>54</v>
      </c>
      <c r="C459" t="s">
        <v>109</v>
      </c>
      <c r="D459">
        <v>17</v>
      </c>
      <c r="E459">
        <v>129.62</v>
      </c>
      <c r="F459" t="s">
        <v>55</v>
      </c>
      <c r="G459" t="s">
        <v>37</v>
      </c>
      <c r="H459">
        <v>0.15</v>
      </c>
      <c r="I459" t="s">
        <v>65</v>
      </c>
      <c r="J459">
        <v>1873.01</v>
      </c>
      <c r="K459" t="s">
        <v>26</v>
      </c>
      <c r="L459" t="s">
        <v>85</v>
      </c>
      <c r="M459">
        <v>0</v>
      </c>
      <c r="N459" t="s">
        <v>1429</v>
      </c>
      <c r="O459" t="s">
        <v>1430</v>
      </c>
      <c r="P459">
        <v>24.28</v>
      </c>
      <c r="Q459" s="2">
        <v>45809</v>
      </c>
      <c r="R459" t="s">
        <v>548</v>
      </c>
      <c r="S459" t="s">
        <v>62</v>
      </c>
      <c r="T459" t="s">
        <v>105</v>
      </c>
      <c r="U459">
        <v>1848.73</v>
      </c>
      <c r="V459">
        <v>330.53100000000001</v>
      </c>
    </row>
    <row r="460" spans="1:22" x14ac:dyDescent="0.3">
      <c r="A460" t="s">
        <v>500</v>
      </c>
      <c r="B460" t="s">
        <v>21</v>
      </c>
      <c r="C460" t="s">
        <v>100</v>
      </c>
      <c r="D460">
        <v>16</v>
      </c>
      <c r="E460">
        <v>293.44</v>
      </c>
      <c r="F460" t="s">
        <v>55</v>
      </c>
      <c r="G460" t="s">
        <v>24</v>
      </c>
      <c r="H460">
        <v>0.05</v>
      </c>
      <c r="I460" t="s">
        <v>78</v>
      </c>
      <c r="J460">
        <v>4460.29</v>
      </c>
      <c r="K460" t="s">
        <v>57</v>
      </c>
      <c r="L460" t="s">
        <v>58</v>
      </c>
      <c r="M460">
        <v>0</v>
      </c>
      <c r="N460" t="s">
        <v>1431</v>
      </c>
      <c r="O460" t="s">
        <v>1432</v>
      </c>
      <c r="P460">
        <v>42.56</v>
      </c>
      <c r="Q460" s="2">
        <v>45390</v>
      </c>
      <c r="R460" t="s">
        <v>503</v>
      </c>
      <c r="S460" t="s">
        <v>31</v>
      </c>
      <c r="T460" t="s">
        <v>147</v>
      </c>
      <c r="U460">
        <v>4417.7299999999996</v>
      </c>
      <c r="V460">
        <v>234.75200000000001</v>
      </c>
    </row>
    <row r="461" spans="1:22" x14ac:dyDescent="0.3">
      <c r="A461" t="s">
        <v>192</v>
      </c>
      <c r="B461" t="s">
        <v>45</v>
      </c>
      <c r="C461" t="s">
        <v>22</v>
      </c>
      <c r="D461">
        <v>18</v>
      </c>
      <c r="E461">
        <v>268.38</v>
      </c>
      <c r="F461" t="s">
        <v>55</v>
      </c>
      <c r="G461" t="s">
        <v>24</v>
      </c>
      <c r="H461">
        <v>0.15</v>
      </c>
      <c r="I461" t="s">
        <v>25</v>
      </c>
      <c r="J461">
        <v>4106.21</v>
      </c>
      <c r="K461" t="s">
        <v>47</v>
      </c>
      <c r="L461" t="s">
        <v>85</v>
      </c>
      <c r="M461">
        <v>0</v>
      </c>
      <c r="N461" t="s">
        <v>1433</v>
      </c>
      <c r="O461" t="s">
        <v>1434</v>
      </c>
      <c r="P461">
        <v>48.38</v>
      </c>
      <c r="Q461" s="2">
        <v>45232</v>
      </c>
      <c r="R461" t="s">
        <v>195</v>
      </c>
      <c r="S461" t="s">
        <v>51</v>
      </c>
      <c r="T461" t="s">
        <v>43</v>
      </c>
      <c r="U461">
        <v>4057.83</v>
      </c>
      <c r="V461">
        <v>724.62599999999998</v>
      </c>
    </row>
    <row r="462" spans="1:22" x14ac:dyDescent="0.3">
      <c r="A462" t="s">
        <v>1085</v>
      </c>
      <c r="B462" t="s">
        <v>34</v>
      </c>
      <c r="C462" t="s">
        <v>100</v>
      </c>
      <c r="D462">
        <v>1</v>
      </c>
      <c r="E462">
        <v>354.21</v>
      </c>
      <c r="F462" t="s">
        <v>84</v>
      </c>
      <c r="G462" t="s">
        <v>24</v>
      </c>
      <c r="H462">
        <v>0.15</v>
      </c>
      <c r="I462" t="s">
        <v>46</v>
      </c>
      <c r="J462">
        <v>301.08</v>
      </c>
      <c r="K462" t="s">
        <v>26</v>
      </c>
      <c r="L462" t="s">
        <v>48</v>
      </c>
      <c r="M462">
        <v>0</v>
      </c>
      <c r="N462" t="s">
        <v>1435</v>
      </c>
      <c r="O462" t="s">
        <v>1436</v>
      </c>
      <c r="P462">
        <v>26.16</v>
      </c>
      <c r="Q462" s="2">
        <v>45449</v>
      </c>
      <c r="R462" t="s">
        <v>368</v>
      </c>
      <c r="S462" t="s">
        <v>42</v>
      </c>
      <c r="T462" t="s">
        <v>105</v>
      </c>
      <c r="U462">
        <v>274.91999999999996</v>
      </c>
      <c r="V462">
        <v>53.131499999999996</v>
      </c>
    </row>
    <row r="463" spans="1:22" x14ac:dyDescent="0.3">
      <c r="A463" t="s">
        <v>1037</v>
      </c>
      <c r="B463" t="s">
        <v>54</v>
      </c>
      <c r="C463" t="s">
        <v>140</v>
      </c>
      <c r="D463">
        <v>18</v>
      </c>
      <c r="E463">
        <v>587.25</v>
      </c>
      <c r="F463" t="s">
        <v>36</v>
      </c>
      <c r="G463" t="s">
        <v>24</v>
      </c>
      <c r="H463">
        <v>0.15</v>
      </c>
      <c r="I463" t="s">
        <v>46</v>
      </c>
      <c r="J463">
        <v>8984.93</v>
      </c>
      <c r="K463" t="s">
        <v>26</v>
      </c>
      <c r="L463" t="s">
        <v>48</v>
      </c>
      <c r="M463">
        <v>0</v>
      </c>
      <c r="N463" t="s">
        <v>1437</v>
      </c>
      <c r="O463" t="s">
        <v>1438</v>
      </c>
      <c r="P463">
        <v>42.15</v>
      </c>
      <c r="Q463" s="2">
        <v>45477</v>
      </c>
      <c r="R463" t="s">
        <v>339</v>
      </c>
      <c r="S463" t="s">
        <v>62</v>
      </c>
      <c r="T463" t="s">
        <v>117</v>
      </c>
      <c r="U463">
        <v>8942.7800000000007</v>
      </c>
      <c r="V463">
        <v>1585.575</v>
      </c>
    </row>
    <row r="464" spans="1:22" x14ac:dyDescent="0.3">
      <c r="A464" t="s">
        <v>285</v>
      </c>
      <c r="B464" t="s">
        <v>54</v>
      </c>
      <c r="C464" t="s">
        <v>22</v>
      </c>
      <c r="D464">
        <v>2</v>
      </c>
      <c r="E464">
        <v>438.06</v>
      </c>
      <c r="F464" t="s">
        <v>23</v>
      </c>
      <c r="G464" t="s">
        <v>37</v>
      </c>
      <c r="H464">
        <v>0</v>
      </c>
      <c r="I464" t="s">
        <v>56</v>
      </c>
      <c r="J464">
        <v>876.12</v>
      </c>
      <c r="K464" t="s">
        <v>26</v>
      </c>
      <c r="L464" t="s">
        <v>85</v>
      </c>
      <c r="M464">
        <v>1</v>
      </c>
      <c r="N464" t="s">
        <v>1439</v>
      </c>
      <c r="O464" t="s">
        <v>1440</v>
      </c>
      <c r="P464">
        <v>12.9</v>
      </c>
      <c r="Q464" s="2">
        <v>44987</v>
      </c>
      <c r="R464" t="s">
        <v>557</v>
      </c>
      <c r="S464" t="s">
        <v>62</v>
      </c>
      <c r="T464" t="s">
        <v>98</v>
      </c>
      <c r="U464">
        <v>863.22</v>
      </c>
      <c r="V464">
        <v>0</v>
      </c>
    </row>
    <row r="465" spans="1:22" x14ac:dyDescent="0.3">
      <c r="A465" t="s">
        <v>1071</v>
      </c>
      <c r="B465" t="s">
        <v>34</v>
      </c>
      <c r="C465" t="s">
        <v>100</v>
      </c>
      <c r="D465">
        <v>11</v>
      </c>
      <c r="E465">
        <v>66.97</v>
      </c>
      <c r="F465" t="s">
        <v>84</v>
      </c>
      <c r="G465" t="s">
        <v>37</v>
      </c>
      <c r="H465">
        <v>0.15</v>
      </c>
      <c r="I465" t="s">
        <v>94</v>
      </c>
      <c r="J465">
        <v>626.16999999999996</v>
      </c>
      <c r="K465" t="s">
        <v>57</v>
      </c>
      <c r="L465" t="s">
        <v>85</v>
      </c>
      <c r="M465">
        <v>1</v>
      </c>
      <c r="N465" t="s">
        <v>1441</v>
      </c>
      <c r="O465" t="s">
        <v>1442</v>
      </c>
      <c r="P465">
        <v>20.350000000000001</v>
      </c>
      <c r="Q465" s="2">
        <v>44965</v>
      </c>
      <c r="R465" t="s">
        <v>243</v>
      </c>
      <c r="S465" t="s">
        <v>42</v>
      </c>
      <c r="T465" t="s">
        <v>199</v>
      </c>
      <c r="U465">
        <v>605.81999999999994</v>
      </c>
      <c r="V465">
        <v>110.50049999999999</v>
      </c>
    </row>
    <row r="466" spans="1:22" x14ac:dyDescent="0.3">
      <c r="A466" t="s">
        <v>554</v>
      </c>
      <c r="B466" t="s">
        <v>21</v>
      </c>
      <c r="C466" t="s">
        <v>71</v>
      </c>
      <c r="D466">
        <v>8</v>
      </c>
      <c r="E466">
        <v>430.06</v>
      </c>
      <c r="F466" t="s">
        <v>23</v>
      </c>
      <c r="G466" t="s">
        <v>24</v>
      </c>
      <c r="H466">
        <v>0.05</v>
      </c>
      <c r="I466" t="s">
        <v>94</v>
      </c>
      <c r="J466">
        <v>3268.46</v>
      </c>
      <c r="K466" t="s">
        <v>38</v>
      </c>
      <c r="L466" t="s">
        <v>58</v>
      </c>
      <c r="M466">
        <v>0</v>
      </c>
      <c r="N466" t="s">
        <v>1443</v>
      </c>
      <c r="O466" t="s">
        <v>1444</v>
      </c>
      <c r="P466">
        <v>38.450000000000003</v>
      </c>
      <c r="Q466" s="2">
        <v>44928</v>
      </c>
      <c r="R466" t="s">
        <v>497</v>
      </c>
      <c r="S466" t="s">
        <v>31</v>
      </c>
      <c r="T466" t="s">
        <v>187</v>
      </c>
      <c r="U466">
        <v>3230.01</v>
      </c>
      <c r="V466">
        <v>172.024</v>
      </c>
    </row>
    <row r="467" spans="1:22" x14ac:dyDescent="0.3">
      <c r="A467" t="s">
        <v>973</v>
      </c>
      <c r="B467" t="s">
        <v>70</v>
      </c>
      <c r="C467" t="s">
        <v>127</v>
      </c>
      <c r="D467">
        <v>6</v>
      </c>
      <c r="E467">
        <v>421.97</v>
      </c>
      <c r="F467" t="s">
        <v>23</v>
      </c>
      <c r="G467" t="s">
        <v>24</v>
      </c>
      <c r="H467">
        <v>0.05</v>
      </c>
      <c r="I467" t="s">
        <v>94</v>
      </c>
      <c r="J467">
        <v>2405.23</v>
      </c>
      <c r="K467" t="s">
        <v>47</v>
      </c>
      <c r="L467" t="s">
        <v>27</v>
      </c>
      <c r="M467">
        <v>0</v>
      </c>
      <c r="N467" t="s">
        <v>1445</v>
      </c>
      <c r="O467" t="s">
        <v>1446</v>
      </c>
      <c r="P467">
        <v>41.31</v>
      </c>
      <c r="Q467" s="2">
        <v>45389</v>
      </c>
      <c r="R467" t="s">
        <v>336</v>
      </c>
      <c r="S467" t="s">
        <v>75</v>
      </c>
      <c r="T467" t="s">
        <v>147</v>
      </c>
      <c r="U467">
        <v>2363.92</v>
      </c>
      <c r="V467">
        <v>126.59100000000001</v>
      </c>
    </row>
    <row r="468" spans="1:22" x14ac:dyDescent="0.3">
      <c r="A468" t="s">
        <v>973</v>
      </c>
      <c r="B468" t="s">
        <v>70</v>
      </c>
      <c r="C468" t="s">
        <v>109</v>
      </c>
      <c r="D468">
        <v>5</v>
      </c>
      <c r="E468">
        <v>225.69</v>
      </c>
      <c r="F468" t="s">
        <v>84</v>
      </c>
      <c r="G468" t="s">
        <v>24</v>
      </c>
      <c r="H468">
        <v>0.15</v>
      </c>
      <c r="I468" t="s">
        <v>46</v>
      </c>
      <c r="J468">
        <v>959.18</v>
      </c>
      <c r="K468" t="s">
        <v>57</v>
      </c>
      <c r="L468" t="s">
        <v>27</v>
      </c>
      <c r="M468">
        <v>0</v>
      </c>
      <c r="N468" t="s">
        <v>1447</v>
      </c>
      <c r="O468" t="s">
        <v>1448</v>
      </c>
      <c r="P468">
        <v>47.6</v>
      </c>
      <c r="Q468" s="2">
        <v>45389</v>
      </c>
      <c r="R468" t="s">
        <v>69</v>
      </c>
      <c r="S468" t="s">
        <v>75</v>
      </c>
      <c r="T468" t="s">
        <v>147</v>
      </c>
      <c r="U468">
        <v>911.57999999999993</v>
      </c>
      <c r="V468">
        <v>169.26750000000001</v>
      </c>
    </row>
    <row r="469" spans="1:22" x14ac:dyDescent="0.3">
      <c r="A469" t="s">
        <v>211</v>
      </c>
      <c r="B469" t="s">
        <v>54</v>
      </c>
      <c r="C469" t="s">
        <v>22</v>
      </c>
      <c r="D469">
        <v>4</v>
      </c>
      <c r="E469">
        <v>209.3</v>
      </c>
      <c r="F469" t="s">
        <v>23</v>
      </c>
      <c r="G469" t="s">
        <v>37</v>
      </c>
      <c r="H469">
        <v>0.05</v>
      </c>
      <c r="I469" t="s">
        <v>25</v>
      </c>
      <c r="J469">
        <v>795.34</v>
      </c>
      <c r="K469" t="s">
        <v>57</v>
      </c>
      <c r="L469" t="s">
        <v>48</v>
      </c>
      <c r="M469">
        <v>0</v>
      </c>
      <c r="N469" t="s">
        <v>1449</v>
      </c>
      <c r="O469" t="s">
        <v>1450</v>
      </c>
      <c r="P469">
        <v>6.89</v>
      </c>
      <c r="Q469" s="2">
        <v>45660</v>
      </c>
      <c r="R469" t="s">
        <v>172</v>
      </c>
      <c r="S469" t="s">
        <v>62</v>
      </c>
      <c r="T469" t="s">
        <v>187</v>
      </c>
      <c r="U469">
        <v>788.45</v>
      </c>
      <c r="V469">
        <v>41.860000000000007</v>
      </c>
    </row>
    <row r="470" spans="1:22" x14ac:dyDescent="0.3">
      <c r="A470" t="s">
        <v>33</v>
      </c>
      <c r="B470" t="s">
        <v>70</v>
      </c>
      <c r="C470" t="s">
        <v>127</v>
      </c>
      <c r="D470">
        <v>13</v>
      </c>
      <c r="E470">
        <v>515.41999999999996</v>
      </c>
      <c r="F470" t="s">
        <v>55</v>
      </c>
      <c r="G470" t="s">
        <v>37</v>
      </c>
      <c r="H470">
        <v>0</v>
      </c>
      <c r="I470" t="s">
        <v>94</v>
      </c>
      <c r="J470">
        <v>6700.46</v>
      </c>
      <c r="K470" t="s">
        <v>26</v>
      </c>
      <c r="L470" t="s">
        <v>85</v>
      </c>
      <c r="M470">
        <v>0</v>
      </c>
      <c r="N470" t="s">
        <v>1451</v>
      </c>
      <c r="O470" t="s">
        <v>1452</v>
      </c>
      <c r="P470">
        <v>43.37</v>
      </c>
      <c r="Q470" s="2">
        <v>45231</v>
      </c>
      <c r="R470" t="s">
        <v>456</v>
      </c>
      <c r="S470" t="s">
        <v>75</v>
      </c>
      <c r="T470" t="s">
        <v>43</v>
      </c>
      <c r="U470">
        <v>6657.09</v>
      </c>
      <c r="V470">
        <v>0</v>
      </c>
    </row>
    <row r="471" spans="1:22" x14ac:dyDescent="0.3">
      <c r="A471" t="s">
        <v>1010</v>
      </c>
      <c r="B471" t="s">
        <v>45</v>
      </c>
      <c r="C471" t="s">
        <v>127</v>
      </c>
      <c r="D471">
        <v>17</v>
      </c>
      <c r="E471">
        <v>376.15</v>
      </c>
      <c r="F471" t="s">
        <v>36</v>
      </c>
      <c r="G471" t="s">
        <v>37</v>
      </c>
      <c r="H471">
        <v>0.05</v>
      </c>
      <c r="I471" t="s">
        <v>78</v>
      </c>
      <c r="J471">
        <v>6074.82</v>
      </c>
      <c r="K471" t="s">
        <v>57</v>
      </c>
      <c r="L471" t="s">
        <v>27</v>
      </c>
      <c r="M471">
        <v>1</v>
      </c>
      <c r="N471" t="s">
        <v>1453</v>
      </c>
      <c r="O471" t="s">
        <v>1454</v>
      </c>
      <c r="P471">
        <v>31.96</v>
      </c>
      <c r="Q471" s="2">
        <v>45538</v>
      </c>
      <c r="R471" t="s">
        <v>191</v>
      </c>
      <c r="S471" t="s">
        <v>51</v>
      </c>
      <c r="T471" t="s">
        <v>52</v>
      </c>
      <c r="U471">
        <v>6042.86</v>
      </c>
      <c r="V471">
        <v>319.72749999999996</v>
      </c>
    </row>
    <row r="472" spans="1:22" x14ac:dyDescent="0.3">
      <c r="A472" t="s">
        <v>482</v>
      </c>
      <c r="B472" t="s">
        <v>34</v>
      </c>
      <c r="C472" t="s">
        <v>35</v>
      </c>
      <c r="D472">
        <v>8</v>
      </c>
      <c r="E472">
        <v>385.46</v>
      </c>
      <c r="F472" t="s">
        <v>84</v>
      </c>
      <c r="G472" t="s">
        <v>24</v>
      </c>
      <c r="H472">
        <v>0</v>
      </c>
      <c r="I472" t="s">
        <v>94</v>
      </c>
      <c r="J472">
        <v>3083.68</v>
      </c>
      <c r="K472" t="s">
        <v>47</v>
      </c>
      <c r="L472" t="s">
        <v>58</v>
      </c>
      <c r="M472">
        <v>0</v>
      </c>
      <c r="N472" t="s">
        <v>1455</v>
      </c>
      <c r="O472" t="s">
        <v>1456</v>
      </c>
      <c r="P472">
        <v>8.89</v>
      </c>
      <c r="Q472" s="2">
        <v>45483</v>
      </c>
      <c r="R472" t="s">
        <v>699</v>
      </c>
      <c r="S472" t="s">
        <v>42</v>
      </c>
      <c r="T472" t="s">
        <v>117</v>
      </c>
      <c r="U472">
        <v>3074.79</v>
      </c>
      <c r="V472">
        <v>0</v>
      </c>
    </row>
    <row r="473" spans="1:22" x14ac:dyDescent="0.3">
      <c r="A473" t="s">
        <v>1421</v>
      </c>
      <c r="B473" t="s">
        <v>54</v>
      </c>
      <c r="C473" t="s">
        <v>140</v>
      </c>
      <c r="D473">
        <v>2</v>
      </c>
      <c r="E473">
        <v>474.13</v>
      </c>
      <c r="F473" t="s">
        <v>55</v>
      </c>
      <c r="G473" t="s">
        <v>24</v>
      </c>
      <c r="H473">
        <v>0</v>
      </c>
      <c r="I473" t="s">
        <v>46</v>
      </c>
      <c r="J473">
        <v>948.26</v>
      </c>
      <c r="K473" t="s">
        <v>57</v>
      </c>
      <c r="L473" t="s">
        <v>85</v>
      </c>
      <c r="M473">
        <v>1</v>
      </c>
      <c r="N473" t="s">
        <v>1457</v>
      </c>
      <c r="O473" t="s">
        <v>1458</v>
      </c>
      <c r="P473">
        <v>14.41</v>
      </c>
      <c r="Q473" s="2">
        <v>45087</v>
      </c>
      <c r="R473" t="s">
        <v>1189</v>
      </c>
      <c r="S473" t="s">
        <v>62</v>
      </c>
      <c r="T473" t="s">
        <v>105</v>
      </c>
      <c r="U473">
        <v>933.85</v>
      </c>
      <c r="V473">
        <v>0</v>
      </c>
    </row>
    <row r="474" spans="1:22" x14ac:dyDescent="0.3">
      <c r="A474" t="s">
        <v>216</v>
      </c>
      <c r="B474" t="s">
        <v>54</v>
      </c>
      <c r="C474" t="s">
        <v>127</v>
      </c>
      <c r="D474">
        <v>15</v>
      </c>
      <c r="E474">
        <v>506.17</v>
      </c>
      <c r="F474" t="s">
        <v>23</v>
      </c>
      <c r="G474" t="s">
        <v>24</v>
      </c>
      <c r="H474">
        <v>0.05</v>
      </c>
      <c r="I474" t="s">
        <v>25</v>
      </c>
      <c r="J474">
        <v>7212.92</v>
      </c>
      <c r="K474" t="s">
        <v>26</v>
      </c>
      <c r="L474" t="s">
        <v>48</v>
      </c>
      <c r="M474">
        <v>0</v>
      </c>
      <c r="N474" t="s">
        <v>1459</v>
      </c>
      <c r="O474" t="s">
        <v>1460</v>
      </c>
      <c r="P474">
        <v>41.73</v>
      </c>
      <c r="Q474" s="2">
        <v>45142</v>
      </c>
      <c r="R474" t="s">
        <v>1461</v>
      </c>
      <c r="S474" t="s">
        <v>62</v>
      </c>
      <c r="T474" t="s">
        <v>82</v>
      </c>
      <c r="U474">
        <v>7171.1900000000005</v>
      </c>
      <c r="V474">
        <v>379.62750000000005</v>
      </c>
    </row>
    <row r="475" spans="1:22" x14ac:dyDescent="0.3">
      <c r="A475" t="s">
        <v>1032</v>
      </c>
      <c r="B475" t="s">
        <v>34</v>
      </c>
      <c r="C475" t="s">
        <v>127</v>
      </c>
      <c r="D475">
        <v>2</v>
      </c>
      <c r="E475">
        <v>334.48</v>
      </c>
      <c r="F475" t="s">
        <v>23</v>
      </c>
      <c r="G475" t="s">
        <v>24</v>
      </c>
      <c r="H475">
        <v>0</v>
      </c>
      <c r="I475" t="s">
        <v>25</v>
      </c>
      <c r="J475">
        <v>668.96</v>
      </c>
      <c r="K475" t="s">
        <v>38</v>
      </c>
      <c r="L475" t="s">
        <v>48</v>
      </c>
      <c r="M475">
        <v>0</v>
      </c>
      <c r="N475" t="s">
        <v>1462</v>
      </c>
      <c r="O475" t="s">
        <v>1463</v>
      </c>
      <c r="P475">
        <v>31.53</v>
      </c>
      <c r="Q475" s="2">
        <v>45265</v>
      </c>
      <c r="R475" t="s">
        <v>1112</v>
      </c>
      <c r="S475" t="s">
        <v>42</v>
      </c>
      <c r="T475" t="s">
        <v>76</v>
      </c>
      <c r="U475">
        <v>637.43000000000006</v>
      </c>
      <c r="V475">
        <v>0</v>
      </c>
    </row>
    <row r="476" spans="1:22" x14ac:dyDescent="0.3">
      <c r="A476" t="s">
        <v>423</v>
      </c>
      <c r="B476" t="s">
        <v>34</v>
      </c>
      <c r="C476" t="s">
        <v>35</v>
      </c>
      <c r="D476">
        <v>7</v>
      </c>
      <c r="E476">
        <v>562.6</v>
      </c>
      <c r="F476" t="s">
        <v>84</v>
      </c>
      <c r="G476" t="s">
        <v>37</v>
      </c>
      <c r="H476">
        <v>0.15</v>
      </c>
      <c r="I476" t="s">
        <v>65</v>
      </c>
      <c r="J476">
        <v>3347.47</v>
      </c>
      <c r="K476" t="s">
        <v>26</v>
      </c>
      <c r="L476" t="s">
        <v>27</v>
      </c>
      <c r="M476">
        <v>0</v>
      </c>
      <c r="N476" t="s">
        <v>1464</v>
      </c>
      <c r="O476" t="s">
        <v>1465</v>
      </c>
      <c r="P476">
        <v>19.95</v>
      </c>
      <c r="Q476" s="2">
        <v>45505</v>
      </c>
      <c r="R476" t="s">
        <v>739</v>
      </c>
      <c r="S476" t="s">
        <v>42</v>
      </c>
      <c r="T476" t="s">
        <v>82</v>
      </c>
      <c r="U476">
        <v>3327.52</v>
      </c>
      <c r="V476">
        <v>590.73</v>
      </c>
    </row>
    <row r="477" spans="1:22" x14ac:dyDescent="0.3">
      <c r="A477" t="s">
        <v>729</v>
      </c>
      <c r="B477" t="s">
        <v>21</v>
      </c>
      <c r="C477" t="s">
        <v>127</v>
      </c>
      <c r="D477">
        <v>7</v>
      </c>
      <c r="E477">
        <v>14.34</v>
      </c>
      <c r="F477" t="s">
        <v>55</v>
      </c>
      <c r="G477" t="s">
        <v>37</v>
      </c>
      <c r="H477">
        <v>0.05</v>
      </c>
      <c r="I477" t="s">
        <v>25</v>
      </c>
      <c r="J477">
        <v>95.36</v>
      </c>
      <c r="K477" t="s">
        <v>38</v>
      </c>
      <c r="L477" t="s">
        <v>27</v>
      </c>
      <c r="M477">
        <v>0</v>
      </c>
      <c r="N477" t="s">
        <v>1466</v>
      </c>
      <c r="O477" t="s">
        <v>154</v>
      </c>
      <c r="P477">
        <v>19.45</v>
      </c>
      <c r="Q477" s="2">
        <v>45418</v>
      </c>
      <c r="R477" t="s">
        <v>714</v>
      </c>
      <c r="S477" t="s">
        <v>31</v>
      </c>
      <c r="T477" t="s">
        <v>63</v>
      </c>
      <c r="U477">
        <v>75.91</v>
      </c>
      <c r="V477">
        <v>5.0190000000000001</v>
      </c>
    </row>
    <row r="478" spans="1:22" x14ac:dyDescent="0.3">
      <c r="A478" t="s">
        <v>934</v>
      </c>
      <c r="B478" t="s">
        <v>70</v>
      </c>
      <c r="C478" t="s">
        <v>140</v>
      </c>
      <c r="D478">
        <v>11</v>
      </c>
      <c r="E478">
        <v>488.17</v>
      </c>
      <c r="F478" t="s">
        <v>23</v>
      </c>
      <c r="G478" t="s">
        <v>24</v>
      </c>
      <c r="H478">
        <v>0.05</v>
      </c>
      <c r="I478" t="s">
        <v>94</v>
      </c>
      <c r="J478">
        <v>5101.38</v>
      </c>
      <c r="K478" t="s">
        <v>47</v>
      </c>
      <c r="L478" t="s">
        <v>27</v>
      </c>
      <c r="M478">
        <v>1</v>
      </c>
      <c r="N478" t="s">
        <v>1467</v>
      </c>
      <c r="O478" t="s">
        <v>1468</v>
      </c>
      <c r="P478">
        <v>37.47</v>
      </c>
      <c r="Q478" s="2">
        <v>45049</v>
      </c>
      <c r="R478" t="s">
        <v>270</v>
      </c>
      <c r="S478" t="s">
        <v>75</v>
      </c>
      <c r="T478" t="s">
        <v>63</v>
      </c>
      <c r="U478">
        <v>5063.91</v>
      </c>
      <c r="V478">
        <v>268.49349999999998</v>
      </c>
    </row>
    <row r="479" spans="1:22" x14ac:dyDescent="0.3">
      <c r="A479" t="s">
        <v>301</v>
      </c>
      <c r="B479" t="s">
        <v>70</v>
      </c>
      <c r="C479" t="s">
        <v>127</v>
      </c>
      <c r="D479">
        <v>6</v>
      </c>
      <c r="E479">
        <v>100.75</v>
      </c>
      <c r="F479" t="s">
        <v>84</v>
      </c>
      <c r="G479" t="s">
        <v>24</v>
      </c>
      <c r="H479">
        <v>0.1</v>
      </c>
      <c r="I479" t="s">
        <v>56</v>
      </c>
      <c r="J479">
        <v>544.04999999999995</v>
      </c>
      <c r="K479" t="s">
        <v>101</v>
      </c>
      <c r="L479" t="s">
        <v>85</v>
      </c>
      <c r="M479">
        <v>0</v>
      </c>
      <c r="N479" t="s">
        <v>1469</v>
      </c>
      <c r="O479" t="s">
        <v>1470</v>
      </c>
      <c r="P479">
        <v>12.98</v>
      </c>
      <c r="Q479" s="2">
        <v>45603</v>
      </c>
      <c r="R479" t="s">
        <v>1194</v>
      </c>
      <c r="S479" t="s">
        <v>75</v>
      </c>
      <c r="T479" t="s">
        <v>43</v>
      </c>
      <c r="U479">
        <v>531.06999999999994</v>
      </c>
      <c r="V479">
        <v>60.45</v>
      </c>
    </row>
    <row r="480" spans="1:22" x14ac:dyDescent="0.3">
      <c r="A480" t="s">
        <v>711</v>
      </c>
      <c r="B480" t="s">
        <v>45</v>
      </c>
      <c r="C480" t="s">
        <v>140</v>
      </c>
      <c r="D480">
        <v>18</v>
      </c>
      <c r="E480">
        <v>519.41999999999996</v>
      </c>
      <c r="F480" t="s">
        <v>36</v>
      </c>
      <c r="G480" t="s">
        <v>37</v>
      </c>
      <c r="H480">
        <v>0.15</v>
      </c>
      <c r="I480" t="s">
        <v>65</v>
      </c>
      <c r="J480">
        <v>7947.13</v>
      </c>
      <c r="K480" t="s">
        <v>47</v>
      </c>
      <c r="L480" t="s">
        <v>27</v>
      </c>
      <c r="M480">
        <v>0</v>
      </c>
      <c r="N480" t="s">
        <v>1471</v>
      </c>
      <c r="O480" t="s">
        <v>1472</v>
      </c>
      <c r="P480">
        <v>32.96</v>
      </c>
      <c r="Q480" s="2">
        <v>45328</v>
      </c>
      <c r="R480" t="s">
        <v>143</v>
      </c>
      <c r="S480" t="s">
        <v>51</v>
      </c>
      <c r="T480" t="s">
        <v>199</v>
      </c>
      <c r="U480">
        <v>7914.17</v>
      </c>
      <c r="V480">
        <v>1402.434</v>
      </c>
    </row>
    <row r="481" spans="1:22" x14ac:dyDescent="0.3">
      <c r="A481" t="s">
        <v>1473</v>
      </c>
      <c r="B481" t="s">
        <v>21</v>
      </c>
      <c r="C481" t="s">
        <v>22</v>
      </c>
      <c r="D481">
        <v>13</v>
      </c>
      <c r="E481">
        <v>420.68</v>
      </c>
      <c r="F481" t="s">
        <v>55</v>
      </c>
      <c r="G481" t="s">
        <v>24</v>
      </c>
      <c r="H481">
        <v>0.05</v>
      </c>
      <c r="I481" t="s">
        <v>56</v>
      </c>
      <c r="J481">
        <v>5195.3999999999996</v>
      </c>
      <c r="K481" t="s">
        <v>26</v>
      </c>
      <c r="L481" t="s">
        <v>48</v>
      </c>
      <c r="M481">
        <v>0</v>
      </c>
      <c r="N481" t="s">
        <v>1474</v>
      </c>
      <c r="O481" t="s">
        <v>1475</v>
      </c>
      <c r="P481">
        <v>24.51</v>
      </c>
      <c r="Q481" s="2">
        <v>45721</v>
      </c>
      <c r="R481" t="s">
        <v>83</v>
      </c>
      <c r="S481" t="s">
        <v>31</v>
      </c>
      <c r="T481" t="s">
        <v>98</v>
      </c>
      <c r="U481">
        <v>5170.8899999999994</v>
      </c>
      <c r="V481">
        <v>273.44200000000001</v>
      </c>
    </row>
    <row r="482" spans="1:22" x14ac:dyDescent="0.3">
      <c r="A482" t="s">
        <v>1476</v>
      </c>
      <c r="B482" t="s">
        <v>21</v>
      </c>
      <c r="C482" t="s">
        <v>140</v>
      </c>
      <c r="D482">
        <v>17</v>
      </c>
      <c r="E482">
        <v>5.91</v>
      </c>
      <c r="F482" t="s">
        <v>84</v>
      </c>
      <c r="G482" t="s">
        <v>24</v>
      </c>
      <c r="H482">
        <v>0.15</v>
      </c>
      <c r="I482" t="s">
        <v>65</v>
      </c>
      <c r="J482">
        <v>85.4</v>
      </c>
      <c r="K482" t="s">
        <v>26</v>
      </c>
      <c r="L482" t="s">
        <v>58</v>
      </c>
      <c r="M482">
        <v>0</v>
      </c>
      <c r="N482" t="s">
        <v>1477</v>
      </c>
      <c r="O482" t="s">
        <v>1478</v>
      </c>
      <c r="P482">
        <v>44.85</v>
      </c>
      <c r="Q482" s="2">
        <v>45778</v>
      </c>
      <c r="R482" t="s">
        <v>837</v>
      </c>
      <c r="S482" t="s">
        <v>31</v>
      </c>
      <c r="T482" t="s">
        <v>63</v>
      </c>
      <c r="U482">
        <v>40.550000000000004</v>
      </c>
      <c r="V482">
        <v>15.070499999999999</v>
      </c>
    </row>
    <row r="483" spans="1:22" x14ac:dyDescent="0.3">
      <c r="A483" t="s">
        <v>608</v>
      </c>
      <c r="B483" t="s">
        <v>21</v>
      </c>
      <c r="C483" t="s">
        <v>140</v>
      </c>
      <c r="D483">
        <v>11</v>
      </c>
      <c r="E483">
        <v>550.86</v>
      </c>
      <c r="F483" t="s">
        <v>36</v>
      </c>
      <c r="G483" t="s">
        <v>37</v>
      </c>
      <c r="H483">
        <v>0.1</v>
      </c>
      <c r="I483" t="s">
        <v>94</v>
      </c>
      <c r="J483">
        <v>5453.51</v>
      </c>
      <c r="K483" t="s">
        <v>26</v>
      </c>
      <c r="L483" t="s">
        <v>85</v>
      </c>
      <c r="M483">
        <v>0</v>
      </c>
      <c r="N483" t="s">
        <v>1479</v>
      </c>
      <c r="O483" t="s">
        <v>1480</v>
      </c>
      <c r="P483">
        <v>21.82</v>
      </c>
      <c r="Q483" s="2">
        <v>45110</v>
      </c>
      <c r="R483" t="s">
        <v>916</v>
      </c>
      <c r="S483" t="s">
        <v>31</v>
      </c>
      <c r="T483" t="s">
        <v>117</v>
      </c>
      <c r="U483">
        <v>5431.6900000000005</v>
      </c>
      <c r="V483">
        <v>605.94600000000003</v>
      </c>
    </row>
    <row r="484" spans="1:22" x14ac:dyDescent="0.3">
      <c r="A484" t="s">
        <v>196</v>
      </c>
      <c r="B484" t="s">
        <v>70</v>
      </c>
      <c r="C484" t="s">
        <v>109</v>
      </c>
      <c r="D484">
        <v>16</v>
      </c>
      <c r="E484">
        <v>145.30000000000001</v>
      </c>
      <c r="F484" t="s">
        <v>23</v>
      </c>
      <c r="G484" t="s">
        <v>24</v>
      </c>
      <c r="H484">
        <v>0</v>
      </c>
      <c r="I484" t="s">
        <v>65</v>
      </c>
      <c r="J484">
        <v>2324.8000000000002</v>
      </c>
      <c r="K484" t="s">
        <v>101</v>
      </c>
      <c r="L484" t="s">
        <v>85</v>
      </c>
      <c r="M484">
        <v>1</v>
      </c>
      <c r="N484" t="s">
        <v>1481</v>
      </c>
      <c r="O484" t="s">
        <v>1482</v>
      </c>
      <c r="P484">
        <v>29.64</v>
      </c>
      <c r="Q484" s="2">
        <v>45323</v>
      </c>
      <c r="R484" t="s">
        <v>739</v>
      </c>
      <c r="S484" t="s">
        <v>75</v>
      </c>
      <c r="T484" t="s">
        <v>199</v>
      </c>
      <c r="U484">
        <v>2295.1600000000003</v>
      </c>
      <c r="V484">
        <v>0</v>
      </c>
    </row>
    <row r="485" spans="1:22" x14ac:dyDescent="0.3">
      <c r="A485" t="s">
        <v>900</v>
      </c>
      <c r="B485" t="s">
        <v>34</v>
      </c>
      <c r="C485" t="s">
        <v>140</v>
      </c>
      <c r="D485">
        <v>10</v>
      </c>
      <c r="E485">
        <v>67.38</v>
      </c>
      <c r="F485" t="s">
        <v>36</v>
      </c>
      <c r="G485" t="s">
        <v>37</v>
      </c>
      <c r="H485">
        <v>0.1</v>
      </c>
      <c r="I485" t="s">
        <v>78</v>
      </c>
      <c r="J485">
        <v>606.41999999999996</v>
      </c>
      <c r="K485" t="s">
        <v>57</v>
      </c>
      <c r="L485" t="s">
        <v>85</v>
      </c>
      <c r="M485">
        <v>1</v>
      </c>
      <c r="N485" t="s">
        <v>1483</v>
      </c>
      <c r="O485" t="s">
        <v>142</v>
      </c>
      <c r="P485">
        <v>20.58</v>
      </c>
      <c r="Q485" s="2">
        <v>45871</v>
      </c>
      <c r="R485" t="s">
        <v>1484</v>
      </c>
      <c r="S485" t="s">
        <v>42</v>
      </c>
      <c r="T485" t="s">
        <v>82</v>
      </c>
      <c r="U485">
        <v>585.83999999999992</v>
      </c>
      <c r="V485">
        <v>67.38</v>
      </c>
    </row>
    <row r="486" spans="1:22" x14ac:dyDescent="0.3">
      <c r="A486" t="s">
        <v>297</v>
      </c>
      <c r="B486" t="s">
        <v>34</v>
      </c>
      <c r="C486" t="s">
        <v>140</v>
      </c>
      <c r="D486">
        <v>15</v>
      </c>
      <c r="E486">
        <v>141.13</v>
      </c>
      <c r="F486" t="s">
        <v>55</v>
      </c>
      <c r="G486" t="s">
        <v>24</v>
      </c>
      <c r="H486">
        <v>0</v>
      </c>
      <c r="I486" t="s">
        <v>46</v>
      </c>
      <c r="J486">
        <v>2116.9499999999998</v>
      </c>
      <c r="K486" t="s">
        <v>47</v>
      </c>
      <c r="L486" t="s">
        <v>58</v>
      </c>
      <c r="M486">
        <v>0</v>
      </c>
      <c r="N486" t="s">
        <v>1485</v>
      </c>
      <c r="O486" t="s">
        <v>1486</v>
      </c>
      <c r="P486">
        <v>19.63</v>
      </c>
      <c r="Q486" s="2">
        <v>45750</v>
      </c>
      <c r="R486" t="s">
        <v>978</v>
      </c>
      <c r="S486" t="s">
        <v>42</v>
      </c>
      <c r="T486" t="s">
        <v>147</v>
      </c>
      <c r="U486">
        <v>2097.3199999999997</v>
      </c>
      <c r="V486">
        <v>0</v>
      </c>
    </row>
    <row r="487" spans="1:22" x14ac:dyDescent="0.3">
      <c r="A487" t="s">
        <v>191</v>
      </c>
      <c r="B487" t="s">
        <v>45</v>
      </c>
      <c r="C487" t="s">
        <v>109</v>
      </c>
      <c r="D487">
        <v>1</v>
      </c>
      <c r="E487">
        <v>534.61</v>
      </c>
      <c r="F487" t="s">
        <v>55</v>
      </c>
      <c r="G487" t="s">
        <v>37</v>
      </c>
      <c r="H487">
        <v>0.05</v>
      </c>
      <c r="I487" t="s">
        <v>56</v>
      </c>
      <c r="J487">
        <v>507.88</v>
      </c>
      <c r="K487" t="s">
        <v>26</v>
      </c>
      <c r="L487" t="s">
        <v>58</v>
      </c>
      <c r="M487">
        <v>0</v>
      </c>
      <c r="N487" t="s">
        <v>1487</v>
      </c>
      <c r="O487" t="s">
        <v>1488</v>
      </c>
      <c r="P487">
        <v>22.68</v>
      </c>
      <c r="Q487" s="2">
        <v>45629</v>
      </c>
      <c r="R487" t="s">
        <v>1489</v>
      </c>
      <c r="S487" t="s">
        <v>51</v>
      </c>
      <c r="T487" t="s">
        <v>76</v>
      </c>
      <c r="U487">
        <v>485.2</v>
      </c>
      <c r="V487">
        <v>26.730500000000003</v>
      </c>
    </row>
    <row r="488" spans="1:22" x14ac:dyDescent="0.3">
      <c r="A488" t="s">
        <v>1490</v>
      </c>
      <c r="B488" t="s">
        <v>70</v>
      </c>
      <c r="C488" t="s">
        <v>71</v>
      </c>
      <c r="D488">
        <v>9</v>
      </c>
      <c r="E488">
        <v>560.04</v>
      </c>
      <c r="F488" t="s">
        <v>55</v>
      </c>
      <c r="G488" t="s">
        <v>37</v>
      </c>
      <c r="H488">
        <v>0.05</v>
      </c>
      <c r="I488" t="s">
        <v>46</v>
      </c>
      <c r="J488">
        <v>4788.34</v>
      </c>
      <c r="K488" t="s">
        <v>57</v>
      </c>
      <c r="L488" t="s">
        <v>27</v>
      </c>
      <c r="M488">
        <v>0</v>
      </c>
      <c r="N488" t="s">
        <v>1491</v>
      </c>
      <c r="O488" t="s">
        <v>1492</v>
      </c>
      <c r="P488">
        <v>22.81</v>
      </c>
      <c r="Q488" s="2">
        <v>45358</v>
      </c>
      <c r="R488" t="s">
        <v>217</v>
      </c>
      <c r="S488" t="s">
        <v>75</v>
      </c>
      <c r="T488" t="s">
        <v>98</v>
      </c>
      <c r="U488">
        <v>4765.53</v>
      </c>
      <c r="V488">
        <v>252.018</v>
      </c>
    </row>
    <row r="489" spans="1:22" x14ac:dyDescent="0.3">
      <c r="A489" t="s">
        <v>1476</v>
      </c>
      <c r="B489" t="s">
        <v>21</v>
      </c>
      <c r="C489" t="s">
        <v>100</v>
      </c>
      <c r="D489">
        <v>8</v>
      </c>
      <c r="E489">
        <v>275.32</v>
      </c>
      <c r="F489" t="s">
        <v>55</v>
      </c>
      <c r="G489" t="s">
        <v>37</v>
      </c>
      <c r="H489">
        <v>0.1</v>
      </c>
      <c r="I489" t="s">
        <v>78</v>
      </c>
      <c r="J489">
        <v>1982.3</v>
      </c>
      <c r="K489" t="s">
        <v>47</v>
      </c>
      <c r="L489" t="s">
        <v>58</v>
      </c>
      <c r="M489">
        <v>0</v>
      </c>
      <c r="N489" t="s">
        <v>1493</v>
      </c>
      <c r="O489" t="s">
        <v>1494</v>
      </c>
      <c r="P489">
        <v>18.260000000000002</v>
      </c>
      <c r="Q489" s="2">
        <v>45778</v>
      </c>
      <c r="R489" t="s">
        <v>837</v>
      </c>
      <c r="S489" t="s">
        <v>31</v>
      </c>
      <c r="T489" t="s">
        <v>63</v>
      </c>
      <c r="U489">
        <v>1964.04</v>
      </c>
      <c r="V489">
        <v>220.256</v>
      </c>
    </row>
    <row r="490" spans="1:22" x14ac:dyDescent="0.3">
      <c r="A490" t="s">
        <v>450</v>
      </c>
      <c r="B490" t="s">
        <v>54</v>
      </c>
      <c r="C490" t="s">
        <v>71</v>
      </c>
      <c r="D490">
        <v>11</v>
      </c>
      <c r="E490">
        <v>358.59</v>
      </c>
      <c r="F490" t="s">
        <v>23</v>
      </c>
      <c r="G490" t="s">
        <v>24</v>
      </c>
      <c r="H490">
        <v>0</v>
      </c>
      <c r="I490" t="s">
        <v>56</v>
      </c>
      <c r="J490">
        <v>3944.49</v>
      </c>
      <c r="K490" t="s">
        <v>101</v>
      </c>
      <c r="L490" t="s">
        <v>48</v>
      </c>
      <c r="M490">
        <v>0</v>
      </c>
      <c r="N490" t="s">
        <v>1495</v>
      </c>
      <c r="O490" t="s">
        <v>1496</v>
      </c>
      <c r="P490">
        <v>29.19</v>
      </c>
      <c r="Q490" s="2">
        <v>45147</v>
      </c>
      <c r="R490" t="s">
        <v>652</v>
      </c>
      <c r="S490" t="s">
        <v>62</v>
      </c>
      <c r="T490" t="s">
        <v>82</v>
      </c>
      <c r="U490">
        <v>3915.2999999999997</v>
      </c>
      <c r="V490">
        <v>0</v>
      </c>
    </row>
    <row r="491" spans="1:22" x14ac:dyDescent="0.3">
      <c r="A491" t="s">
        <v>1236</v>
      </c>
      <c r="B491" t="s">
        <v>45</v>
      </c>
      <c r="C491" t="s">
        <v>109</v>
      </c>
      <c r="D491">
        <v>18</v>
      </c>
      <c r="E491">
        <v>595.53</v>
      </c>
      <c r="F491" t="s">
        <v>23</v>
      </c>
      <c r="G491" t="s">
        <v>37</v>
      </c>
      <c r="H491">
        <v>0</v>
      </c>
      <c r="I491" t="s">
        <v>56</v>
      </c>
      <c r="J491">
        <v>10719.54</v>
      </c>
      <c r="K491" t="s">
        <v>47</v>
      </c>
      <c r="L491" t="s">
        <v>27</v>
      </c>
      <c r="M491">
        <v>0</v>
      </c>
      <c r="N491" t="s">
        <v>1497</v>
      </c>
      <c r="O491" t="s">
        <v>1498</v>
      </c>
      <c r="P491">
        <v>42.91</v>
      </c>
      <c r="Q491" s="2">
        <v>45384</v>
      </c>
      <c r="R491" t="s">
        <v>1499</v>
      </c>
      <c r="S491" t="s">
        <v>51</v>
      </c>
      <c r="T491" t="s">
        <v>147</v>
      </c>
      <c r="U491">
        <v>10676.630000000001</v>
      </c>
      <c r="V491">
        <v>0</v>
      </c>
    </row>
    <row r="492" spans="1:22" x14ac:dyDescent="0.3">
      <c r="A492" t="s">
        <v>1090</v>
      </c>
      <c r="B492" t="s">
        <v>54</v>
      </c>
      <c r="C492" t="s">
        <v>109</v>
      </c>
      <c r="D492">
        <v>19</v>
      </c>
      <c r="E492">
        <v>431.47</v>
      </c>
      <c r="F492" t="s">
        <v>84</v>
      </c>
      <c r="G492" t="s">
        <v>37</v>
      </c>
      <c r="H492">
        <v>0.1</v>
      </c>
      <c r="I492" t="s">
        <v>65</v>
      </c>
      <c r="J492">
        <v>7378.14</v>
      </c>
      <c r="K492" t="s">
        <v>57</v>
      </c>
      <c r="L492" t="s">
        <v>27</v>
      </c>
      <c r="M492">
        <v>0</v>
      </c>
      <c r="N492" t="s">
        <v>1500</v>
      </c>
      <c r="O492" t="s">
        <v>1501</v>
      </c>
      <c r="P492">
        <v>49.23</v>
      </c>
      <c r="Q492" s="2">
        <v>45055</v>
      </c>
      <c r="R492" t="s">
        <v>652</v>
      </c>
      <c r="S492" t="s">
        <v>62</v>
      </c>
      <c r="T492" t="s">
        <v>63</v>
      </c>
      <c r="U492">
        <v>7328.9100000000008</v>
      </c>
      <c r="V492">
        <v>819.79300000000012</v>
      </c>
    </row>
    <row r="493" spans="1:22" x14ac:dyDescent="0.3">
      <c r="A493" t="s">
        <v>1129</v>
      </c>
      <c r="B493" t="s">
        <v>54</v>
      </c>
      <c r="C493" t="s">
        <v>140</v>
      </c>
      <c r="D493">
        <v>19</v>
      </c>
      <c r="E493">
        <v>67.489999999999995</v>
      </c>
      <c r="F493" t="s">
        <v>36</v>
      </c>
      <c r="G493" t="s">
        <v>37</v>
      </c>
      <c r="H493">
        <v>0</v>
      </c>
      <c r="I493" t="s">
        <v>56</v>
      </c>
      <c r="J493">
        <v>1282.31</v>
      </c>
      <c r="K493" t="s">
        <v>38</v>
      </c>
      <c r="L493" t="s">
        <v>58</v>
      </c>
      <c r="M493">
        <v>0</v>
      </c>
      <c r="N493" t="s">
        <v>1502</v>
      </c>
      <c r="O493" t="s">
        <v>1503</v>
      </c>
      <c r="P493">
        <v>32.04</v>
      </c>
      <c r="Q493" s="2">
        <v>44934</v>
      </c>
      <c r="R493" t="s">
        <v>243</v>
      </c>
      <c r="S493" t="s">
        <v>62</v>
      </c>
      <c r="T493" t="s">
        <v>187</v>
      </c>
      <c r="U493">
        <v>1250.27</v>
      </c>
      <c r="V493">
        <v>0</v>
      </c>
    </row>
    <row r="494" spans="1:22" x14ac:dyDescent="0.3">
      <c r="A494" t="s">
        <v>826</v>
      </c>
      <c r="B494" t="s">
        <v>45</v>
      </c>
      <c r="C494" t="s">
        <v>109</v>
      </c>
      <c r="D494">
        <v>11</v>
      </c>
      <c r="E494">
        <v>25.67</v>
      </c>
      <c r="F494" t="s">
        <v>36</v>
      </c>
      <c r="G494" t="s">
        <v>37</v>
      </c>
      <c r="H494">
        <v>0.15</v>
      </c>
      <c r="I494" t="s">
        <v>46</v>
      </c>
      <c r="J494">
        <v>240.01</v>
      </c>
      <c r="K494" t="s">
        <v>101</v>
      </c>
      <c r="L494" t="s">
        <v>58</v>
      </c>
      <c r="M494">
        <v>0</v>
      </c>
      <c r="N494" t="s">
        <v>1504</v>
      </c>
      <c r="O494" t="s">
        <v>1505</v>
      </c>
      <c r="P494">
        <v>30.12</v>
      </c>
      <c r="Q494" s="2">
        <v>45078</v>
      </c>
      <c r="R494" t="s">
        <v>276</v>
      </c>
      <c r="S494" t="s">
        <v>51</v>
      </c>
      <c r="T494" t="s">
        <v>105</v>
      </c>
      <c r="U494">
        <v>209.89</v>
      </c>
      <c r="V494">
        <v>42.355499999999999</v>
      </c>
    </row>
    <row r="495" spans="1:22" x14ac:dyDescent="0.3">
      <c r="A495" t="s">
        <v>1506</v>
      </c>
      <c r="B495" t="s">
        <v>45</v>
      </c>
      <c r="C495" t="s">
        <v>71</v>
      </c>
      <c r="D495">
        <v>4</v>
      </c>
      <c r="E495">
        <v>368.69</v>
      </c>
      <c r="F495" t="s">
        <v>55</v>
      </c>
      <c r="G495" t="s">
        <v>24</v>
      </c>
      <c r="H495">
        <v>0</v>
      </c>
      <c r="I495" t="s">
        <v>78</v>
      </c>
      <c r="J495">
        <v>1474.76</v>
      </c>
      <c r="K495" t="s">
        <v>57</v>
      </c>
      <c r="L495" t="s">
        <v>27</v>
      </c>
      <c r="M495">
        <v>0</v>
      </c>
      <c r="N495" t="s">
        <v>1507</v>
      </c>
      <c r="O495" t="s">
        <v>1508</v>
      </c>
      <c r="P495">
        <v>48.57</v>
      </c>
      <c r="Q495" s="2">
        <v>45693</v>
      </c>
      <c r="R495" t="s">
        <v>507</v>
      </c>
      <c r="S495" t="s">
        <v>51</v>
      </c>
      <c r="T495" t="s">
        <v>199</v>
      </c>
      <c r="U495">
        <v>1426.19</v>
      </c>
      <c r="V495">
        <v>0</v>
      </c>
    </row>
    <row r="496" spans="1:22" x14ac:dyDescent="0.3">
      <c r="A496" t="s">
        <v>596</v>
      </c>
      <c r="B496" t="s">
        <v>70</v>
      </c>
      <c r="C496" t="s">
        <v>100</v>
      </c>
      <c r="D496">
        <v>14</v>
      </c>
      <c r="E496">
        <v>85.54</v>
      </c>
      <c r="F496" t="s">
        <v>23</v>
      </c>
      <c r="G496" t="s">
        <v>24</v>
      </c>
      <c r="H496">
        <v>0</v>
      </c>
      <c r="I496" t="s">
        <v>56</v>
      </c>
      <c r="J496">
        <v>1197.56</v>
      </c>
      <c r="K496" t="s">
        <v>57</v>
      </c>
      <c r="L496" t="s">
        <v>85</v>
      </c>
      <c r="M496">
        <v>0</v>
      </c>
      <c r="N496" t="s">
        <v>1509</v>
      </c>
      <c r="O496" t="s">
        <v>1510</v>
      </c>
      <c r="P496">
        <v>16.079999999999998</v>
      </c>
      <c r="Q496" s="2">
        <v>45574</v>
      </c>
      <c r="R496" t="s">
        <v>1511</v>
      </c>
      <c r="S496" t="s">
        <v>75</v>
      </c>
      <c r="T496" t="s">
        <v>32</v>
      </c>
      <c r="U496">
        <v>1181.48</v>
      </c>
      <c r="V496">
        <v>0</v>
      </c>
    </row>
    <row r="497" spans="1:22" x14ac:dyDescent="0.3">
      <c r="A497" t="s">
        <v>693</v>
      </c>
      <c r="B497" t="s">
        <v>45</v>
      </c>
      <c r="C497" t="s">
        <v>35</v>
      </c>
      <c r="D497">
        <v>9</v>
      </c>
      <c r="E497">
        <v>267.60000000000002</v>
      </c>
      <c r="F497" t="s">
        <v>55</v>
      </c>
      <c r="G497" t="s">
        <v>37</v>
      </c>
      <c r="H497">
        <v>0.15</v>
      </c>
      <c r="I497" t="s">
        <v>65</v>
      </c>
      <c r="J497">
        <v>2047.14</v>
      </c>
      <c r="K497" t="s">
        <v>101</v>
      </c>
      <c r="L497" t="s">
        <v>85</v>
      </c>
      <c r="M497">
        <v>0</v>
      </c>
      <c r="N497" t="s">
        <v>1512</v>
      </c>
      <c r="O497" t="s">
        <v>1513</v>
      </c>
      <c r="P497">
        <v>8.48</v>
      </c>
      <c r="Q497" s="2">
        <v>45416</v>
      </c>
      <c r="R497" t="s">
        <v>64</v>
      </c>
      <c r="S497" t="s">
        <v>51</v>
      </c>
      <c r="T497" t="s">
        <v>63</v>
      </c>
      <c r="U497">
        <v>2038.66</v>
      </c>
      <c r="V497">
        <v>361.26</v>
      </c>
    </row>
    <row r="498" spans="1:22" x14ac:dyDescent="0.3">
      <c r="A498" t="s">
        <v>590</v>
      </c>
      <c r="B498" t="s">
        <v>70</v>
      </c>
      <c r="C498" t="s">
        <v>140</v>
      </c>
      <c r="D498">
        <v>11</v>
      </c>
      <c r="E498">
        <v>199.57</v>
      </c>
      <c r="F498" t="s">
        <v>84</v>
      </c>
      <c r="G498" t="s">
        <v>37</v>
      </c>
      <c r="H498">
        <v>0.05</v>
      </c>
      <c r="I498" t="s">
        <v>94</v>
      </c>
      <c r="J498">
        <v>2085.5100000000002</v>
      </c>
      <c r="K498" t="s">
        <v>38</v>
      </c>
      <c r="L498" t="s">
        <v>58</v>
      </c>
      <c r="M498">
        <v>0</v>
      </c>
      <c r="N498" t="s">
        <v>1514</v>
      </c>
      <c r="O498" t="s">
        <v>1486</v>
      </c>
      <c r="P498">
        <v>48.94</v>
      </c>
      <c r="Q498" s="2">
        <v>45271</v>
      </c>
      <c r="R498" t="s">
        <v>1515</v>
      </c>
      <c r="S498" t="s">
        <v>75</v>
      </c>
      <c r="T498" t="s">
        <v>76</v>
      </c>
      <c r="U498">
        <v>2036.5700000000002</v>
      </c>
      <c r="V498">
        <v>109.76350000000001</v>
      </c>
    </row>
    <row r="499" spans="1:22" x14ac:dyDescent="0.3">
      <c r="A499" t="s">
        <v>354</v>
      </c>
      <c r="B499" t="s">
        <v>34</v>
      </c>
      <c r="C499" t="s">
        <v>35</v>
      </c>
      <c r="D499">
        <v>8</v>
      </c>
      <c r="E499">
        <v>28.34</v>
      </c>
      <c r="F499" t="s">
        <v>36</v>
      </c>
      <c r="G499" t="s">
        <v>24</v>
      </c>
      <c r="H499">
        <v>0.05</v>
      </c>
      <c r="I499" t="s">
        <v>25</v>
      </c>
      <c r="J499">
        <v>215.38</v>
      </c>
      <c r="K499" t="s">
        <v>47</v>
      </c>
      <c r="L499" t="s">
        <v>48</v>
      </c>
      <c r="M499">
        <v>1</v>
      </c>
      <c r="N499" t="s">
        <v>1516</v>
      </c>
      <c r="O499" t="s">
        <v>1517</v>
      </c>
      <c r="P499">
        <v>23.19</v>
      </c>
      <c r="Q499" s="2">
        <v>45268</v>
      </c>
      <c r="R499" t="s">
        <v>1518</v>
      </c>
      <c r="S499" t="s">
        <v>42</v>
      </c>
      <c r="T499" t="s">
        <v>76</v>
      </c>
      <c r="U499">
        <v>192.19</v>
      </c>
      <c r="V499">
        <v>11.336</v>
      </c>
    </row>
    <row r="500" spans="1:22" x14ac:dyDescent="0.3">
      <c r="A500" t="s">
        <v>1241</v>
      </c>
      <c r="B500" t="s">
        <v>54</v>
      </c>
      <c r="C500" t="s">
        <v>140</v>
      </c>
      <c r="D500">
        <v>17</v>
      </c>
      <c r="E500">
        <v>495.13</v>
      </c>
      <c r="F500" t="s">
        <v>55</v>
      </c>
      <c r="G500" t="s">
        <v>24</v>
      </c>
      <c r="H500">
        <v>0.1</v>
      </c>
      <c r="I500" t="s">
        <v>25</v>
      </c>
      <c r="J500">
        <v>7575.49</v>
      </c>
      <c r="K500" t="s">
        <v>26</v>
      </c>
      <c r="L500" t="s">
        <v>85</v>
      </c>
      <c r="M500">
        <v>1</v>
      </c>
      <c r="N500" t="s">
        <v>1519</v>
      </c>
      <c r="O500" t="s">
        <v>1520</v>
      </c>
      <c r="P500">
        <v>26.37</v>
      </c>
      <c r="Q500" s="2">
        <v>45638</v>
      </c>
      <c r="R500" t="s">
        <v>1521</v>
      </c>
      <c r="S500" t="s">
        <v>62</v>
      </c>
      <c r="T500" t="s">
        <v>76</v>
      </c>
      <c r="U500">
        <v>7549.12</v>
      </c>
      <c r="V500">
        <v>841.721</v>
      </c>
    </row>
    <row r="501" spans="1:22" x14ac:dyDescent="0.3">
      <c r="A501" t="s">
        <v>533</v>
      </c>
      <c r="B501" t="s">
        <v>54</v>
      </c>
      <c r="C501" t="s">
        <v>71</v>
      </c>
      <c r="D501">
        <v>14</v>
      </c>
      <c r="E501">
        <v>142.05000000000001</v>
      </c>
      <c r="F501" t="s">
        <v>55</v>
      </c>
      <c r="G501" t="s">
        <v>37</v>
      </c>
      <c r="H501">
        <v>0.05</v>
      </c>
      <c r="I501" t="s">
        <v>56</v>
      </c>
      <c r="J501">
        <v>1889.27</v>
      </c>
      <c r="K501" t="s">
        <v>57</v>
      </c>
      <c r="L501" t="s">
        <v>58</v>
      </c>
      <c r="M501">
        <v>0</v>
      </c>
      <c r="N501" t="s">
        <v>1522</v>
      </c>
      <c r="O501" t="s">
        <v>1523</v>
      </c>
      <c r="P501">
        <v>33.65</v>
      </c>
      <c r="Q501" s="2">
        <v>45843</v>
      </c>
      <c r="R501" t="s">
        <v>1138</v>
      </c>
      <c r="S501" t="s">
        <v>62</v>
      </c>
      <c r="T501" t="s">
        <v>117</v>
      </c>
      <c r="U501">
        <v>1855.62</v>
      </c>
      <c r="V501">
        <v>99.435000000000016</v>
      </c>
    </row>
    <row r="502" spans="1:22" x14ac:dyDescent="0.3">
      <c r="A502" t="s">
        <v>300</v>
      </c>
      <c r="B502" t="s">
        <v>70</v>
      </c>
      <c r="C502" t="s">
        <v>35</v>
      </c>
      <c r="D502">
        <v>16</v>
      </c>
      <c r="E502">
        <v>504.36</v>
      </c>
      <c r="F502" t="s">
        <v>55</v>
      </c>
      <c r="G502" t="s">
        <v>24</v>
      </c>
      <c r="H502">
        <v>0</v>
      </c>
      <c r="I502" t="s">
        <v>94</v>
      </c>
      <c r="J502">
        <v>8069.76</v>
      </c>
      <c r="K502" t="s">
        <v>38</v>
      </c>
      <c r="L502" t="s">
        <v>48</v>
      </c>
      <c r="M502">
        <v>1</v>
      </c>
      <c r="N502" t="s">
        <v>1524</v>
      </c>
      <c r="O502" t="s">
        <v>1525</v>
      </c>
      <c r="P502">
        <v>11.67</v>
      </c>
      <c r="Q502" s="2">
        <v>45933</v>
      </c>
      <c r="R502" t="s">
        <v>61</v>
      </c>
      <c r="S502" t="s">
        <v>75</v>
      </c>
      <c r="T502" t="s">
        <v>32</v>
      </c>
      <c r="U502">
        <v>8058.09</v>
      </c>
      <c r="V502">
        <v>0</v>
      </c>
    </row>
    <row r="503" spans="1:22" x14ac:dyDescent="0.3">
      <c r="A503" t="s">
        <v>410</v>
      </c>
      <c r="B503" t="s">
        <v>70</v>
      </c>
      <c r="C503" t="s">
        <v>22</v>
      </c>
      <c r="D503">
        <v>7</v>
      </c>
      <c r="E503">
        <v>122.2</v>
      </c>
      <c r="F503" t="s">
        <v>23</v>
      </c>
      <c r="G503" t="s">
        <v>37</v>
      </c>
      <c r="H503">
        <v>0</v>
      </c>
      <c r="I503" t="s">
        <v>46</v>
      </c>
      <c r="J503">
        <v>855.4</v>
      </c>
      <c r="K503" t="s">
        <v>101</v>
      </c>
      <c r="L503" t="s">
        <v>48</v>
      </c>
      <c r="M503">
        <v>0</v>
      </c>
      <c r="N503" t="s">
        <v>1526</v>
      </c>
      <c r="O503" t="s">
        <v>1527</v>
      </c>
      <c r="P503">
        <v>30.21</v>
      </c>
      <c r="Q503" s="2">
        <v>45663</v>
      </c>
      <c r="R503" t="s">
        <v>413</v>
      </c>
      <c r="S503" t="s">
        <v>75</v>
      </c>
      <c r="T503" t="s">
        <v>187</v>
      </c>
      <c r="U503">
        <v>825.18999999999994</v>
      </c>
      <c r="V503">
        <v>0</v>
      </c>
    </row>
    <row r="504" spans="1:22" x14ac:dyDescent="0.3">
      <c r="A504" t="s">
        <v>320</v>
      </c>
      <c r="B504" t="s">
        <v>70</v>
      </c>
      <c r="C504" t="s">
        <v>109</v>
      </c>
      <c r="D504">
        <v>4</v>
      </c>
      <c r="E504">
        <v>224.75</v>
      </c>
      <c r="F504" t="s">
        <v>55</v>
      </c>
      <c r="G504" t="s">
        <v>24</v>
      </c>
      <c r="H504">
        <v>0</v>
      </c>
      <c r="I504" t="s">
        <v>56</v>
      </c>
      <c r="J504">
        <v>899</v>
      </c>
      <c r="K504" t="s">
        <v>38</v>
      </c>
      <c r="L504" t="s">
        <v>48</v>
      </c>
      <c r="M504">
        <v>0</v>
      </c>
      <c r="N504" t="s">
        <v>1528</v>
      </c>
      <c r="O504" t="s">
        <v>1529</v>
      </c>
      <c r="P504">
        <v>43.86</v>
      </c>
      <c r="Q504" s="2">
        <v>45140</v>
      </c>
      <c r="R504" t="s">
        <v>323</v>
      </c>
      <c r="S504" t="s">
        <v>75</v>
      </c>
      <c r="T504" t="s">
        <v>82</v>
      </c>
      <c r="U504">
        <v>855.14</v>
      </c>
      <c r="V504">
        <v>0</v>
      </c>
    </row>
    <row r="505" spans="1:22" x14ac:dyDescent="0.3">
      <c r="A505" t="s">
        <v>715</v>
      </c>
      <c r="B505" t="s">
        <v>21</v>
      </c>
      <c r="C505" t="s">
        <v>109</v>
      </c>
      <c r="D505">
        <v>14</v>
      </c>
      <c r="E505">
        <v>297.56</v>
      </c>
      <c r="F505" t="s">
        <v>23</v>
      </c>
      <c r="G505" t="s">
        <v>24</v>
      </c>
      <c r="H505">
        <v>0.1</v>
      </c>
      <c r="I505" t="s">
        <v>78</v>
      </c>
      <c r="J505">
        <v>3749.26</v>
      </c>
      <c r="K505" t="s">
        <v>38</v>
      </c>
      <c r="L505" t="s">
        <v>85</v>
      </c>
      <c r="M505">
        <v>0</v>
      </c>
      <c r="N505" t="s">
        <v>1530</v>
      </c>
      <c r="O505" t="s">
        <v>1531</v>
      </c>
      <c r="P505">
        <v>31.44</v>
      </c>
      <c r="Q505" s="2">
        <v>45300</v>
      </c>
      <c r="R505" t="s">
        <v>1396</v>
      </c>
      <c r="S505" t="s">
        <v>31</v>
      </c>
      <c r="T505" t="s">
        <v>187</v>
      </c>
      <c r="U505">
        <v>3717.82</v>
      </c>
      <c r="V505">
        <v>416.58400000000006</v>
      </c>
    </row>
    <row r="506" spans="1:22" x14ac:dyDescent="0.3">
      <c r="A506" t="s">
        <v>1532</v>
      </c>
      <c r="B506" t="s">
        <v>45</v>
      </c>
      <c r="C506" t="s">
        <v>140</v>
      </c>
      <c r="D506">
        <v>13</v>
      </c>
      <c r="E506">
        <v>365.11</v>
      </c>
      <c r="F506" t="s">
        <v>36</v>
      </c>
      <c r="G506" t="s">
        <v>37</v>
      </c>
      <c r="H506">
        <v>0.05</v>
      </c>
      <c r="I506" t="s">
        <v>78</v>
      </c>
      <c r="J506">
        <v>4509.1099999999997</v>
      </c>
      <c r="K506" t="s">
        <v>26</v>
      </c>
      <c r="L506" t="s">
        <v>48</v>
      </c>
      <c r="M506">
        <v>0</v>
      </c>
      <c r="N506" t="s">
        <v>1533</v>
      </c>
      <c r="O506" t="s">
        <v>1534</v>
      </c>
      <c r="P506">
        <v>13.97</v>
      </c>
      <c r="Q506" s="2">
        <v>45484</v>
      </c>
      <c r="R506" t="s">
        <v>308</v>
      </c>
      <c r="S506" t="s">
        <v>51</v>
      </c>
      <c r="T506" t="s">
        <v>117</v>
      </c>
      <c r="U506">
        <v>4495.1399999999994</v>
      </c>
      <c r="V506">
        <v>237.32150000000001</v>
      </c>
    </row>
    <row r="507" spans="1:22" x14ac:dyDescent="0.3">
      <c r="A507" t="s">
        <v>293</v>
      </c>
      <c r="B507" t="s">
        <v>54</v>
      </c>
      <c r="C507" t="s">
        <v>35</v>
      </c>
      <c r="D507">
        <v>6</v>
      </c>
      <c r="E507">
        <v>543.89</v>
      </c>
      <c r="F507" t="s">
        <v>36</v>
      </c>
      <c r="G507" t="s">
        <v>37</v>
      </c>
      <c r="H507">
        <v>0</v>
      </c>
      <c r="I507" t="s">
        <v>94</v>
      </c>
      <c r="J507">
        <v>3263.34</v>
      </c>
      <c r="K507" t="s">
        <v>47</v>
      </c>
      <c r="L507" t="s">
        <v>48</v>
      </c>
      <c r="M507">
        <v>1</v>
      </c>
      <c r="N507" t="s">
        <v>1535</v>
      </c>
      <c r="O507" t="s">
        <v>1536</v>
      </c>
      <c r="P507">
        <v>13.19</v>
      </c>
      <c r="Q507" s="2">
        <v>45203</v>
      </c>
      <c r="R507" t="s">
        <v>332</v>
      </c>
      <c r="S507" t="s">
        <v>62</v>
      </c>
      <c r="T507" t="s">
        <v>32</v>
      </c>
      <c r="U507">
        <v>3250.15</v>
      </c>
      <c r="V507">
        <v>0</v>
      </c>
    </row>
    <row r="508" spans="1:22" x14ac:dyDescent="0.3">
      <c r="A508" t="s">
        <v>1061</v>
      </c>
      <c r="B508" t="s">
        <v>21</v>
      </c>
      <c r="C508" t="s">
        <v>140</v>
      </c>
      <c r="D508">
        <v>19</v>
      </c>
      <c r="E508">
        <v>219.7</v>
      </c>
      <c r="F508" t="s">
        <v>84</v>
      </c>
      <c r="G508" t="s">
        <v>37</v>
      </c>
      <c r="H508">
        <v>0</v>
      </c>
      <c r="I508" t="s">
        <v>25</v>
      </c>
      <c r="J508">
        <v>4174.3</v>
      </c>
      <c r="K508" t="s">
        <v>47</v>
      </c>
      <c r="L508" t="s">
        <v>85</v>
      </c>
      <c r="M508">
        <v>0</v>
      </c>
      <c r="N508" t="s">
        <v>1537</v>
      </c>
      <c r="O508" t="s">
        <v>1538</v>
      </c>
      <c r="P508">
        <v>15.38</v>
      </c>
      <c r="Q508" s="2">
        <v>45566</v>
      </c>
      <c r="R508" t="s">
        <v>903</v>
      </c>
      <c r="S508" t="s">
        <v>31</v>
      </c>
      <c r="T508" t="s">
        <v>32</v>
      </c>
      <c r="U508">
        <v>4158.92</v>
      </c>
      <c r="V508">
        <v>0</v>
      </c>
    </row>
    <row r="509" spans="1:22" x14ac:dyDescent="0.3">
      <c r="A509" t="s">
        <v>297</v>
      </c>
      <c r="B509" t="s">
        <v>45</v>
      </c>
      <c r="C509" t="s">
        <v>109</v>
      </c>
      <c r="D509">
        <v>11</v>
      </c>
      <c r="E509">
        <v>447.38</v>
      </c>
      <c r="F509" t="s">
        <v>55</v>
      </c>
      <c r="G509" t="s">
        <v>24</v>
      </c>
      <c r="H509">
        <v>0</v>
      </c>
      <c r="I509" t="s">
        <v>25</v>
      </c>
      <c r="J509">
        <v>4921.18</v>
      </c>
      <c r="K509" t="s">
        <v>57</v>
      </c>
      <c r="L509" t="s">
        <v>58</v>
      </c>
      <c r="M509">
        <v>0</v>
      </c>
      <c r="N509" t="s">
        <v>1539</v>
      </c>
      <c r="O509" t="s">
        <v>1540</v>
      </c>
      <c r="P509">
        <v>36.72</v>
      </c>
      <c r="Q509" s="2">
        <v>45750</v>
      </c>
      <c r="R509" t="s">
        <v>540</v>
      </c>
      <c r="S509" t="s">
        <v>51</v>
      </c>
      <c r="T509" t="s">
        <v>147</v>
      </c>
      <c r="U509">
        <v>4884.46</v>
      </c>
      <c r="V509">
        <v>0</v>
      </c>
    </row>
    <row r="510" spans="1:22" x14ac:dyDescent="0.3">
      <c r="A510" t="s">
        <v>760</v>
      </c>
      <c r="B510" t="s">
        <v>70</v>
      </c>
      <c r="C510" t="s">
        <v>35</v>
      </c>
      <c r="D510">
        <v>19</v>
      </c>
      <c r="E510">
        <v>161.13</v>
      </c>
      <c r="F510" t="s">
        <v>84</v>
      </c>
      <c r="G510" t="s">
        <v>24</v>
      </c>
      <c r="H510">
        <v>0</v>
      </c>
      <c r="I510" t="s">
        <v>78</v>
      </c>
      <c r="J510">
        <v>3061.47</v>
      </c>
      <c r="K510" t="s">
        <v>101</v>
      </c>
      <c r="L510" t="s">
        <v>85</v>
      </c>
      <c r="M510">
        <v>0</v>
      </c>
      <c r="N510" t="s">
        <v>1541</v>
      </c>
      <c r="O510" t="s">
        <v>1542</v>
      </c>
      <c r="P510">
        <v>5.46</v>
      </c>
      <c r="Q510" s="2">
        <v>44933</v>
      </c>
      <c r="R510" t="s">
        <v>582</v>
      </c>
      <c r="S510" t="s">
        <v>75</v>
      </c>
      <c r="T510" t="s">
        <v>187</v>
      </c>
      <c r="U510">
        <v>3056.0099999999998</v>
      </c>
      <c r="V510">
        <v>0</v>
      </c>
    </row>
    <row r="511" spans="1:22" x14ac:dyDescent="0.3">
      <c r="A511" t="s">
        <v>777</v>
      </c>
      <c r="B511" t="s">
        <v>34</v>
      </c>
      <c r="C511" t="s">
        <v>100</v>
      </c>
      <c r="D511">
        <v>16</v>
      </c>
      <c r="E511">
        <v>172.89</v>
      </c>
      <c r="F511" t="s">
        <v>23</v>
      </c>
      <c r="G511" t="s">
        <v>24</v>
      </c>
      <c r="H511">
        <v>0.15</v>
      </c>
      <c r="I511" t="s">
        <v>78</v>
      </c>
      <c r="J511">
        <v>2351.3000000000002</v>
      </c>
      <c r="K511" t="s">
        <v>101</v>
      </c>
      <c r="L511" t="s">
        <v>85</v>
      </c>
      <c r="M511">
        <v>1</v>
      </c>
      <c r="N511" t="s">
        <v>1543</v>
      </c>
      <c r="O511" t="s">
        <v>1544</v>
      </c>
      <c r="P511">
        <v>41.87</v>
      </c>
      <c r="Q511" s="2">
        <v>45840</v>
      </c>
      <c r="R511" t="s">
        <v>1381</v>
      </c>
      <c r="S511" t="s">
        <v>42</v>
      </c>
      <c r="T511" t="s">
        <v>117</v>
      </c>
      <c r="U511">
        <v>2309.4300000000003</v>
      </c>
      <c r="V511">
        <v>414.93599999999998</v>
      </c>
    </row>
    <row r="512" spans="1:22" x14ac:dyDescent="0.3">
      <c r="A512" t="s">
        <v>196</v>
      </c>
      <c r="B512" t="s">
        <v>45</v>
      </c>
      <c r="C512" t="s">
        <v>22</v>
      </c>
      <c r="D512">
        <v>7</v>
      </c>
      <c r="E512">
        <v>55.76</v>
      </c>
      <c r="F512" t="s">
        <v>36</v>
      </c>
      <c r="G512" t="s">
        <v>24</v>
      </c>
      <c r="H512">
        <v>0.1</v>
      </c>
      <c r="I512" t="s">
        <v>25</v>
      </c>
      <c r="J512">
        <v>351.29</v>
      </c>
      <c r="K512" t="s">
        <v>26</v>
      </c>
      <c r="L512" t="s">
        <v>48</v>
      </c>
      <c r="M512">
        <v>0</v>
      </c>
      <c r="N512" t="s">
        <v>1545</v>
      </c>
      <c r="O512" t="s">
        <v>1546</v>
      </c>
      <c r="P512">
        <v>38.979999999999997</v>
      </c>
      <c r="Q512" s="2">
        <v>45323</v>
      </c>
      <c r="R512" t="s">
        <v>614</v>
      </c>
      <c r="S512" t="s">
        <v>51</v>
      </c>
      <c r="T512" t="s">
        <v>199</v>
      </c>
      <c r="U512">
        <v>312.31</v>
      </c>
      <c r="V512">
        <v>39.032000000000004</v>
      </c>
    </row>
    <row r="513" spans="1:22" x14ac:dyDescent="0.3">
      <c r="A513" t="s">
        <v>460</v>
      </c>
      <c r="B513" t="s">
        <v>34</v>
      </c>
      <c r="C513" t="s">
        <v>100</v>
      </c>
      <c r="D513">
        <v>4</v>
      </c>
      <c r="E513">
        <v>24.58</v>
      </c>
      <c r="F513" t="s">
        <v>23</v>
      </c>
      <c r="G513" t="s">
        <v>24</v>
      </c>
      <c r="H513">
        <v>0.15</v>
      </c>
      <c r="I513" t="s">
        <v>46</v>
      </c>
      <c r="J513">
        <v>83.57</v>
      </c>
      <c r="K513" t="s">
        <v>38</v>
      </c>
      <c r="L513" t="s">
        <v>27</v>
      </c>
      <c r="M513">
        <v>0</v>
      </c>
      <c r="N513" t="s">
        <v>1547</v>
      </c>
      <c r="O513" t="s">
        <v>1548</v>
      </c>
      <c r="P513">
        <v>39.869999999999997</v>
      </c>
      <c r="Q513" s="2">
        <v>45872</v>
      </c>
      <c r="R513" t="s">
        <v>897</v>
      </c>
      <c r="S513" t="s">
        <v>42</v>
      </c>
      <c r="T513" t="s">
        <v>82</v>
      </c>
      <c r="U513">
        <v>43.699999999999996</v>
      </c>
      <c r="V513">
        <v>14.747999999999998</v>
      </c>
    </row>
    <row r="514" spans="1:22" x14ac:dyDescent="0.3">
      <c r="A514" t="s">
        <v>579</v>
      </c>
      <c r="B514" t="s">
        <v>54</v>
      </c>
      <c r="C514" t="s">
        <v>22</v>
      </c>
      <c r="D514">
        <v>2</v>
      </c>
      <c r="E514">
        <v>504.82</v>
      </c>
      <c r="F514" t="s">
        <v>55</v>
      </c>
      <c r="G514" t="s">
        <v>37</v>
      </c>
      <c r="H514">
        <v>0</v>
      </c>
      <c r="I514" t="s">
        <v>46</v>
      </c>
      <c r="J514">
        <v>1009.64</v>
      </c>
      <c r="K514" t="s">
        <v>38</v>
      </c>
      <c r="L514" t="s">
        <v>85</v>
      </c>
      <c r="M514">
        <v>0</v>
      </c>
      <c r="N514" t="s">
        <v>1549</v>
      </c>
      <c r="O514" t="s">
        <v>1550</v>
      </c>
      <c r="P514">
        <v>25.54</v>
      </c>
      <c r="Q514" s="2">
        <v>44992</v>
      </c>
      <c r="R514" t="s">
        <v>1551</v>
      </c>
      <c r="S514" t="s">
        <v>62</v>
      </c>
      <c r="T514" t="s">
        <v>98</v>
      </c>
      <c r="U514">
        <v>984.1</v>
      </c>
      <c r="V514">
        <v>0</v>
      </c>
    </row>
    <row r="515" spans="1:22" x14ac:dyDescent="0.3">
      <c r="A515" t="s">
        <v>1397</v>
      </c>
      <c r="B515" t="s">
        <v>54</v>
      </c>
      <c r="C515" t="s">
        <v>22</v>
      </c>
      <c r="D515">
        <v>9</v>
      </c>
      <c r="E515">
        <v>130.57</v>
      </c>
      <c r="F515" t="s">
        <v>36</v>
      </c>
      <c r="G515" t="s">
        <v>24</v>
      </c>
      <c r="H515">
        <v>0.1</v>
      </c>
      <c r="I515" t="s">
        <v>65</v>
      </c>
      <c r="J515">
        <v>1057.6199999999999</v>
      </c>
      <c r="K515" t="s">
        <v>47</v>
      </c>
      <c r="L515" t="s">
        <v>27</v>
      </c>
      <c r="M515">
        <v>0</v>
      </c>
      <c r="N515" t="s">
        <v>1552</v>
      </c>
      <c r="O515" t="s">
        <v>1553</v>
      </c>
      <c r="P515">
        <v>37.14</v>
      </c>
      <c r="Q515" s="2">
        <v>45567</v>
      </c>
      <c r="R515" t="s">
        <v>1554</v>
      </c>
      <c r="S515" t="s">
        <v>62</v>
      </c>
      <c r="T515" t="s">
        <v>32</v>
      </c>
      <c r="U515">
        <v>1020.4799999999999</v>
      </c>
      <c r="V515">
        <v>117.51299999999999</v>
      </c>
    </row>
    <row r="516" spans="1:22" x14ac:dyDescent="0.3">
      <c r="A516" t="s">
        <v>583</v>
      </c>
      <c r="B516" t="s">
        <v>54</v>
      </c>
      <c r="C516" t="s">
        <v>127</v>
      </c>
      <c r="D516">
        <v>12</v>
      </c>
      <c r="E516">
        <v>312.72000000000003</v>
      </c>
      <c r="F516" t="s">
        <v>36</v>
      </c>
      <c r="G516" t="s">
        <v>37</v>
      </c>
      <c r="H516">
        <v>0</v>
      </c>
      <c r="I516" t="s">
        <v>65</v>
      </c>
      <c r="J516">
        <v>3752.64</v>
      </c>
      <c r="K516" t="s">
        <v>57</v>
      </c>
      <c r="L516" t="s">
        <v>48</v>
      </c>
      <c r="M516">
        <v>0</v>
      </c>
      <c r="N516" t="s">
        <v>1555</v>
      </c>
      <c r="O516" t="s">
        <v>1556</v>
      </c>
      <c r="P516">
        <v>18.46</v>
      </c>
      <c r="Q516" s="2">
        <v>45904</v>
      </c>
      <c r="R516" t="s">
        <v>586</v>
      </c>
      <c r="S516" t="s">
        <v>62</v>
      </c>
      <c r="T516" t="s">
        <v>52</v>
      </c>
      <c r="U516">
        <v>3734.18</v>
      </c>
      <c r="V516">
        <v>0</v>
      </c>
    </row>
    <row r="517" spans="1:22" x14ac:dyDescent="0.3">
      <c r="A517" t="s">
        <v>928</v>
      </c>
      <c r="B517" t="s">
        <v>54</v>
      </c>
      <c r="C517" t="s">
        <v>109</v>
      </c>
      <c r="D517">
        <v>18</v>
      </c>
      <c r="E517">
        <v>222.66</v>
      </c>
      <c r="F517" t="s">
        <v>36</v>
      </c>
      <c r="G517" t="s">
        <v>24</v>
      </c>
      <c r="H517">
        <v>0.05</v>
      </c>
      <c r="I517" t="s">
        <v>25</v>
      </c>
      <c r="J517">
        <v>3807.49</v>
      </c>
      <c r="K517" t="s">
        <v>57</v>
      </c>
      <c r="L517" t="s">
        <v>58</v>
      </c>
      <c r="M517">
        <v>0</v>
      </c>
      <c r="N517" t="s">
        <v>1557</v>
      </c>
      <c r="O517" t="s">
        <v>1558</v>
      </c>
      <c r="P517">
        <v>12.91</v>
      </c>
      <c r="Q517" s="2">
        <v>45178</v>
      </c>
      <c r="R517" t="s">
        <v>798</v>
      </c>
      <c r="S517" t="s">
        <v>62</v>
      </c>
      <c r="T517" t="s">
        <v>52</v>
      </c>
      <c r="U517">
        <v>3794.58</v>
      </c>
      <c r="V517">
        <v>200.39400000000001</v>
      </c>
    </row>
    <row r="518" spans="1:22" x14ac:dyDescent="0.3">
      <c r="A518" t="s">
        <v>1099</v>
      </c>
      <c r="B518" t="s">
        <v>34</v>
      </c>
      <c r="C518" t="s">
        <v>109</v>
      </c>
      <c r="D518">
        <v>9</v>
      </c>
      <c r="E518">
        <v>543.57000000000005</v>
      </c>
      <c r="F518" t="s">
        <v>55</v>
      </c>
      <c r="G518" t="s">
        <v>37</v>
      </c>
      <c r="H518">
        <v>0.15</v>
      </c>
      <c r="I518" t="s">
        <v>78</v>
      </c>
      <c r="J518">
        <v>4158.3100000000004</v>
      </c>
      <c r="K518" t="s">
        <v>38</v>
      </c>
      <c r="L518" t="s">
        <v>58</v>
      </c>
      <c r="M518">
        <v>0</v>
      </c>
      <c r="N518" t="s">
        <v>1559</v>
      </c>
      <c r="O518" t="s">
        <v>1560</v>
      </c>
      <c r="P518">
        <v>7.54</v>
      </c>
      <c r="Q518" s="2">
        <v>45812</v>
      </c>
      <c r="R518" t="s">
        <v>1561</v>
      </c>
      <c r="S518" t="s">
        <v>42</v>
      </c>
      <c r="T518" t="s">
        <v>105</v>
      </c>
      <c r="U518">
        <v>4150.7700000000004</v>
      </c>
      <c r="V518">
        <v>733.81949999999995</v>
      </c>
    </row>
    <row r="519" spans="1:22" x14ac:dyDescent="0.3">
      <c r="A519" t="s">
        <v>1499</v>
      </c>
      <c r="B519" t="s">
        <v>34</v>
      </c>
      <c r="C519" t="s">
        <v>22</v>
      </c>
      <c r="D519">
        <v>17</v>
      </c>
      <c r="E519">
        <v>141.76</v>
      </c>
      <c r="F519" t="s">
        <v>55</v>
      </c>
      <c r="G519" t="s">
        <v>24</v>
      </c>
      <c r="H519">
        <v>0.1</v>
      </c>
      <c r="I519" t="s">
        <v>94</v>
      </c>
      <c r="J519">
        <v>2168.9299999999998</v>
      </c>
      <c r="K519" t="s">
        <v>47</v>
      </c>
      <c r="L519" t="s">
        <v>27</v>
      </c>
      <c r="M519">
        <v>1</v>
      </c>
      <c r="N519" t="s">
        <v>1562</v>
      </c>
      <c r="O519" t="s">
        <v>1563</v>
      </c>
      <c r="P519">
        <v>9.98</v>
      </c>
      <c r="Q519" s="2">
        <v>45445</v>
      </c>
      <c r="R519" t="s">
        <v>805</v>
      </c>
      <c r="S519" t="s">
        <v>42</v>
      </c>
      <c r="T519" t="s">
        <v>105</v>
      </c>
      <c r="U519">
        <v>2158.9499999999998</v>
      </c>
      <c r="V519">
        <v>240.99200000000002</v>
      </c>
    </row>
    <row r="520" spans="1:22" x14ac:dyDescent="0.3">
      <c r="A520" t="s">
        <v>784</v>
      </c>
      <c r="B520" t="s">
        <v>34</v>
      </c>
      <c r="C520" t="s">
        <v>71</v>
      </c>
      <c r="D520">
        <v>3</v>
      </c>
      <c r="E520">
        <v>464.11</v>
      </c>
      <c r="F520" t="s">
        <v>23</v>
      </c>
      <c r="G520" t="s">
        <v>24</v>
      </c>
      <c r="H520">
        <v>0.15</v>
      </c>
      <c r="I520" t="s">
        <v>25</v>
      </c>
      <c r="J520">
        <v>1183.48</v>
      </c>
      <c r="K520" t="s">
        <v>57</v>
      </c>
      <c r="L520" t="s">
        <v>48</v>
      </c>
      <c r="M520">
        <v>0</v>
      </c>
      <c r="N520" t="s">
        <v>1564</v>
      </c>
      <c r="O520" t="s">
        <v>1565</v>
      </c>
      <c r="P520">
        <v>27.45</v>
      </c>
      <c r="Q520" s="2">
        <v>45117</v>
      </c>
      <c r="R520" t="s">
        <v>1566</v>
      </c>
      <c r="S520" t="s">
        <v>42</v>
      </c>
      <c r="T520" t="s">
        <v>117</v>
      </c>
      <c r="U520">
        <v>1156.03</v>
      </c>
      <c r="V520">
        <v>208.84949999999998</v>
      </c>
    </row>
    <row r="521" spans="1:22" x14ac:dyDescent="0.3">
      <c r="A521" t="s">
        <v>1567</v>
      </c>
      <c r="B521" t="s">
        <v>21</v>
      </c>
      <c r="C521" t="s">
        <v>71</v>
      </c>
      <c r="D521">
        <v>7</v>
      </c>
      <c r="E521">
        <v>82.91</v>
      </c>
      <c r="F521" t="s">
        <v>84</v>
      </c>
      <c r="G521" t="s">
        <v>37</v>
      </c>
      <c r="H521">
        <v>0.05</v>
      </c>
      <c r="I521" t="s">
        <v>65</v>
      </c>
      <c r="J521">
        <v>551.35</v>
      </c>
      <c r="K521" t="s">
        <v>38</v>
      </c>
      <c r="L521" t="s">
        <v>27</v>
      </c>
      <c r="M521">
        <v>1</v>
      </c>
      <c r="N521" t="s">
        <v>1568</v>
      </c>
      <c r="O521" t="s">
        <v>1569</v>
      </c>
      <c r="P521">
        <v>17.03</v>
      </c>
      <c r="Q521" s="2">
        <v>45112</v>
      </c>
      <c r="R521" t="s">
        <v>112</v>
      </c>
      <c r="S521" t="s">
        <v>31</v>
      </c>
      <c r="T521" t="s">
        <v>117</v>
      </c>
      <c r="U521">
        <v>534.32000000000005</v>
      </c>
      <c r="V521">
        <v>29.018500000000003</v>
      </c>
    </row>
    <row r="522" spans="1:22" x14ac:dyDescent="0.3">
      <c r="A522" t="s">
        <v>182</v>
      </c>
      <c r="B522" t="s">
        <v>21</v>
      </c>
      <c r="C522" t="s">
        <v>71</v>
      </c>
      <c r="D522">
        <v>13</v>
      </c>
      <c r="E522">
        <v>468.16</v>
      </c>
      <c r="F522" t="s">
        <v>23</v>
      </c>
      <c r="G522" t="s">
        <v>37</v>
      </c>
      <c r="H522">
        <v>0.15</v>
      </c>
      <c r="I522" t="s">
        <v>25</v>
      </c>
      <c r="J522">
        <v>5173.17</v>
      </c>
      <c r="K522" t="s">
        <v>47</v>
      </c>
      <c r="L522" t="s">
        <v>58</v>
      </c>
      <c r="M522">
        <v>0</v>
      </c>
      <c r="N522" t="s">
        <v>1570</v>
      </c>
      <c r="O522" t="s">
        <v>1571</v>
      </c>
      <c r="P522">
        <v>29.11</v>
      </c>
      <c r="Q522" s="2">
        <v>45272</v>
      </c>
      <c r="R522" t="s">
        <v>529</v>
      </c>
      <c r="S522" t="s">
        <v>31</v>
      </c>
      <c r="T522" t="s">
        <v>76</v>
      </c>
      <c r="U522">
        <v>5144.0600000000004</v>
      </c>
      <c r="V522">
        <v>912.91199999999992</v>
      </c>
    </row>
    <row r="523" spans="1:22" x14ac:dyDescent="0.3">
      <c r="A523" t="s">
        <v>540</v>
      </c>
      <c r="B523" t="s">
        <v>45</v>
      </c>
      <c r="C523" t="s">
        <v>109</v>
      </c>
      <c r="D523">
        <v>3</v>
      </c>
      <c r="E523">
        <v>11.32</v>
      </c>
      <c r="F523" t="s">
        <v>36</v>
      </c>
      <c r="G523" t="s">
        <v>37</v>
      </c>
      <c r="H523">
        <v>0.05</v>
      </c>
      <c r="I523" t="s">
        <v>65</v>
      </c>
      <c r="J523">
        <v>32.26</v>
      </c>
      <c r="K523" t="s">
        <v>26</v>
      </c>
      <c r="L523" t="s">
        <v>27</v>
      </c>
      <c r="M523">
        <v>0</v>
      </c>
      <c r="N523" t="s">
        <v>1572</v>
      </c>
      <c r="O523" t="s">
        <v>1300</v>
      </c>
      <c r="P523">
        <v>16.39</v>
      </c>
      <c r="Q523" s="2">
        <v>45964</v>
      </c>
      <c r="R523" t="s">
        <v>1573</v>
      </c>
      <c r="S523" t="s">
        <v>51</v>
      </c>
      <c r="T523" t="s">
        <v>43</v>
      </c>
      <c r="U523">
        <v>15.869999999999997</v>
      </c>
      <c r="V523">
        <v>1.6980000000000002</v>
      </c>
    </row>
    <row r="524" spans="1:22" x14ac:dyDescent="0.3">
      <c r="A524" t="s">
        <v>301</v>
      </c>
      <c r="B524" t="s">
        <v>34</v>
      </c>
      <c r="C524" t="s">
        <v>109</v>
      </c>
      <c r="D524">
        <v>14</v>
      </c>
      <c r="E524">
        <v>98.06</v>
      </c>
      <c r="F524" t="s">
        <v>84</v>
      </c>
      <c r="G524" t="s">
        <v>24</v>
      </c>
      <c r="H524">
        <v>0.1</v>
      </c>
      <c r="I524" t="s">
        <v>25</v>
      </c>
      <c r="J524">
        <v>1235.56</v>
      </c>
      <c r="K524" t="s">
        <v>38</v>
      </c>
      <c r="L524" t="s">
        <v>58</v>
      </c>
      <c r="M524">
        <v>1</v>
      </c>
      <c r="N524" t="s">
        <v>1574</v>
      </c>
      <c r="O524" t="s">
        <v>1575</v>
      </c>
      <c r="P524">
        <v>10.34</v>
      </c>
      <c r="Q524" s="2">
        <v>45603</v>
      </c>
      <c r="R524" t="s">
        <v>1576</v>
      </c>
      <c r="S524" t="s">
        <v>42</v>
      </c>
      <c r="T524" t="s">
        <v>43</v>
      </c>
      <c r="U524">
        <v>1225.22</v>
      </c>
      <c r="V524">
        <v>137.28400000000002</v>
      </c>
    </row>
    <row r="525" spans="1:22" x14ac:dyDescent="0.3">
      <c r="A525" t="s">
        <v>1577</v>
      </c>
      <c r="B525" t="s">
        <v>54</v>
      </c>
      <c r="C525" t="s">
        <v>100</v>
      </c>
      <c r="D525">
        <v>16</v>
      </c>
      <c r="E525">
        <v>123.86</v>
      </c>
      <c r="F525" t="s">
        <v>84</v>
      </c>
      <c r="G525" t="s">
        <v>24</v>
      </c>
      <c r="H525">
        <v>0.15</v>
      </c>
      <c r="I525" t="s">
        <v>25</v>
      </c>
      <c r="J525">
        <v>1684.5</v>
      </c>
      <c r="K525" t="s">
        <v>57</v>
      </c>
      <c r="L525" t="s">
        <v>48</v>
      </c>
      <c r="M525">
        <v>1</v>
      </c>
      <c r="N525" t="s">
        <v>1578</v>
      </c>
      <c r="O525" t="s">
        <v>1579</v>
      </c>
      <c r="P525">
        <v>18.02</v>
      </c>
      <c r="Q525" s="2">
        <v>45419</v>
      </c>
      <c r="R525" t="s">
        <v>1194</v>
      </c>
      <c r="S525" t="s">
        <v>62</v>
      </c>
      <c r="T525" t="s">
        <v>63</v>
      </c>
      <c r="U525">
        <v>1666.48</v>
      </c>
      <c r="V525">
        <v>297.26400000000001</v>
      </c>
    </row>
    <row r="526" spans="1:22" x14ac:dyDescent="0.3">
      <c r="A526" t="s">
        <v>1113</v>
      </c>
      <c r="B526" t="s">
        <v>34</v>
      </c>
      <c r="C526" t="s">
        <v>127</v>
      </c>
      <c r="D526">
        <v>12</v>
      </c>
      <c r="E526">
        <v>383.45</v>
      </c>
      <c r="F526" t="s">
        <v>36</v>
      </c>
      <c r="G526" t="s">
        <v>37</v>
      </c>
      <c r="H526">
        <v>0</v>
      </c>
      <c r="I526" t="s">
        <v>94</v>
      </c>
      <c r="J526">
        <v>4601.3999999999996</v>
      </c>
      <c r="K526" t="s">
        <v>38</v>
      </c>
      <c r="L526" t="s">
        <v>85</v>
      </c>
      <c r="M526">
        <v>0</v>
      </c>
      <c r="N526" t="s">
        <v>1580</v>
      </c>
      <c r="O526" t="s">
        <v>1581</v>
      </c>
      <c r="P526">
        <v>11.62</v>
      </c>
      <c r="Q526" s="2">
        <v>45363</v>
      </c>
      <c r="R526" t="s">
        <v>1582</v>
      </c>
      <c r="S526" t="s">
        <v>42</v>
      </c>
      <c r="T526" t="s">
        <v>98</v>
      </c>
      <c r="U526">
        <v>4589.78</v>
      </c>
      <c r="V526">
        <v>0</v>
      </c>
    </row>
    <row r="527" spans="1:22" x14ac:dyDescent="0.3">
      <c r="A527" t="s">
        <v>450</v>
      </c>
      <c r="B527" t="s">
        <v>70</v>
      </c>
      <c r="C527" t="s">
        <v>109</v>
      </c>
      <c r="D527">
        <v>20</v>
      </c>
      <c r="E527">
        <v>293.94</v>
      </c>
      <c r="F527" t="s">
        <v>23</v>
      </c>
      <c r="G527" t="s">
        <v>37</v>
      </c>
      <c r="H527">
        <v>0.15</v>
      </c>
      <c r="I527" t="s">
        <v>25</v>
      </c>
      <c r="J527">
        <v>4996.9799999999996</v>
      </c>
      <c r="K527" t="s">
        <v>101</v>
      </c>
      <c r="L527" t="s">
        <v>58</v>
      </c>
      <c r="M527">
        <v>0</v>
      </c>
      <c r="N527" t="s">
        <v>1583</v>
      </c>
      <c r="O527" t="s">
        <v>1584</v>
      </c>
      <c r="P527">
        <v>9.2899999999999991</v>
      </c>
      <c r="Q527" s="2">
        <v>45147</v>
      </c>
      <c r="R527" t="s">
        <v>453</v>
      </c>
      <c r="S527" t="s">
        <v>75</v>
      </c>
      <c r="T527" t="s">
        <v>82</v>
      </c>
      <c r="U527">
        <v>4987.6899999999996</v>
      </c>
      <c r="V527">
        <v>881.82</v>
      </c>
    </row>
    <row r="528" spans="1:22" x14ac:dyDescent="0.3">
      <c r="A528" t="s">
        <v>164</v>
      </c>
      <c r="B528" t="s">
        <v>70</v>
      </c>
      <c r="C528" t="s">
        <v>22</v>
      </c>
      <c r="D528">
        <v>2</v>
      </c>
      <c r="E528">
        <v>454.01</v>
      </c>
      <c r="F528" t="s">
        <v>23</v>
      </c>
      <c r="G528" t="s">
        <v>24</v>
      </c>
      <c r="H528">
        <v>0</v>
      </c>
      <c r="I528" t="s">
        <v>78</v>
      </c>
      <c r="J528">
        <v>908.02</v>
      </c>
      <c r="K528" t="s">
        <v>26</v>
      </c>
      <c r="L528" t="s">
        <v>27</v>
      </c>
      <c r="M528">
        <v>0</v>
      </c>
      <c r="N528" t="s">
        <v>1585</v>
      </c>
      <c r="O528" t="s">
        <v>1586</v>
      </c>
      <c r="P528">
        <v>9.7799999999999994</v>
      </c>
      <c r="Q528" s="2">
        <v>45413</v>
      </c>
      <c r="R528" t="s">
        <v>284</v>
      </c>
      <c r="S528" t="s">
        <v>75</v>
      </c>
      <c r="T528" t="s">
        <v>63</v>
      </c>
      <c r="U528">
        <v>898.24</v>
      </c>
      <c r="V528">
        <v>0</v>
      </c>
    </row>
    <row r="529" spans="1:22" x14ac:dyDescent="0.3">
      <c r="A529" t="s">
        <v>1587</v>
      </c>
      <c r="B529" t="s">
        <v>34</v>
      </c>
      <c r="C529" t="s">
        <v>35</v>
      </c>
      <c r="D529">
        <v>5</v>
      </c>
      <c r="E529">
        <v>163.55000000000001</v>
      </c>
      <c r="F529" t="s">
        <v>55</v>
      </c>
      <c r="G529" t="s">
        <v>37</v>
      </c>
      <c r="H529">
        <v>0.05</v>
      </c>
      <c r="I529" t="s">
        <v>56</v>
      </c>
      <c r="J529">
        <v>776.86</v>
      </c>
      <c r="K529" t="s">
        <v>47</v>
      </c>
      <c r="L529" t="s">
        <v>48</v>
      </c>
      <c r="M529">
        <v>0</v>
      </c>
      <c r="N529" t="s">
        <v>1588</v>
      </c>
      <c r="O529" t="s">
        <v>1589</v>
      </c>
      <c r="P529">
        <v>28.9</v>
      </c>
      <c r="Q529" s="2">
        <v>44993</v>
      </c>
      <c r="R529" t="s">
        <v>139</v>
      </c>
      <c r="S529" t="s">
        <v>42</v>
      </c>
      <c r="T529" t="s">
        <v>98</v>
      </c>
      <c r="U529">
        <v>747.96</v>
      </c>
      <c r="V529">
        <v>40.887500000000003</v>
      </c>
    </row>
    <row r="530" spans="1:22" x14ac:dyDescent="0.3">
      <c r="A530" t="s">
        <v>573</v>
      </c>
      <c r="B530" t="s">
        <v>21</v>
      </c>
      <c r="C530" t="s">
        <v>127</v>
      </c>
      <c r="D530">
        <v>12</v>
      </c>
      <c r="E530">
        <v>141.61000000000001</v>
      </c>
      <c r="F530" t="s">
        <v>23</v>
      </c>
      <c r="G530" t="s">
        <v>24</v>
      </c>
      <c r="H530">
        <v>0</v>
      </c>
      <c r="I530" t="s">
        <v>56</v>
      </c>
      <c r="J530">
        <v>1699.32</v>
      </c>
      <c r="K530" t="s">
        <v>101</v>
      </c>
      <c r="L530" t="s">
        <v>27</v>
      </c>
      <c r="M530">
        <v>0</v>
      </c>
      <c r="N530" t="s">
        <v>1590</v>
      </c>
      <c r="O530" t="s">
        <v>1591</v>
      </c>
      <c r="P530">
        <v>11.72</v>
      </c>
      <c r="Q530" s="2">
        <v>45963</v>
      </c>
      <c r="R530" t="s">
        <v>1592</v>
      </c>
      <c r="S530" t="s">
        <v>31</v>
      </c>
      <c r="T530" t="s">
        <v>43</v>
      </c>
      <c r="U530">
        <v>1687.6</v>
      </c>
      <c r="V530">
        <v>0</v>
      </c>
    </row>
    <row r="531" spans="1:22" x14ac:dyDescent="0.3">
      <c r="A531" t="s">
        <v>879</v>
      </c>
      <c r="B531" t="s">
        <v>45</v>
      </c>
      <c r="C531" t="s">
        <v>127</v>
      </c>
      <c r="D531">
        <v>14</v>
      </c>
      <c r="E531">
        <v>463.96</v>
      </c>
      <c r="F531" t="s">
        <v>55</v>
      </c>
      <c r="G531" t="s">
        <v>37</v>
      </c>
      <c r="H531">
        <v>0.15</v>
      </c>
      <c r="I531" t="s">
        <v>78</v>
      </c>
      <c r="J531">
        <v>5521.12</v>
      </c>
      <c r="K531" t="s">
        <v>57</v>
      </c>
      <c r="L531" t="s">
        <v>48</v>
      </c>
      <c r="M531">
        <v>0</v>
      </c>
      <c r="N531" t="s">
        <v>1593</v>
      </c>
      <c r="O531" t="s">
        <v>1594</v>
      </c>
      <c r="P531">
        <v>29.19</v>
      </c>
      <c r="Q531" s="2">
        <v>45414</v>
      </c>
      <c r="R531" t="s">
        <v>805</v>
      </c>
      <c r="S531" t="s">
        <v>51</v>
      </c>
      <c r="T531" t="s">
        <v>63</v>
      </c>
      <c r="U531">
        <v>5491.93</v>
      </c>
      <c r="V531">
        <v>974.31599999999992</v>
      </c>
    </row>
    <row r="532" spans="1:22" x14ac:dyDescent="0.3">
      <c r="A532" t="s">
        <v>876</v>
      </c>
      <c r="B532" t="s">
        <v>45</v>
      </c>
      <c r="C532" t="s">
        <v>100</v>
      </c>
      <c r="D532">
        <v>8</v>
      </c>
      <c r="E532">
        <v>27.01</v>
      </c>
      <c r="F532" t="s">
        <v>36</v>
      </c>
      <c r="G532" t="s">
        <v>24</v>
      </c>
      <c r="H532">
        <v>0.05</v>
      </c>
      <c r="I532" t="s">
        <v>65</v>
      </c>
      <c r="J532">
        <v>205.28</v>
      </c>
      <c r="K532" t="s">
        <v>26</v>
      </c>
      <c r="L532" t="s">
        <v>85</v>
      </c>
      <c r="M532">
        <v>1</v>
      </c>
      <c r="N532" t="s">
        <v>1595</v>
      </c>
      <c r="O532" t="s">
        <v>1596</v>
      </c>
      <c r="P532">
        <v>42.65</v>
      </c>
      <c r="Q532" s="2">
        <v>45353</v>
      </c>
      <c r="R532" t="s">
        <v>633</v>
      </c>
      <c r="S532" t="s">
        <v>51</v>
      </c>
      <c r="T532" t="s">
        <v>98</v>
      </c>
      <c r="U532">
        <v>162.63</v>
      </c>
      <c r="V532">
        <v>10.804000000000002</v>
      </c>
    </row>
    <row r="533" spans="1:22" x14ac:dyDescent="0.3">
      <c r="A533" t="s">
        <v>652</v>
      </c>
      <c r="B533" t="s">
        <v>45</v>
      </c>
      <c r="C533" t="s">
        <v>140</v>
      </c>
      <c r="D533">
        <v>4</v>
      </c>
      <c r="E533">
        <v>306.06</v>
      </c>
      <c r="F533" t="s">
        <v>36</v>
      </c>
      <c r="G533" t="s">
        <v>24</v>
      </c>
      <c r="H533">
        <v>0.05</v>
      </c>
      <c r="I533" t="s">
        <v>46</v>
      </c>
      <c r="J533">
        <v>1163.03</v>
      </c>
      <c r="K533" t="s">
        <v>57</v>
      </c>
      <c r="L533" t="s">
        <v>58</v>
      </c>
      <c r="M533">
        <v>1</v>
      </c>
      <c r="N533" t="s">
        <v>1597</v>
      </c>
      <c r="O533" t="s">
        <v>1598</v>
      </c>
      <c r="P533">
        <v>32.75</v>
      </c>
      <c r="Q533" s="2">
        <v>45208</v>
      </c>
      <c r="R533" t="s">
        <v>1042</v>
      </c>
      <c r="S533" t="s">
        <v>51</v>
      </c>
      <c r="T533" t="s">
        <v>32</v>
      </c>
      <c r="U533">
        <v>1130.28</v>
      </c>
      <c r="V533">
        <v>61.212000000000003</v>
      </c>
    </row>
    <row r="534" spans="1:22" x14ac:dyDescent="0.3">
      <c r="A534" t="s">
        <v>1599</v>
      </c>
      <c r="B534" t="s">
        <v>54</v>
      </c>
      <c r="C534" t="s">
        <v>109</v>
      </c>
      <c r="D534">
        <v>7</v>
      </c>
      <c r="E534">
        <v>180.25</v>
      </c>
      <c r="F534" t="s">
        <v>55</v>
      </c>
      <c r="G534" t="s">
        <v>37</v>
      </c>
      <c r="H534">
        <v>0.1</v>
      </c>
      <c r="I534" t="s">
        <v>78</v>
      </c>
      <c r="J534">
        <v>1135.58</v>
      </c>
      <c r="K534" t="s">
        <v>57</v>
      </c>
      <c r="L534" t="s">
        <v>27</v>
      </c>
      <c r="M534">
        <v>0</v>
      </c>
      <c r="N534" t="s">
        <v>1600</v>
      </c>
      <c r="O534" t="s">
        <v>1601</v>
      </c>
      <c r="P534">
        <v>36.79</v>
      </c>
      <c r="Q534" s="2">
        <v>45359</v>
      </c>
      <c r="R534" t="s">
        <v>362</v>
      </c>
      <c r="S534" t="s">
        <v>62</v>
      </c>
      <c r="T534" t="s">
        <v>98</v>
      </c>
      <c r="U534">
        <v>1098.79</v>
      </c>
      <c r="V534">
        <v>126.17500000000001</v>
      </c>
    </row>
    <row r="535" spans="1:22" x14ac:dyDescent="0.3">
      <c r="A535" t="s">
        <v>904</v>
      </c>
      <c r="B535" t="s">
        <v>21</v>
      </c>
      <c r="C535" t="s">
        <v>127</v>
      </c>
      <c r="D535">
        <v>1</v>
      </c>
      <c r="E535">
        <v>21.75</v>
      </c>
      <c r="F535" t="s">
        <v>36</v>
      </c>
      <c r="G535" t="s">
        <v>37</v>
      </c>
      <c r="H535">
        <v>0</v>
      </c>
      <c r="I535" t="s">
        <v>25</v>
      </c>
      <c r="J535">
        <v>21.75</v>
      </c>
      <c r="K535" t="s">
        <v>47</v>
      </c>
      <c r="L535" t="s">
        <v>85</v>
      </c>
      <c r="M535">
        <v>0</v>
      </c>
      <c r="N535" t="s">
        <v>1602</v>
      </c>
      <c r="O535" t="s">
        <v>1603</v>
      </c>
      <c r="P535">
        <v>7.35</v>
      </c>
      <c r="Q535" s="2">
        <v>45782</v>
      </c>
      <c r="R535" t="s">
        <v>907</v>
      </c>
      <c r="S535" t="s">
        <v>31</v>
      </c>
      <c r="T535" t="s">
        <v>63</v>
      </c>
      <c r="U535">
        <v>14.4</v>
      </c>
      <c r="V535">
        <v>0</v>
      </c>
    </row>
    <row r="536" spans="1:22" x14ac:dyDescent="0.3">
      <c r="A536" t="s">
        <v>320</v>
      </c>
      <c r="B536" t="s">
        <v>54</v>
      </c>
      <c r="C536" t="s">
        <v>109</v>
      </c>
      <c r="D536">
        <v>13</v>
      </c>
      <c r="E536">
        <v>149.16</v>
      </c>
      <c r="F536" t="s">
        <v>36</v>
      </c>
      <c r="G536" t="s">
        <v>37</v>
      </c>
      <c r="H536">
        <v>0.1</v>
      </c>
      <c r="I536" t="s">
        <v>65</v>
      </c>
      <c r="J536">
        <v>1745.17</v>
      </c>
      <c r="K536" t="s">
        <v>47</v>
      </c>
      <c r="L536" t="s">
        <v>48</v>
      </c>
      <c r="M536">
        <v>1</v>
      </c>
      <c r="N536" t="s">
        <v>1604</v>
      </c>
      <c r="O536" t="s">
        <v>1605</v>
      </c>
      <c r="P536">
        <v>20.9</v>
      </c>
      <c r="Q536" s="2">
        <v>45140</v>
      </c>
      <c r="R536" t="s">
        <v>323</v>
      </c>
      <c r="S536" t="s">
        <v>62</v>
      </c>
      <c r="T536" t="s">
        <v>82</v>
      </c>
      <c r="U536">
        <v>1724.27</v>
      </c>
      <c r="V536">
        <v>193.90800000000002</v>
      </c>
    </row>
    <row r="537" spans="1:22" x14ac:dyDescent="0.3">
      <c r="A537" t="s">
        <v>751</v>
      </c>
      <c r="B537" t="s">
        <v>21</v>
      </c>
      <c r="C537" t="s">
        <v>127</v>
      </c>
      <c r="D537">
        <v>20</v>
      </c>
      <c r="E537">
        <v>440.32</v>
      </c>
      <c r="F537" t="s">
        <v>36</v>
      </c>
      <c r="G537" t="s">
        <v>37</v>
      </c>
      <c r="H537">
        <v>0.05</v>
      </c>
      <c r="I537" t="s">
        <v>25</v>
      </c>
      <c r="J537">
        <v>8366.08</v>
      </c>
      <c r="K537" t="s">
        <v>38</v>
      </c>
      <c r="L537" t="s">
        <v>58</v>
      </c>
      <c r="M537">
        <v>1</v>
      </c>
      <c r="N537" t="s">
        <v>1606</v>
      </c>
      <c r="O537" t="s">
        <v>1607</v>
      </c>
      <c r="P537">
        <v>6.17</v>
      </c>
      <c r="Q537" s="2">
        <v>45809</v>
      </c>
      <c r="R537" t="s">
        <v>1040</v>
      </c>
      <c r="S537" t="s">
        <v>31</v>
      </c>
      <c r="T537" t="s">
        <v>105</v>
      </c>
      <c r="U537">
        <v>8359.91</v>
      </c>
      <c r="V537">
        <v>440.32</v>
      </c>
    </row>
    <row r="538" spans="1:22" x14ac:dyDescent="0.3">
      <c r="A538" t="s">
        <v>1205</v>
      </c>
      <c r="B538" t="s">
        <v>34</v>
      </c>
      <c r="C538" t="s">
        <v>71</v>
      </c>
      <c r="D538">
        <v>17</v>
      </c>
      <c r="E538">
        <v>311.61</v>
      </c>
      <c r="F538" t="s">
        <v>84</v>
      </c>
      <c r="G538" t="s">
        <v>37</v>
      </c>
      <c r="H538">
        <v>0.05</v>
      </c>
      <c r="I538" t="s">
        <v>65</v>
      </c>
      <c r="J538">
        <v>5032.5</v>
      </c>
      <c r="K538" t="s">
        <v>26</v>
      </c>
      <c r="L538" t="s">
        <v>48</v>
      </c>
      <c r="M538">
        <v>1</v>
      </c>
      <c r="N538" t="s">
        <v>1608</v>
      </c>
      <c r="O538" t="s">
        <v>1609</v>
      </c>
      <c r="P538">
        <v>29.9</v>
      </c>
      <c r="Q538" s="2">
        <v>45600</v>
      </c>
      <c r="R538" t="s">
        <v>68</v>
      </c>
      <c r="S538" t="s">
        <v>42</v>
      </c>
      <c r="T538" t="s">
        <v>43</v>
      </c>
      <c r="U538">
        <v>5002.6000000000004</v>
      </c>
      <c r="V538">
        <v>264.86849999999998</v>
      </c>
    </row>
    <row r="539" spans="1:22" x14ac:dyDescent="0.3">
      <c r="A539" t="s">
        <v>751</v>
      </c>
      <c r="B539" t="s">
        <v>21</v>
      </c>
      <c r="C539" t="s">
        <v>140</v>
      </c>
      <c r="D539">
        <v>13</v>
      </c>
      <c r="E539">
        <v>483.63</v>
      </c>
      <c r="F539" t="s">
        <v>84</v>
      </c>
      <c r="G539" t="s">
        <v>37</v>
      </c>
      <c r="H539">
        <v>0.05</v>
      </c>
      <c r="I539" t="s">
        <v>46</v>
      </c>
      <c r="J539">
        <v>5972.83</v>
      </c>
      <c r="K539" t="s">
        <v>47</v>
      </c>
      <c r="L539" t="s">
        <v>85</v>
      </c>
      <c r="M539">
        <v>0</v>
      </c>
      <c r="N539" t="s">
        <v>1610</v>
      </c>
      <c r="O539" t="s">
        <v>1611</v>
      </c>
      <c r="P539">
        <v>18.22</v>
      </c>
      <c r="Q539" s="2">
        <v>45809</v>
      </c>
      <c r="R539" t="s">
        <v>1612</v>
      </c>
      <c r="S539" t="s">
        <v>31</v>
      </c>
      <c r="T539" t="s">
        <v>105</v>
      </c>
      <c r="U539">
        <v>5954.61</v>
      </c>
      <c r="V539">
        <v>314.35950000000003</v>
      </c>
    </row>
    <row r="540" spans="1:22" x14ac:dyDescent="0.3">
      <c r="A540" t="s">
        <v>802</v>
      </c>
      <c r="B540" t="s">
        <v>70</v>
      </c>
      <c r="C540" t="s">
        <v>140</v>
      </c>
      <c r="D540">
        <v>10</v>
      </c>
      <c r="E540">
        <v>452.21</v>
      </c>
      <c r="F540" t="s">
        <v>84</v>
      </c>
      <c r="G540" t="s">
        <v>37</v>
      </c>
      <c r="H540">
        <v>0.1</v>
      </c>
      <c r="I540" t="s">
        <v>65</v>
      </c>
      <c r="J540">
        <v>4069.89</v>
      </c>
      <c r="K540" t="s">
        <v>47</v>
      </c>
      <c r="L540" t="s">
        <v>27</v>
      </c>
      <c r="M540">
        <v>0</v>
      </c>
      <c r="N540" t="s">
        <v>1613</v>
      </c>
      <c r="O540" t="s">
        <v>1614</v>
      </c>
      <c r="P540">
        <v>15.87</v>
      </c>
      <c r="Q540" s="2">
        <v>45475</v>
      </c>
      <c r="R540" t="s">
        <v>1554</v>
      </c>
      <c r="S540" t="s">
        <v>75</v>
      </c>
      <c r="T540" t="s">
        <v>117</v>
      </c>
      <c r="U540">
        <v>4054.02</v>
      </c>
      <c r="V540">
        <v>452.21</v>
      </c>
    </row>
    <row r="541" spans="1:22" x14ac:dyDescent="0.3">
      <c r="A541" t="s">
        <v>1615</v>
      </c>
      <c r="B541" t="s">
        <v>70</v>
      </c>
      <c r="C541" t="s">
        <v>140</v>
      </c>
      <c r="D541">
        <v>4</v>
      </c>
      <c r="E541">
        <v>248.16</v>
      </c>
      <c r="F541" t="s">
        <v>23</v>
      </c>
      <c r="G541" t="s">
        <v>37</v>
      </c>
      <c r="H541">
        <v>0.1</v>
      </c>
      <c r="I541" t="s">
        <v>78</v>
      </c>
      <c r="J541">
        <v>893.38</v>
      </c>
      <c r="K541" t="s">
        <v>101</v>
      </c>
      <c r="L541" t="s">
        <v>48</v>
      </c>
      <c r="M541">
        <v>1</v>
      </c>
      <c r="N541" t="s">
        <v>1616</v>
      </c>
      <c r="O541" t="s">
        <v>1617</v>
      </c>
      <c r="P541">
        <v>45.11</v>
      </c>
      <c r="Q541" s="2">
        <v>44963</v>
      </c>
      <c r="R541" t="s">
        <v>1126</v>
      </c>
      <c r="S541" t="s">
        <v>75</v>
      </c>
      <c r="T541" t="s">
        <v>199</v>
      </c>
      <c r="U541">
        <v>848.27</v>
      </c>
      <c r="V541">
        <v>99.26400000000001</v>
      </c>
    </row>
    <row r="542" spans="1:22" x14ac:dyDescent="0.3">
      <c r="A542" t="s">
        <v>1116</v>
      </c>
      <c r="B542" t="s">
        <v>34</v>
      </c>
      <c r="C542" t="s">
        <v>35</v>
      </c>
      <c r="D542">
        <v>11</v>
      </c>
      <c r="E542">
        <v>571.07000000000005</v>
      </c>
      <c r="F542" t="s">
        <v>84</v>
      </c>
      <c r="G542" t="s">
        <v>37</v>
      </c>
      <c r="H542">
        <v>0</v>
      </c>
      <c r="I542" t="s">
        <v>56</v>
      </c>
      <c r="J542">
        <v>6281.77</v>
      </c>
      <c r="K542" t="s">
        <v>57</v>
      </c>
      <c r="L542" t="s">
        <v>58</v>
      </c>
      <c r="M542">
        <v>0</v>
      </c>
      <c r="N542" t="s">
        <v>1618</v>
      </c>
      <c r="O542" t="s">
        <v>1619</v>
      </c>
      <c r="P542">
        <v>12.6</v>
      </c>
      <c r="Q542" s="2">
        <v>45455</v>
      </c>
      <c r="R542" t="s">
        <v>1620</v>
      </c>
      <c r="S542" t="s">
        <v>42</v>
      </c>
      <c r="T542" t="s">
        <v>105</v>
      </c>
      <c r="U542">
        <v>6269.17</v>
      </c>
      <c r="V542">
        <v>0</v>
      </c>
    </row>
    <row r="543" spans="1:22" x14ac:dyDescent="0.3">
      <c r="A543" t="s">
        <v>240</v>
      </c>
      <c r="B543" t="s">
        <v>70</v>
      </c>
      <c r="C543" t="s">
        <v>109</v>
      </c>
      <c r="D543">
        <v>11</v>
      </c>
      <c r="E543">
        <v>65.569999999999993</v>
      </c>
      <c r="F543" t="s">
        <v>55</v>
      </c>
      <c r="G543" t="s">
        <v>37</v>
      </c>
      <c r="H543">
        <v>0.1</v>
      </c>
      <c r="I543" t="s">
        <v>78</v>
      </c>
      <c r="J543">
        <v>649.14</v>
      </c>
      <c r="K543" t="s">
        <v>38</v>
      </c>
      <c r="L543" t="s">
        <v>58</v>
      </c>
      <c r="M543">
        <v>1</v>
      </c>
      <c r="N543" t="s">
        <v>1621</v>
      </c>
      <c r="O543" t="s">
        <v>1622</v>
      </c>
      <c r="P543">
        <v>30.43</v>
      </c>
      <c r="Q543" s="2">
        <v>45150</v>
      </c>
      <c r="R543" t="s">
        <v>1623</v>
      </c>
      <c r="S543" t="s">
        <v>75</v>
      </c>
      <c r="T543" t="s">
        <v>82</v>
      </c>
      <c r="U543">
        <v>618.71</v>
      </c>
      <c r="V543">
        <v>72.126999999999995</v>
      </c>
    </row>
    <row r="544" spans="1:22" x14ac:dyDescent="0.3">
      <c r="A544" t="s">
        <v>1032</v>
      </c>
      <c r="B544" t="s">
        <v>34</v>
      </c>
      <c r="C544" t="s">
        <v>109</v>
      </c>
      <c r="D544">
        <v>4</v>
      </c>
      <c r="E544">
        <v>397.02</v>
      </c>
      <c r="F544" t="s">
        <v>84</v>
      </c>
      <c r="G544" t="s">
        <v>24</v>
      </c>
      <c r="H544">
        <v>0</v>
      </c>
      <c r="I544" t="s">
        <v>56</v>
      </c>
      <c r="J544">
        <v>1588.08</v>
      </c>
      <c r="K544" t="s">
        <v>47</v>
      </c>
      <c r="L544" t="s">
        <v>85</v>
      </c>
      <c r="M544">
        <v>0</v>
      </c>
      <c r="N544" t="s">
        <v>1624</v>
      </c>
      <c r="O544" t="s">
        <v>1625</v>
      </c>
      <c r="P544">
        <v>23.25</v>
      </c>
      <c r="Q544" s="2">
        <v>45265</v>
      </c>
      <c r="R544" t="s">
        <v>1112</v>
      </c>
      <c r="S544" t="s">
        <v>42</v>
      </c>
      <c r="T544" t="s">
        <v>76</v>
      </c>
      <c r="U544">
        <v>1564.83</v>
      </c>
      <c r="V544">
        <v>0</v>
      </c>
    </row>
    <row r="545" spans="1:22" x14ac:dyDescent="0.3">
      <c r="A545" t="s">
        <v>83</v>
      </c>
      <c r="B545" t="s">
        <v>21</v>
      </c>
      <c r="C545" t="s">
        <v>71</v>
      </c>
      <c r="D545">
        <v>13</v>
      </c>
      <c r="E545">
        <v>169.39</v>
      </c>
      <c r="F545" t="s">
        <v>23</v>
      </c>
      <c r="G545" t="s">
        <v>24</v>
      </c>
      <c r="H545">
        <v>0.15</v>
      </c>
      <c r="I545" t="s">
        <v>78</v>
      </c>
      <c r="J545">
        <v>1871.76</v>
      </c>
      <c r="K545" t="s">
        <v>101</v>
      </c>
      <c r="L545" t="s">
        <v>48</v>
      </c>
      <c r="M545">
        <v>0</v>
      </c>
      <c r="N545" t="s">
        <v>1626</v>
      </c>
      <c r="O545" t="s">
        <v>1627</v>
      </c>
      <c r="P545">
        <v>6.81</v>
      </c>
      <c r="Q545" s="2">
        <v>45966</v>
      </c>
      <c r="R545" t="s">
        <v>259</v>
      </c>
      <c r="S545" t="s">
        <v>31</v>
      </c>
      <c r="T545" t="s">
        <v>43</v>
      </c>
      <c r="U545">
        <v>1864.95</v>
      </c>
      <c r="V545">
        <v>330.31049999999993</v>
      </c>
    </row>
    <row r="546" spans="1:22" x14ac:dyDescent="0.3">
      <c r="A546" t="s">
        <v>711</v>
      </c>
      <c r="B546" t="s">
        <v>34</v>
      </c>
      <c r="C546" t="s">
        <v>140</v>
      </c>
      <c r="D546">
        <v>2</v>
      </c>
      <c r="E546">
        <v>250.98</v>
      </c>
      <c r="F546" t="s">
        <v>23</v>
      </c>
      <c r="G546" t="s">
        <v>24</v>
      </c>
      <c r="H546">
        <v>0.1</v>
      </c>
      <c r="I546" t="s">
        <v>65</v>
      </c>
      <c r="J546">
        <v>451.76</v>
      </c>
      <c r="K546" t="s">
        <v>26</v>
      </c>
      <c r="L546" t="s">
        <v>27</v>
      </c>
      <c r="M546">
        <v>0</v>
      </c>
      <c r="N546" t="s">
        <v>1628</v>
      </c>
      <c r="O546" t="s">
        <v>1629</v>
      </c>
      <c r="P546">
        <v>18.8</v>
      </c>
      <c r="Q546" s="2">
        <v>45328</v>
      </c>
      <c r="R546" t="s">
        <v>368</v>
      </c>
      <c r="S546" t="s">
        <v>42</v>
      </c>
      <c r="T546" t="s">
        <v>199</v>
      </c>
      <c r="U546">
        <v>432.96</v>
      </c>
      <c r="V546">
        <v>50.195999999999998</v>
      </c>
    </row>
    <row r="547" spans="1:22" x14ac:dyDescent="0.3">
      <c r="A547" t="s">
        <v>1630</v>
      </c>
      <c r="B547" t="s">
        <v>54</v>
      </c>
      <c r="C547" t="s">
        <v>22</v>
      </c>
      <c r="D547">
        <v>15</v>
      </c>
      <c r="E547">
        <v>166.24</v>
      </c>
      <c r="F547" t="s">
        <v>55</v>
      </c>
      <c r="G547" t="s">
        <v>24</v>
      </c>
      <c r="H547">
        <v>0.1</v>
      </c>
      <c r="I547" t="s">
        <v>78</v>
      </c>
      <c r="J547">
        <v>2244.2399999999998</v>
      </c>
      <c r="K547" t="s">
        <v>38</v>
      </c>
      <c r="L547" t="s">
        <v>58</v>
      </c>
      <c r="M547">
        <v>0</v>
      </c>
      <c r="N547" t="s">
        <v>1631</v>
      </c>
      <c r="O547" t="s">
        <v>1632</v>
      </c>
      <c r="P547">
        <v>9.86</v>
      </c>
      <c r="Q547" s="2">
        <v>44960</v>
      </c>
      <c r="R547" t="s">
        <v>934</v>
      </c>
      <c r="S547" t="s">
        <v>62</v>
      </c>
      <c r="T547" t="s">
        <v>199</v>
      </c>
      <c r="U547">
        <v>2234.3799999999997</v>
      </c>
      <c r="V547">
        <v>249.36000000000004</v>
      </c>
    </row>
    <row r="548" spans="1:22" x14ac:dyDescent="0.3">
      <c r="A548" t="s">
        <v>729</v>
      </c>
      <c r="B548" t="s">
        <v>21</v>
      </c>
      <c r="C548" t="s">
        <v>35</v>
      </c>
      <c r="D548">
        <v>5</v>
      </c>
      <c r="E548">
        <v>473.28</v>
      </c>
      <c r="F548" t="s">
        <v>84</v>
      </c>
      <c r="G548" t="s">
        <v>37</v>
      </c>
      <c r="H548">
        <v>0</v>
      </c>
      <c r="I548" t="s">
        <v>78</v>
      </c>
      <c r="J548">
        <v>2366.4</v>
      </c>
      <c r="K548" t="s">
        <v>101</v>
      </c>
      <c r="L548" t="s">
        <v>58</v>
      </c>
      <c r="M548">
        <v>1</v>
      </c>
      <c r="N548" t="s">
        <v>1633</v>
      </c>
      <c r="O548" t="s">
        <v>1634</v>
      </c>
      <c r="P548">
        <v>30.69</v>
      </c>
      <c r="Q548" s="2">
        <v>45418</v>
      </c>
      <c r="R548" t="s">
        <v>1313</v>
      </c>
      <c r="S548" t="s">
        <v>31</v>
      </c>
      <c r="T548" t="s">
        <v>63</v>
      </c>
      <c r="U548">
        <v>2335.71</v>
      </c>
      <c r="V548">
        <v>0</v>
      </c>
    </row>
    <row r="549" spans="1:22" x14ac:dyDescent="0.3">
      <c r="A549" t="s">
        <v>715</v>
      </c>
      <c r="B549" t="s">
        <v>21</v>
      </c>
      <c r="C549" t="s">
        <v>35</v>
      </c>
      <c r="D549">
        <v>16</v>
      </c>
      <c r="E549">
        <v>401.83</v>
      </c>
      <c r="F549" t="s">
        <v>23</v>
      </c>
      <c r="G549" t="s">
        <v>37</v>
      </c>
      <c r="H549">
        <v>0</v>
      </c>
      <c r="I549" t="s">
        <v>65</v>
      </c>
      <c r="J549">
        <v>6429.28</v>
      </c>
      <c r="K549" t="s">
        <v>47</v>
      </c>
      <c r="L549" t="s">
        <v>85</v>
      </c>
      <c r="M549">
        <v>0</v>
      </c>
      <c r="N549" t="s">
        <v>1635</v>
      </c>
      <c r="O549" t="s">
        <v>839</v>
      </c>
      <c r="P549">
        <v>21.54</v>
      </c>
      <c r="Q549" s="2">
        <v>45300</v>
      </c>
      <c r="R549" t="s">
        <v>718</v>
      </c>
      <c r="S549" t="s">
        <v>31</v>
      </c>
      <c r="T549" t="s">
        <v>187</v>
      </c>
      <c r="U549">
        <v>6407.74</v>
      </c>
      <c r="V549">
        <v>0</v>
      </c>
    </row>
    <row r="550" spans="1:22" x14ac:dyDescent="0.3">
      <c r="A550" t="s">
        <v>719</v>
      </c>
      <c r="B550" t="s">
        <v>21</v>
      </c>
      <c r="C550" t="s">
        <v>22</v>
      </c>
      <c r="D550">
        <v>4</v>
      </c>
      <c r="E550">
        <v>323.02</v>
      </c>
      <c r="F550" t="s">
        <v>36</v>
      </c>
      <c r="G550" t="s">
        <v>37</v>
      </c>
      <c r="H550">
        <v>0.05</v>
      </c>
      <c r="I550" t="s">
        <v>78</v>
      </c>
      <c r="J550">
        <v>1227.48</v>
      </c>
      <c r="K550" t="s">
        <v>47</v>
      </c>
      <c r="L550" t="s">
        <v>48</v>
      </c>
      <c r="M550">
        <v>0</v>
      </c>
      <c r="N550" t="s">
        <v>1636</v>
      </c>
      <c r="O550" t="s">
        <v>1637</v>
      </c>
      <c r="P550">
        <v>19.53</v>
      </c>
      <c r="Q550" s="2">
        <v>45962</v>
      </c>
      <c r="R550" t="s">
        <v>1040</v>
      </c>
      <c r="S550" t="s">
        <v>31</v>
      </c>
      <c r="T550" t="s">
        <v>43</v>
      </c>
      <c r="U550">
        <v>1207.95</v>
      </c>
      <c r="V550">
        <v>64.603999999999999</v>
      </c>
    </row>
    <row r="551" spans="1:22" x14ac:dyDescent="0.3">
      <c r="A551" t="s">
        <v>1638</v>
      </c>
      <c r="B551" t="s">
        <v>54</v>
      </c>
      <c r="C551" t="s">
        <v>127</v>
      </c>
      <c r="D551">
        <v>15</v>
      </c>
      <c r="E551">
        <v>439.89</v>
      </c>
      <c r="F551" t="s">
        <v>55</v>
      </c>
      <c r="G551" t="s">
        <v>37</v>
      </c>
      <c r="H551">
        <v>0.15</v>
      </c>
      <c r="I551" t="s">
        <v>78</v>
      </c>
      <c r="J551">
        <v>5608.6</v>
      </c>
      <c r="K551" t="s">
        <v>26</v>
      </c>
      <c r="L551" t="s">
        <v>85</v>
      </c>
      <c r="M551">
        <v>0</v>
      </c>
      <c r="N551" t="s">
        <v>1639</v>
      </c>
      <c r="O551" t="s">
        <v>1640</v>
      </c>
      <c r="P551">
        <v>49.71</v>
      </c>
      <c r="Q551" s="2">
        <v>45017</v>
      </c>
      <c r="R551" t="s">
        <v>276</v>
      </c>
      <c r="S551" t="s">
        <v>62</v>
      </c>
      <c r="T551" t="s">
        <v>147</v>
      </c>
      <c r="U551">
        <v>5558.89</v>
      </c>
      <c r="V551">
        <v>989.75249999999983</v>
      </c>
    </row>
    <row r="552" spans="1:22" x14ac:dyDescent="0.3">
      <c r="A552" t="s">
        <v>405</v>
      </c>
      <c r="B552" t="s">
        <v>54</v>
      </c>
      <c r="C552" t="s">
        <v>127</v>
      </c>
      <c r="D552">
        <v>16</v>
      </c>
      <c r="E552">
        <v>483.09</v>
      </c>
      <c r="F552" t="s">
        <v>36</v>
      </c>
      <c r="G552" t="s">
        <v>24</v>
      </c>
      <c r="H552">
        <v>0.05</v>
      </c>
      <c r="I552" t="s">
        <v>25</v>
      </c>
      <c r="J552">
        <v>7342.97</v>
      </c>
      <c r="K552" t="s">
        <v>38</v>
      </c>
      <c r="L552" t="s">
        <v>48</v>
      </c>
      <c r="M552">
        <v>1</v>
      </c>
      <c r="N552" t="s">
        <v>1641</v>
      </c>
      <c r="O552" t="s">
        <v>1496</v>
      </c>
      <c r="P552">
        <v>37.659999999999997</v>
      </c>
      <c r="Q552" s="2">
        <v>44962</v>
      </c>
      <c r="R552" t="s">
        <v>1121</v>
      </c>
      <c r="S552" t="s">
        <v>62</v>
      </c>
      <c r="T552" t="s">
        <v>199</v>
      </c>
      <c r="U552">
        <v>7305.31</v>
      </c>
      <c r="V552">
        <v>386.47199999999998</v>
      </c>
    </row>
    <row r="553" spans="1:22" x14ac:dyDescent="0.3">
      <c r="A553" t="s">
        <v>763</v>
      </c>
      <c r="B553" t="s">
        <v>70</v>
      </c>
      <c r="C553" t="s">
        <v>71</v>
      </c>
      <c r="D553">
        <v>13</v>
      </c>
      <c r="E553">
        <v>27.39</v>
      </c>
      <c r="F553" t="s">
        <v>23</v>
      </c>
      <c r="G553" t="s">
        <v>37</v>
      </c>
      <c r="H553">
        <v>0.15</v>
      </c>
      <c r="I553" t="s">
        <v>56</v>
      </c>
      <c r="J553">
        <v>302.66000000000003</v>
      </c>
      <c r="K553" t="s">
        <v>47</v>
      </c>
      <c r="L553" t="s">
        <v>48</v>
      </c>
      <c r="M553">
        <v>0</v>
      </c>
      <c r="N553" t="s">
        <v>1642</v>
      </c>
      <c r="O553" t="s">
        <v>1643</v>
      </c>
      <c r="P553">
        <v>22.95</v>
      </c>
      <c r="Q553" s="2">
        <v>45176</v>
      </c>
      <c r="R553" t="s">
        <v>1354</v>
      </c>
      <c r="S553" t="s">
        <v>75</v>
      </c>
      <c r="T553" t="s">
        <v>52</v>
      </c>
      <c r="U553">
        <v>279.71000000000004</v>
      </c>
      <c r="V553">
        <v>53.410499999999999</v>
      </c>
    </row>
    <row r="554" spans="1:22" x14ac:dyDescent="0.3">
      <c r="A554" t="s">
        <v>148</v>
      </c>
      <c r="B554" t="s">
        <v>70</v>
      </c>
      <c r="C554" t="s">
        <v>71</v>
      </c>
      <c r="D554">
        <v>10</v>
      </c>
      <c r="E554">
        <v>407.99</v>
      </c>
      <c r="F554" t="s">
        <v>36</v>
      </c>
      <c r="G554" t="s">
        <v>37</v>
      </c>
      <c r="H554">
        <v>0.15</v>
      </c>
      <c r="I554" t="s">
        <v>65</v>
      </c>
      <c r="J554">
        <v>3467.92</v>
      </c>
      <c r="K554" t="s">
        <v>47</v>
      </c>
      <c r="L554" t="s">
        <v>48</v>
      </c>
      <c r="M554">
        <v>0</v>
      </c>
      <c r="N554" t="s">
        <v>1644</v>
      </c>
      <c r="O554" t="s">
        <v>1645</v>
      </c>
      <c r="P554">
        <v>49.59</v>
      </c>
      <c r="Q554" s="2">
        <v>45718</v>
      </c>
      <c r="R554" t="s">
        <v>900</v>
      </c>
      <c r="S554" t="s">
        <v>75</v>
      </c>
      <c r="T554" t="s">
        <v>98</v>
      </c>
      <c r="U554">
        <v>3418.33</v>
      </c>
      <c r="V554">
        <v>611.98500000000001</v>
      </c>
    </row>
    <row r="555" spans="1:22" x14ac:dyDescent="0.3">
      <c r="A555" t="s">
        <v>389</v>
      </c>
      <c r="B555" t="s">
        <v>70</v>
      </c>
      <c r="C555" t="s">
        <v>109</v>
      </c>
      <c r="D555">
        <v>15</v>
      </c>
      <c r="E555">
        <v>274.77</v>
      </c>
      <c r="F555" t="s">
        <v>55</v>
      </c>
      <c r="G555" t="s">
        <v>37</v>
      </c>
      <c r="H555">
        <v>0</v>
      </c>
      <c r="I555" t="s">
        <v>65</v>
      </c>
      <c r="J555">
        <v>4121.55</v>
      </c>
      <c r="K555" t="s">
        <v>47</v>
      </c>
      <c r="L555" t="s">
        <v>48</v>
      </c>
      <c r="M555">
        <v>1</v>
      </c>
      <c r="N555" t="s">
        <v>1646</v>
      </c>
      <c r="O555" t="s">
        <v>1647</v>
      </c>
      <c r="P555">
        <v>19.37</v>
      </c>
      <c r="Q555" s="2">
        <v>45241</v>
      </c>
      <c r="R555" t="s">
        <v>1648</v>
      </c>
      <c r="S555" t="s">
        <v>75</v>
      </c>
      <c r="T555" t="s">
        <v>43</v>
      </c>
      <c r="U555">
        <v>4102.18</v>
      </c>
      <c r="V555">
        <v>0</v>
      </c>
    </row>
    <row r="556" spans="1:22" x14ac:dyDescent="0.3">
      <c r="A556" t="s">
        <v>615</v>
      </c>
      <c r="B556" t="s">
        <v>70</v>
      </c>
      <c r="C556" t="s">
        <v>22</v>
      </c>
      <c r="D556">
        <v>15</v>
      </c>
      <c r="E556">
        <v>31.81</v>
      </c>
      <c r="F556" t="s">
        <v>36</v>
      </c>
      <c r="G556" t="s">
        <v>24</v>
      </c>
      <c r="H556">
        <v>0.15</v>
      </c>
      <c r="I556" t="s">
        <v>65</v>
      </c>
      <c r="J556">
        <v>405.58</v>
      </c>
      <c r="K556" t="s">
        <v>47</v>
      </c>
      <c r="L556" t="s">
        <v>58</v>
      </c>
      <c r="M556">
        <v>0</v>
      </c>
      <c r="N556" t="s">
        <v>1649</v>
      </c>
      <c r="O556" t="s">
        <v>1650</v>
      </c>
      <c r="P556">
        <v>23.61</v>
      </c>
      <c r="Q556" s="2">
        <v>45509</v>
      </c>
      <c r="R556" t="s">
        <v>1651</v>
      </c>
      <c r="S556" t="s">
        <v>75</v>
      </c>
      <c r="T556" t="s">
        <v>82</v>
      </c>
      <c r="U556">
        <v>381.96999999999997</v>
      </c>
      <c r="V556">
        <v>71.572499999999991</v>
      </c>
    </row>
    <row r="557" spans="1:22" x14ac:dyDescent="0.3">
      <c r="A557" t="s">
        <v>948</v>
      </c>
      <c r="B557" t="s">
        <v>45</v>
      </c>
      <c r="C557" t="s">
        <v>109</v>
      </c>
      <c r="D557">
        <v>19</v>
      </c>
      <c r="E557">
        <v>350.12</v>
      </c>
      <c r="F557" t="s">
        <v>55</v>
      </c>
      <c r="G557" t="s">
        <v>37</v>
      </c>
      <c r="H557">
        <v>0.05</v>
      </c>
      <c r="I557" t="s">
        <v>25</v>
      </c>
      <c r="J557">
        <v>6319.67</v>
      </c>
      <c r="K557" t="s">
        <v>101</v>
      </c>
      <c r="L557" t="s">
        <v>85</v>
      </c>
      <c r="M557">
        <v>0</v>
      </c>
      <c r="N557" t="s">
        <v>1652</v>
      </c>
      <c r="O557" t="s">
        <v>1653</v>
      </c>
      <c r="P557">
        <v>48.98</v>
      </c>
      <c r="Q557" s="2">
        <v>45781</v>
      </c>
      <c r="R557" t="s">
        <v>1007</v>
      </c>
      <c r="S557" t="s">
        <v>51</v>
      </c>
      <c r="T557" t="s">
        <v>63</v>
      </c>
      <c r="U557">
        <v>6270.6900000000005</v>
      </c>
      <c r="V557">
        <v>332.61400000000003</v>
      </c>
    </row>
    <row r="558" spans="1:22" x14ac:dyDescent="0.3">
      <c r="A558" t="s">
        <v>1330</v>
      </c>
      <c r="B558" t="s">
        <v>45</v>
      </c>
      <c r="C558" t="s">
        <v>35</v>
      </c>
      <c r="D558">
        <v>6</v>
      </c>
      <c r="E558">
        <v>544.33000000000004</v>
      </c>
      <c r="F558" t="s">
        <v>23</v>
      </c>
      <c r="G558" t="s">
        <v>24</v>
      </c>
      <c r="H558">
        <v>0.1</v>
      </c>
      <c r="I558" t="s">
        <v>46</v>
      </c>
      <c r="J558">
        <v>2939.38</v>
      </c>
      <c r="K558" t="s">
        <v>47</v>
      </c>
      <c r="L558" t="s">
        <v>48</v>
      </c>
      <c r="M558">
        <v>0</v>
      </c>
      <c r="N558" t="s">
        <v>1654</v>
      </c>
      <c r="O558" t="s">
        <v>1655</v>
      </c>
      <c r="P558">
        <v>11.52</v>
      </c>
      <c r="Q558" s="2">
        <v>45081</v>
      </c>
      <c r="R558" t="s">
        <v>216</v>
      </c>
      <c r="S558" t="s">
        <v>51</v>
      </c>
      <c r="T558" t="s">
        <v>105</v>
      </c>
      <c r="U558">
        <v>2927.86</v>
      </c>
      <c r="V558">
        <v>326.59800000000007</v>
      </c>
    </row>
    <row r="559" spans="1:22" x14ac:dyDescent="0.3">
      <c r="A559" t="s">
        <v>533</v>
      </c>
      <c r="B559" t="s">
        <v>70</v>
      </c>
      <c r="C559" t="s">
        <v>100</v>
      </c>
      <c r="D559">
        <v>1</v>
      </c>
      <c r="E559">
        <v>421.26</v>
      </c>
      <c r="F559" t="s">
        <v>55</v>
      </c>
      <c r="G559" t="s">
        <v>37</v>
      </c>
      <c r="H559">
        <v>0.1</v>
      </c>
      <c r="I559" t="s">
        <v>65</v>
      </c>
      <c r="J559">
        <v>379.13</v>
      </c>
      <c r="K559" t="s">
        <v>38</v>
      </c>
      <c r="L559" t="s">
        <v>85</v>
      </c>
      <c r="M559">
        <v>0</v>
      </c>
      <c r="N559" t="s">
        <v>1656</v>
      </c>
      <c r="O559" t="s">
        <v>1657</v>
      </c>
      <c r="P559">
        <v>36.340000000000003</v>
      </c>
      <c r="Q559" s="2">
        <v>45843</v>
      </c>
      <c r="R559" t="s">
        <v>1329</v>
      </c>
      <c r="S559" t="s">
        <v>75</v>
      </c>
      <c r="T559" t="s">
        <v>117</v>
      </c>
      <c r="U559">
        <v>342.78999999999996</v>
      </c>
      <c r="V559">
        <v>42.126000000000005</v>
      </c>
    </row>
    <row r="560" spans="1:22" x14ac:dyDescent="0.3">
      <c r="A560" t="s">
        <v>393</v>
      </c>
      <c r="B560" t="s">
        <v>54</v>
      </c>
      <c r="C560" t="s">
        <v>22</v>
      </c>
      <c r="D560">
        <v>7</v>
      </c>
      <c r="E560">
        <v>241.35</v>
      </c>
      <c r="F560" t="s">
        <v>23</v>
      </c>
      <c r="G560" t="s">
        <v>24</v>
      </c>
      <c r="H560">
        <v>0.1</v>
      </c>
      <c r="I560" t="s">
        <v>78</v>
      </c>
      <c r="J560">
        <v>1520.51</v>
      </c>
      <c r="K560" t="s">
        <v>101</v>
      </c>
      <c r="L560" t="s">
        <v>58</v>
      </c>
      <c r="M560">
        <v>0</v>
      </c>
      <c r="N560" t="s">
        <v>1658</v>
      </c>
      <c r="O560" t="s">
        <v>1659</v>
      </c>
      <c r="P560">
        <v>42.43</v>
      </c>
      <c r="Q560" s="2">
        <v>45295</v>
      </c>
      <c r="R560" t="s">
        <v>64</v>
      </c>
      <c r="S560" t="s">
        <v>62</v>
      </c>
      <c r="T560" t="s">
        <v>187</v>
      </c>
      <c r="U560">
        <v>1478.08</v>
      </c>
      <c r="V560">
        <v>168.94500000000002</v>
      </c>
    </row>
    <row r="561" spans="1:22" x14ac:dyDescent="0.3">
      <c r="A561" t="s">
        <v>143</v>
      </c>
      <c r="B561" t="s">
        <v>21</v>
      </c>
      <c r="C561" t="s">
        <v>109</v>
      </c>
      <c r="D561">
        <v>11</v>
      </c>
      <c r="E561">
        <v>160.37</v>
      </c>
      <c r="F561" t="s">
        <v>23</v>
      </c>
      <c r="G561" t="s">
        <v>24</v>
      </c>
      <c r="H561">
        <v>0.05</v>
      </c>
      <c r="I561" t="s">
        <v>46</v>
      </c>
      <c r="J561">
        <v>1675.87</v>
      </c>
      <c r="K561" t="s">
        <v>47</v>
      </c>
      <c r="L561" t="s">
        <v>48</v>
      </c>
      <c r="M561">
        <v>0</v>
      </c>
      <c r="N561" t="s">
        <v>1660</v>
      </c>
      <c r="O561" t="s">
        <v>1661</v>
      </c>
      <c r="P561">
        <v>36.049999999999997</v>
      </c>
      <c r="Q561" s="2">
        <v>45388</v>
      </c>
      <c r="R561" t="s">
        <v>146</v>
      </c>
      <c r="S561" t="s">
        <v>31</v>
      </c>
      <c r="T561" t="s">
        <v>147</v>
      </c>
      <c r="U561">
        <v>1639.82</v>
      </c>
      <c r="V561">
        <v>88.20350000000002</v>
      </c>
    </row>
    <row r="562" spans="1:22" x14ac:dyDescent="0.3">
      <c r="A562" t="s">
        <v>83</v>
      </c>
      <c r="B562" t="s">
        <v>45</v>
      </c>
      <c r="C562" t="s">
        <v>35</v>
      </c>
      <c r="D562">
        <v>16</v>
      </c>
      <c r="E562">
        <v>305.20999999999998</v>
      </c>
      <c r="F562" t="s">
        <v>84</v>
      </c>
      <c r="G562" t="s">
        <v>24</v>
      </c>
      <c r="H562">
        <v>0.1</v>
      </c>
      <c r="I562" t="s">
        <v>25</v>
      </c>
      <c r="J562">
        <v>4395.0200000000004</v>
      </c>
      <c r="K562" t="s">
        <v>38</v>
      </c>
      <c r="L562" t="s">
        <v>58</v>
      </c>
      <c r="M562">
        <v>0</v>
      </c>
      <c r="N562" t="s">
        <v>1662</v>
      </c>
      <c r="O562" t="s">
        <v>542</v>
      </c>
      <c r="P562">
        <v>33.369999999999997</v>
      </c>
      <c r="Q562" s="2">
        <v>45966</v>
      </c>
      <c r="R562" t="s">
        <v>1663</v>
      </c>
      <c r="S562" t="s">
        <v>51</v>
      </c>
      <c r="T562" t="s">
        <v>43</v>
      </c>
      <c r="U562">
        <v>4361.6500000000005</v>
      </c>
      <c r="V562">
        <v>488.33600000000001</v>
      </c>
    </row>
    <row r="563" spans="1:22" x14ac:dyDescent="0.3">
      <c r="A563" t="s">
        <v>776</v>
      </c>
      <c r="B563" t="s">
        <v>21</v>
      </c>
      <c r="C563" t="s">
        <v>140</v>
      </c>
      <c r="D563">
        <v>16</v>
      </c>
      <c r="E563">
        <v>438.71</v>
      </c>
      <c r="F563" t="s">
        <v>36</v>
      </c>
      <c r="G563" t="s">
        <v>37</v>
      </c>
      <c r="H563">
        <v>0</v>
      </c>
      <c r="I563" t="s">
        <v>25</v>
      </c>
      <c r="J563">
        <v>7019.36</v>
      </c>
      <c r="K563" t="s">
        <v>26</v>
      </c>
      <c r="L563" t="s">
        <v>48</v>
      </c>
      <c r="M563">
        <v>0</v>
      </c>
      <c r="N563" t="s">
        <v>1664</v>
      </c>
      <c r="O563" t="s">
        <v>1665</v>
      </c>
      <c r="P563">
        <v>6.53</v>
      </c>
      <c r="Q563" s="2">
        <v>45242</v>
      </c>
      <c r="R563" t="s">
        <v>529</v>
      </c>
      <c r="S563" t="s">
        <v>31</v>
      </c>
      <c r="T563" t="s">
        <v>43</v>
      </c>
      <c r="U563">
        <v>7012.83</v>
      </c>
      <c r="V563">
        <v>0</v>
      </c>
    </row>
    <row r="564" spans="1:22" x14ac:dyDescent="0.3">
      <c r="A564" t="s">
        <v>20</v>
      </c>
      <c r="B564" t="s">
        <v>70</v>
      </c>
      <c r="C564" t="s">
        <v>71</v>
      </c>
      <c r="D564">
        <v>18</v>
      </c>
      <c r="E564">
        <v>580.41999999999996</v>
      </c>
      <c r="F564" t="s">
        <v>84</v>
      </c>
      <c r="G564" t="s">
        <v>24</v>
      </c>
      <c r="H564">
        <v>0.05</v>
      </c>
      <c r="I564" t="s">
        <v>94</v>
      </c>
      <c r="J564">
        <v>9925.18</v>
      </c>
      <c r="K564" t="s">
        <v>26</v>
      </c>
      <c r="L564" t="s">
        <v>58</v>
      </c>
      <c r="M564">
        <v>0</v>
      </c>
      <c r="N564" t="s">
        <v>1666</v>
      </c>
      <c r="O564" t="s">
        <v>1667</v>
      </c>
      <c r="P564">
        <v>37.81</v>
      </c>
      <c r="Q564" s="2">
        <v>45204</v>
      </c>
      <c r="R564" t="s">
        <v>112</v>
      </c>
      <c r="S564" t="s">
        <v>75</v>
      </c>
      <c r="T564" t="s">
        <v>32</v>
      </c>
      <c r="U564">
        <v>9887.3700000000008</v>
      </c>
      <c r="V564">
        <v>522.37800000000004</v>
      </c>
    </row>
    <row r="565" spans="1:22" x14ac:dyDescent="0.3">
      <c r="A565" t="s">
        <v>428</v>
      </c>
      <c r="B565" t="s">
        <v>45</v>
      </c>
      <c r="C565" t="s">
        <v>100</v>
      </c>
      <c r="D565">
        <v>14</v>
      </c>
      <c r="E565">
        <v>306.39</v>
      </c>
      <c r="F565" t="s">
        <v>84</v>
      </c>
      <c r="G565" t="s">
        <v>37</v>
      </c>
      <c r="H565">
        <v>0.1</v>
      </c>
      <c r="I565" t="s">
        <v>65</v>
      </c>
      <c r="J565">
        <v>3860.51</v>
      </c>
      <c r="K565" t="s">
        <v>47</v>
      </c>
      <c r="L565" t="s">
        <v>27</v>
      </c>
      <c r="M565">
        <v>0</v>
      </c>
      <c r="N565" t="s">
        <v>1668</v>
      </c>
      <c r="O565" t="s">
        <v>1669</v>
      </c>
      <c r="P565">
        <v>38.729999999999997</v>
      </c>
      <c r="Q565" s="2">
        <v>45109</v>
      </c>
      <c r="R565" t="s">
        <v>557</v>
      </c>
      <c r="S565" t="s">
        <v>51</v>
      </c>
      <c r="T565" t="s">
        <v>117</v>
      </c>
      <c r="U565">
        <v>3821.78</v>
      </c>
      <c r="V565">
        <v>428.94600000000003</v>
      </c>
    </row>
    <row r="566" spans="1:22" x14ac:dyDescent="0.3">
      <c r="A566" t="s">
        <v>457</v>
      </c>
      <c r="B566" t="s">
        <v>70</v>
      </c>
      <c r="C566" t="s">
        <v>71</v>
      </c>
      <c r="D566">
        <v>6</v>
      </c>
      <c r="E566">
        <v>346.86</v>
      </c>
      <c r="F566" t="s">
        <v>36</v>
      </c>
      <c r="G566" t="s">
        <v>37</v>
      </c>
      <c r="H566">
        <v>0.05</v>
      </c>
      <c r="I566" t="s">
        <v>65</v>
      </c>
      <c r="J566">
        <v>1977.1</v>
      </c>
      <c r="K566" t="s">
        <v>57</v>
      </c>
      <c r="L566" t="s">
        <v>85</v>
      </c>
      <c r="M566">
        <v>0</v>
      </c>
      <c r="N566" t="s">
        <v>1670</v>
      </c>
      <c r="O566" t="s">
        <v>1671</v>
      </c>
      <c r="P566">
        <v>29.18</v>
      </c>
      <c r="Q566" s="2">
        <v>45023</v>
      </c>
      <c r="R566" t="s">
        <v>941</v>
      </c>
      <c r="S566" t="s">
        <v>75</v>
      </c>
      <c r="T566" t="s">
        <v>147</v>
      </c>
      <c r="U566">
        <v>1947.9199999999998</v>
      </c>
      <c r="V566">
        <v>104.05799999999999</v>
      </c>
    </row>
    <row r="567" spans="1:22" x14ac:dyDescent="0.3">
      <c r="A567" t="s">
        <v>864</v>
      </c>
      <c r="B567" t="s">
        <v>45</v>
      </c>
      <c r="C567" t="s">
        <v>109</v>
      </c>
      <c r="D567">
        <v>11</v>
      </c>
      <c r="E567">
        <v>97.34</v>
      </c>
      <c r="F567" t="s">
        <v>55</v>
      </c>
      <c r="G567" t="s">
        <v>24</v>
      </c>
      <c r="H567">
        <v>0.1</v>
      </c>
      <c r="I567" t="s">
        <v>46</v>
      </c>
      <c r="J567">
        <v>963.67</v>
      </c>
      <c r="K567" t="s">
        <v>38</v>
      </c>
      <c r="L567" t="s">
        <v>58</v>
      </c>
      <c r="M567">
        <v>0</v>
      </c>
      <c r="N567" t="s">
        <v>1672</v>
      </c>
      <c r="O567" t="s">
        <v>1673</v>
      </c>
      <c r="P567">
        <v>10.61</v>
      </c>
      <c r="Q567" s="2">
        <v>45514</v>
      </c>
      <c r="R567" t="s">
        <v>699</v>
      </c>
      <c r="S567" t="s">
        <v>51</v>
      </c>
      <c r="T567" t="s">
        <v>82</v>
      </c>
      <c r="U567">
        <v>953.06</v>
      </c>
      <c r="V567">
        <v>107.07400000000001</v>
      </c>
    </row>
    <row r="568" spans="1:22" x14ac:dyDescent="0.3">
      <c r="A568" t="s">
        <v>346</v>
      </c>
      <c r="B568" t="s">
        <v>45</v>
      </c>
      <c r="C568" t="s">
        <v>100</v>
      </c>
      <c r="D568">
        <v>6</v>
      </c>
      <c r="E568">
        <v>416.2</v>
      </c>
      <c r="F568" t="s">
        <v>84</v>
      </c>
      <c r="G568" t="s">
        <v>24</v>
      </c>
      <c r="H568">
        <v>0.05</v>
      </c>
      <c r="I568" t="s">
        <v>25</v>
      </c>
      <c r="J568">
        <v>2372.34</v>
      </c>
      <c r="K568" t="s">
        <v>47</v>
      </c>
      <c r="L568" t="s">
        <v>27</v>
      </c>
      <c r="M568">
        <v>1</v>
      </c>
      <c r="N568" t="s">
        <v>1674</v>
      </c>
      <c r="O568" t="s">
        <v>1675</v>
      </c>
      <c r="P568">
        <v>44.14</v>
      </c>
      <c r="Q568" s="2">
        <v>45692</v>
      </c>
      <c r="R568" t="s">
        <v>1099</v>
      </c>
      <c r="S568" t="s">
        <v>51</v>
      </c>
      <c r="T568" t="s">
        <v>199</v>
      </c>
      <c r="U568">
        <v>2328.2000000000003</v>
      </c>
      <c r="V568">
        <v>124.86</v>
      </c>
    </row>
    <row r="569" spans="1:22" x14ac:dyDescent="0.3">
      <c r="A569" t="s">
        <v>1000</v>
      </c>
      <c r="B569" t="s">
        <v>45</v>
      </c>
      <c r="C569" t="s">
        <v>100</v>
      </c>
      <c r="D569">
        <v>16</v>
      </c>
      <c r="E569">
        <v>55.56</v>
      </c>
      <c r="F569" t="s">
        <v>55</v>
      </c>
      <c r="G569" t="s">
        <v>24</v>
      </c>
      <c r="H569">
        <v>0.15</v>
      </c>
      <c r="I569" t="s">
        <v>56</v>
      </c>
      <c r="J569">
        <v>755.62</v>
      </c>
      <c r="K569" t="s">
        <v>47</v>
      </c>
      <c r="L569" t="s">
        <v>48</v>
      </c>
      <c r="M569">
        <v>1</v>
      </c>
      <c r="N569" t="s">
        <v>1676</v>
      </c>
      <c r="O569" t="s">
        <v>1677</v>
      </c>
      <c r="P569">
        <v>17.809999999999999</v>
      </c>
      <c r="Q569" s="2">
        <v>45542</v>
      </c>
      <c r="R569" t="s">
        <v>220</v>
      </c>
      <c r="S569" t="s">
        <v>51</v>
      </c>
      <c r="T569" t="s">
        <v>52</v>
      </c>
      <c r="U569">
        <v>737.81000000000006</v>
      </c>
      <c r="V569">
        <v>133.34399999999999</v>
      </c>
    </row>
    <row r="570" spans="1:22" x14ac:dyDescent="0.3">
      <c r="A570" t="s">
        <v>889</v>
      </c>
      <c r="B570" t="s">
        <v>70</v>
      </c>
      <c r="C570" t="s">
        <v>109</v>
      </c>
      <c r="D570">
        <v>11</v>
      </c>
      <c r="E570">
        <v>185.59</v>
      </c>
      <c r="F570" t="s">
        <v>23</v>
      </c>
      <c r="G570" t="s">
        <v>37</v>
      </c>
      <c r="H570">
        <v>0.1</v>
      </c>
      <c r="I570" t="s">
        <v>46</v>
      </c>
      <c r="J570">
        <v>1837.34</v>
      </c>
      <c r="K570" t="s">
        <v>57</v>
      </c>
      <c r="L570" t="s">
        <v>48</v>
      </c>
      <c r="M570">
        <v>0</v>
      </c>
      <c r="N570" t="s">
        <v>1678</v>
      </c>
      <c r="O570" t="s">
        <v>1679</v>
      </c>
      <c r="P570">
        <v>45.19</v>
      </c>
      <c r="Q570" s="2">
        <v>45541</v>
      </c>
      <c r="R570" t="s">
        <v>1303</v>
      </c>
      <c r="S570" t="s">
        <v>75</v>
      </c>
      <c r="T570" t="s">
        <v>52</v>
      </c>
      <c r="U570">
        <v>1792.1499999999999</v>
      </c>
      <c r="V570">
        <v>204.149</v>
      </c>
    </row>
    <row r="571" spans="1:22" x14ac:dyDescent="0.3">
      <c r="A571" t="s">
        <v>237</v>
      </c>
      <c r="B571" t="s">
        <v>45</v>
      </c>
      <c r="C571" t="s">
        <v>22</v>
      </c>
      <c r="D571">
        <v>11</v>
      </c>
      <c r="E571">
        <v>347.38</v>
      </c>
      <c r="F571" t="s">
        <v>36</v>
      </c>
      <c r="G571" t="s">
        <v>24</v>
      </c>
      <c r="H571">
        <v>0.05</v>
      </c>
      <c r="I571" t="s">
        <v>65</v>
      </c>
      <c r="J571">
        <v>3630.12</v>
      </c>
      <c r="K571" t="s">
        <v>101</v>
      </c>
      <c r="L571" t="s">
        <v>85</v>
      </c>
      <c r="M571">
        <v>0</v>
      </c>
      <c r="N571" t="s">
        <v>1680</v>
      </c>
      <c r="O571" t="s">
        <v>1681</v>
      </c>
      <c r="P571">
        <v>24.8</v>
      </c>
      <c r="Q571" s="2">
        <v>44938</v>
      </c>
      <c r="R571" t="s">
        <v>682</v>
      </c>
      <c r="S571" t="s">
        <v>51</v>
      </c>
      <c r="T571" t="s">
        <v>187</v>
      </c>
      <c r="U571">
        <v>3605.3199999999997</v>
      </c>
      <c r="V571">
        <v>191.059</v>
      </c>
    </row>
    <row r="572" spans="1:22" x14ac:dyDescent="0.3">
      <c r="A572" t="s">
        <v>486</v>
      </c>
      <c r="B572" t="s">
        <v>54</v>
      </c>
      <c r="C572" t="s">
        <v>35</v>
      </c>
      <c r="D572">
        <v>15</v>
      </c>
      <c r="E572">
        <v>242.35</v>
      </c>
      <c r="F572" t="s">
        <v>55</v>
      </c>
      <c r="G572" t="s">
        <v>24</v>
      </c>
      <c r="H572">
        <v>0.15</v>
      </c>
      <c r="I572" t="s">
        <v>78</v>
      </c>
      <c r="J572">
        <v>3089.96</v>
      </c>
      <c r="K572" t="s">
        <v>47</v>
      </c>
      <c r="L572" t="s">
        <v>27</v>
      </c>
      <c r="M572">
        <v>1</v>
      </c>
      <c r="N572" t="s">
        <v>1682</v>
      </c>
      <c r="O572" t="s">
        <v>1258</v>
      </c>
      <c r="P572">
        <v>14.92</v>
      </c>
      <c r="Q572" s="2">
        <v>45264</v>
      </c>
      <c r="R572" t="s">
        <v>1683</v>
      </c>
      <c r="S572" t="s">
        <v>62</v>
      </c>
      <c r="T572" t="s">
        <v>76</v>
      </c>
      <c r="U572">
        <v>3075.04</v>
      </c>
      <c r="V572">
        <v>545.28750000000002</v>
      </c>
    </row>
    <row r="573" spans="1:22" x14ac:dyDescent="0.3">
      <c r="A573" t="s">
        <v>1382</v>
      </c>
      <c r="B573" t="s">
        <v>34</v>
      </c>
      <c r="C573" t="s">
        <v>127</v>
      </c>
      <c r="D573">
        <v>10</v>
      </c>
      <c r="E573">
        <v>285.73</v>
      </c>
      <c r="F573" t="s">
        <v>55</v>
      </c>
      <c r="G573" t="s">
        <v>24</v>
      </c>
      <c r="H573">
        <v>0.15</v>
      </c>
      <c r="I573" t="s">
        <v>65</v>
      </c>
      <c r="J573">
        <v>2428.71</v>
      </c>
      <c r="K573" t="s">
        <v>47</v>
      </c>
      <c r="L573" t="s">
        <v>27</v>
      </c>
      <c r="M573">
        <v>1</v>
      </c>
      <c r="N573" t="s">
        <v>1684</v>
      </c>
      <c r="O573" t="s">
        <v>1685</v>
      </c>
      <c r="P573">
        <v>26.68</v>
      </c>
      <c r="Q573" s="2">
        <v>45512</v>
      </c>
      <c r="R573" t="s">
        <v>503</v>
      </c>
      <c r="S573" t="s">
        <v>42</v>
      </c>
      <c r="T573" t="s">
        <v>82</v>
      </c>
      <c r="U573">
        <v>2402.0300000000002</v>
      </c>
      <c r="V573">
        <v>428.59500000000003</v>
      </c>
    </row>
    <row r="574" spans="1:22" x14ac:dyDescent="0.3">
      <c r="A574" t="s">
        <v>1686</v>
      </c>
      <c r="B574" t="s">
        <v>34</v>
      </c>
      <c r="C574" t="s">
        <v>109</v>
      </c>
      <c r="D574">
        <v>14</v>
      </c>
      <c r="E574">
        <v>216.4</v>
      </c>
      <c r="F574" t="s">
        <v>55</v>
      </c>
      <c r="G574" t="s">
        <v>24</v>
      </c>
      <c r="H574">
        <v>0.1</v>
      </c>
      <c r="I574" t="s">
        <v>78</v>
      </c>
      <c r="J574">
        <v>2726.64</v>
      </c>
      <c r="K574" t="s">
        <v>38</v>
      </c>
      <c r="L574" t="s">
        <v>27</v>
      </c>
      <c r="M574">
        <v>0</v>
      </c>
      <c r="N574" t="s">
        <v>1687</v>
      </c>
      <c r="O574" t="s">
        <v>1617</v>
      </c>
      <c r="P574">
        <v>40.74</v>
      </c>
      <c r="Q574" s="2">
        <v>45148</v>
      </c>
      <c r="R574" t="s">
        <v>689</v>
      </c>
      <c r="S574" t="s">
        <v>42</v>
      </c>
      <c r="T574" t="s">
        <v>82</v>
      </c>
      <c r="U574">
        <v>2685.9</v>
      </c>
      <c r="V574">
        <v>302.95999999999998</v>
      </c>
    </row>
    <row r="575" spans="1:22" x14ac:dyDescent="0.3">
      <c r="A575" t="s">
        <v>1688</v>
      </c>
      <c r="B575" t="s">
        <v>34</v>
      </c>
      <c r="C575" t="s">
        <v>100</v>
      </c>
      <c r="D575">
        <v>7</v>
      </c>
      <c r="E575">
        <v>61.47</v>
      </c>
      <c r="F575" t="s">
        <v>36</v>
      </c>
      <c r="G575" t="s">
        <v>37</v>
      </c>
      <c r="H575">
        <v>0.15</v>
      </c>
      <c r="I575" t="s">
        <v>65</v>
      </c>
      <c r="J575">
        <v>365.75</v>
      </c>
      <c r="K575" t="s">
        <v>26</v>
      </c>
      <c r="L575" t="s">
        <v>85</v>
      </c>
      <c r="M575">
        <v>0</v>
      </c>
      <c r="N575" t="s">
        <v>1689</v>
      </c>
      <c r="O575" t="s">
        <v>1690</v>
      </c>
      <c r="P575">
        <v>14.44</v>
      </c>
      <c r="Q575" s="2">
        <v>44958</v>
      </c>
      <c r="R575" t="s">
        <v>1691</v>
      </c>
      <c r="S575" t="s">
        <v>42</v>
      </c>
      <c r="T575" t="s">
        <v>199</v>
      </c>
      <c r="U575">
        <v>351.31</v>
      </c>
      <c r="V575">
        <v>64.543499999999995</v>
      </c>
    </row>
    <row r="576" spans="1:22" x14ac:dyDescent="0.3">
      <c r="A576" t="s">
        <v>1692</v>
      </c>
      <c r="B576" t="s">
        <v>45</v>
      </c>
      <c r="C576" t="s">
        <v>35</v>
      </c>
      <c r="D576">
        <v>14</v>
      </c>
      <c r="E576">
        <v>115.98</v>
      </c>
      <c r="F576" t="s">
        <v>84</v>
      </c>
      <c r="G576" t="s">
        <v>24</v>
      </c>
      <c r="H576">
        <v>0</v>
      </c>
      <c r="I576" t="s">
        <v>94</v>
      </c>
      <c r="J576">
        <v>1623.72</v>
      </c>
      <c r="K576" t="s">
        <v>38</v>
      </c>
      <c r="L576" t="s">
        <v>48</v>
      </c>
      <c r="M576">
        <v>0</v>
      </c>
      <c r="N576" t="s">
        <v>1693</v>
      </c>
      <c r="O576" t="s">
        <v>1694</v>
      </c>
      <c r="P576">
        <v>31.85</v>
      </c>
      <c r="Q576" s="2">
        <v>45025</v>
      </c>
      <c r="R576" t="s">
        <v>850</v>
      </c>
      <c r="S576" t="s">
        <v>51</v>
      </c>
      <c r="T576" t="s">
        <v>147</v>
      </c>
      <c r="U576">
        <v>1591.8700000000001</v>
      </c>
      <c r="V576">
        <v>0</v>
      </c>
    </row>
    <row r="577" spans="1:22" x14ac:dyDescent="0.3">
      <c r="A577" t="s">
        <v>544</v>
      </c>
      <c r="B577" t="s">
        <v>54</v>
      </c>
      <c r="C577" t="s">
        <v>127</v>
      </c>
      <c r="D577">
        <v>8</v>
      </c>
      <c r="E577">
        <v>236.17</v>
      </c>
      <c r="F577" t="s">
        <v>36</v>
      </c>
      <c r="G577" t="s">
        <v>24</v>
      </c>
      <c r="H577">
        <v>0.15</v>
      </c>
      <c r="I577" t="s">
        <v>56</v>
      </c>
      <c r="J577">
        <v>1605.96</v>
      </c>
      <c r="K577" t="s">
        <v>47</v>
      </c>
      <c r="L577" t="s">
        <v>27</v>
      </c>
      <c r="M577">
        <v>0</v>
      </c>
      <c r="N577" t="s">
        <v>1695</v>
      </c>
      <c r="O577" t="s">
        <v>1696</v>
      </c>
      <c r="P577">
        <v>22.88</v>
      </c>
      <c r="Q577" s="2">
        <v>45605</v>
      </c>
      <c r="R577" t="s">
        <v>547</v>
      </c>
      <c r="S577" t="s">
        <v>62</v>
      </c>
      <c r="T577" t="s">
        <v>43</v>
      </c>
      <c r="U577">
        <v>1583.08</v>
      </c>
      <c r="V577">
        <v>283.404</v>
      </c>
    </row>
    <row r="578" spans="1:22" x14ac:dyDescent="0.3">
      <c r="A578" t="s">
        <v>1697</v>
      </c>
      <c r="B578" t="s">
        <v>54</v>
      </c>
      <c r="C578" t="s">
        <v>100</v>
      </c>
      <c r="D578">
        <v>3</v>
      </c>
      <c r="E578">
        <v>304.61</v>
      </c>
      <c r="F578" t="s">
        <v>23</v>
      </c>
      <c r="G578" t="s">
        <v>24</v>
      </c>
      <c r="H578">
        <v>0.05</v>
      </c>
      <c r="I578" t="s">
        <v>94</v>
      </c>
      <c r="J578">
        <v>868.14</v>
      </c>
      <c r="K578" t="s">
        <v>47</v>
      </c>
      <c r="L578" t="s">
        <v>58</v>
      </c>
      <c r="M578">
        <v>0</v>
      </c>
      <c r="N578" t="s">
        <v>1698</v>
      </c>
      <c r="O578" t="s">
        <v>1699</v>
      </c>
      <c r="P578">
        <v>47.14</v>
      </c>
      <c r="Q578" s="2">
        <v>45235</v>
      </c>
      <c r="R578" t="s">
        <v>705</v>
      </c>
      <c r="S578" t="s">
        <v>62</v>
      </c>
      <c r="T578" t="s">
        <v>43</v>
      </c>
      <c r="U578">
        <v>821</v>
      </c>
      <c r="V578">
        <v>45.691500000000005</v>
      </c>
    </row>
    <row r="579" spans="1:22" x14ac:dyDescent="0.3">
      <c r="A579" t="s">
        <v>544</v>
      </c>
      <c r="B579" t="s">
        <v>34</v>
      </c>
      <c r="C579" t="s">
        <v>109</v>
      </c>
      <c r="D579">
        <v>9</v>
      </c>
      <c r="E579">
        <v>238.32</v>
      </c>
      <c r="F579" t="s">
        <v>36</v>
      </c>
      <c r="G579" t="s">
        <v>37</v>
      </c>
      <c r="H579">
        <v>0</v>
      </c>
      <c r="I579" t="s">
        <v>78</v>
      </c>
      <c r="J579">
        <v>2144.88</v>
      </c>
      <c r="K579" t="s">
        <v>47</v>
      </c>
      <c r="L579" t="s">
        <v>27</v>
      </c>
      <c r="M579">
        <v>1</v>
      </c>
      <c r="N579" t="s">
        <v>1700</v>
      </c>
      <c r="O579" t="s">
        <v>1643</v>
      </c>
      <c r="P579">
        <v>8.5</v>
      </c>
      <c r="Q579" s="2">
        <v>45605</v>
      </c>
      <c r="R579" t="s">
        <v>1701</v>
      </c>
      <c r="S579" t="s">
        <v>42</v>
      </c>
      <c r="T579" t="s">
        <v>43</v>
      </c>
      <c r="U579">
        <v>2136.38</v>
      </c>
      <c r="V579">
        <v>0</v>
      </c>
    </row>
    <row r="580" spans="1:22" x14ac:dyDescent="0.3">
      <c r="A580" t="s">
        <v>1368</v>
      </c>
      <c r="B580" t="s">
        <v>45</v>
      </c>
      <c r="C580" t="s">
        <v>35</v>
      </c>
      <c r="D580">
        <v>3</v>
      </c>
      <c r="E580">
        <v>485.81</v>
      </c>
      <c r="F580" t="s">
        <v>84</v>
      </c>
      <c r="G580" t="s">
        <v>24</v>
      </c>
      <c r="H580">
        <v>0.1</v>
      </c>
      <c r="I580" t="s">
        <v>65</v>
      </c>
      <c r="J580">
        <v>1311.69</v>
      </c>
      <c r="K580" t="s">
        <v>38</v>
      </c>
      <c r="L580" t="s">
        <v>58</v>
      </c>
      <c r="M580">
        <v>0</v>
      </c>
      <c r="N580" t="s">
        <v>1702</v>
      </c>
      <c r="O580" t="s">
        <v>1703</v>
      </c>
      <c r="P580">
        <v>19.46</v>
      </c>
      <c r="Q580" s="2">
        <v>45179</v>
      </c>
      <c r="R580" t="s">
        <v>224</v>
      </c>
      <c r="S580" t="s">
        <v>51</v>
      </c>
      <c r="T580" t="s">
        <v>52</v>
      </c>
      <c r="U580">
        <v>1292.23</v>
      </c>
      <c r="V580">
        <v>145.74300000000002</v>
      </c>
    </row>
    <row r="581" spans="1:22" x14ac:dyDescent="0.3">
      <c r="A581" t="s">
        <v>1490</v>
      </c>
      <c r="B581" t="s">
        <v>70</v>
      </c>
      <c r="C581" t="s">
        <v>127</v>
      </c>
      <c r="D581">
        <v>2</v>
      </c>
      <c r="E581">
        <v>373.07</v>
      </c>
      <c r="F581" t="s">
        <v>84</v>
      </c>
      <c r="G581" t="s">
        <v>37</v>
      </c>
      <c r="H581">
        <v>0.05</v>
      </c>
      <c r="I581" t="s">
        <v>78</v>
      </c>
      <c r="J581">
        <v>708.83</v>
      </c>
      <c r="K581" t="s">
        <v>101</v>
      </c>
      <c r="L581" t="s">
        <v>85</v>
      </c>
      <c r="M581">
        <v>0</v>
      </c>
      <c r="N581" t="s">
        <v>1704</v>
      </c>
      <c r="O581" t="s">
        <v>1705</v>
      </c>
      <c r="P581">
        <v>26.9</v>
      </c>
      <c r="Q581" s="2">
        <v>45358</v>
      </c>
      <c r="R581" t="s">
        <v>217</v>
      </c>
      <c r="S581" t="s">
        <v>75</v>
      </c>
      <c r="T581" t="s">
        <v>98</v>
      </c>
      <c r="U581">
        <v>681.93000000000006</v>
      </c>
      <c r="V581">
        <v>37.307000000000002</v>
      </c>
    </row>
    <row r="582" spans="1:22" x14ac:dyDescent="0.3">
      <c r="A582" t="s">
        <v>614</v>
      </c>
      <c r="B582" t="s">
        <v>34</v>
      </c>
      <c r="C582" t="s">
        <v>35</v>
      </c>
      <c r="D582">
        <v>18</v>
      </c>
      <c r="E582">
        <v>209.75</v>
      </c>
      <c r="F582" t="s">
        <v>36</v>
      </c>
      <c r="G582" t="s">
        <v>24</v>
      </c>
      <c r="H582">
        <v>0.15</v>
      </c>
      <c r="I582" t="s">
        <v>56</v>
      </c>
      <c r="J582">
        <v>3209.18</v>
      </c>
      <c r="K582" t="s">
        <v>38</v>
      </c>
      <c r="L582" t="s">
        <v>85</v>
      </c>
      <c r="M582">
        <v>0</v>
      </c>
      <c r="N582" t="s">
        <v>1706</v>
      </c>
      <c r="O582" t="s">
        <v>1707</v>
      </c>
      <c r="P582">
        <v>45.93</v>
      </c>
      <c r="Q582" s="2">
        <v>45597</v>
      </c>
      <c r="R582" t="s">
        <v>1708</v>
      </c>
      <c r="S582" t="s">
        <v>42</v>
      </c>
      <c r="T582" t="s">
        <v>43</v>
      </c>
      <c r="U582">
        <v>3163.25</v>
      </c>
      <c r="V582">
        <v>566.32499999999993</v>
      </c>
    </row>
    <row r="583" spans="1:22" x14ac:dyDescent="0.3">
      <c r="A583" t="s">
        <v>1113</v>
      </c>
      <c r="B583" t="s">
        <v>45</v>
      </c>
      <c r="C583" t="s">
        <v>127</v>
      </c>
      <c r="D583">
        <v>14</v>
      </c>
      <c r="E583">
        <v>262.67</v>
      </c>
      <c r="F583" t="s">
        <v>84</v>
      </c>
      <c r="G583" t="s">
        <v>37</v>
      </c>
      <c r="H583">
        <v>0.05</v>
      </c>
      <c r="I583" t="s">
        <v>46</v>
      </c>
      <c r="J583">
        <v>3493.51</v>
      </c>
      <c r="K583" t="s">
        <v>57</v>
      </c>
      <c r="L583" t="s">
        <v>58</v>
      </c>
      <c r="M583">
        <v>0</v>
      </c>
      <c r="N583" t="s">
        <v>1709</v>
      </c>
      <c r="O583" t="s">
        <v>1710</v>
      </c>
      <c r="P583">
        <v>24.53</v>
      </c>
      <c r="Q583" s="2">
        <v>45363</v>
      </c>
      <c r="R583" t="s">
        <v>767</v>
      </c>
      <c r="S583" t="s">
        <v>51</v>
      </c>
      <c r="T583" t="s">
        <v>98</v>
      </c>
      <c r="U583">
        <v>3468.98</v>
      </c>
      <c r="V583">
        <v>183.86900000000003</v>
      </c>
    </row>
    <row r="584" spans="1:22" x14ac:dyDescent="0.3">
      <c r="A584" t="s">
        <v>639</v>
      </c>
      <c r="B584" t="s">
        <v>54</v>
      </c>
      <c r="C584" t="s">
        <v>35</v>
      </c>
      <c r="D584">
        <v>13</v>
      </c>
      <c r="E584">
        <v>221.39</v>
      </c>
      <c r="F584" t="s">
        <v>55</v>
      </c>
      <c r="G584" t="s">
        <v>24</v>
      </c>
      <c r="H584">
        <v>0</v>
      </c>
      <c r="I584" t="s">
        <v>56</v>
      </c>
      <c r="J584">
        <v>2878.07</v>
      </c>
      <c r="K584" t="s">
        <v>38</v>
      </c>
      <c r="L584" t="s">
        <v>85</v>
      </c>
      <c r="M584">
        <v>1</v>
      </c>
      <c r="N584" t="s">
        <v>1711</v>
      </c>
      <c r="O584" t="s">
        <v>1712</v>
      </c>
      <c r="P584">
        <v>21.05</v>
      </c>
      <c r="Q584" s="2">
        <v>45905</v>
      </c>
      <c r="R584" t="s">
        <v>1138</v>
      </c>
      <c r="S584" t="s">
        <v>62</v>
      </c>
      <c r="T584" t="s">
        <v>52</v>
      </c>
      <c r="U584">
        <v>2857.02</v>
      </c>
      <c r="V584">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D07B7-48EA-4669-B87A-D0A95193BBD7}">
  <dimension ref="A1:V292"/>
  <sheetViews>
    <sheetView workbookViewId="0">
      <selection activeCell="C20" sqref="C20"/>
    </sheetView>
  </sheetViews>
  <sheetFormatPr defaultRowHeight="14.4" x14ac:dyDescent="0.3"/>
  <cols>
    <col min="1" max="1" width="27.33203125" bestFit="1" customWidth="1"/>
    <col min="2" max="2" width="29.109375" bestFit="1" customWidth="1"/>
    <col min="3" max="3" width="30.109375" bestFit="1" customWidth="1"/>
    <col min="4" max="4" width="30.6640625" bestFit="1" customWidth="1"/>
    <col min="5" max="5" width="31.33203125" bestFit="1" customWidth="1"/>
    <col min="6" max="6" width="35.21875" bestFit="1" customWidth="1"/>
    <col min="7" max="7" width="35.6640625" bestFit="1" customWidth="1"/>
    <col min="8" max="8" width="30.88671875" bestFit="1" customWidth="1"/>
    <col min="9" max="9" width="33.88671875" bestFit="1" customWidth="1"/>
    <col min="10" max="10" width="32.109375" bestFit="1" customWidth="1"/>
    <col min="11" max="11" width="37.33203125" bestFit="1" customWidth="1"/>
    <col min="12" max="12" width="32.33203125" bestFit="1" customWidth="1"/>
    <col min="13" max="13" width="31.109375" bestFit="1" customWidth="1"/>
    <col min="14" max="14" width="30.109375" bestFit="1" customWidth="1"/>
    <col min="15" max="15" width="36.88671875" bestFit="1" customWidth="1"/>
    <col min="16" max="16" width="34.77734375" bestFit="1" customWidth="1"/>
    <col min="17" max="17" width="32.33203125" bestFit="1" customWidth="1"/>
    <col min="18" max="18" width="34.33203125" bestFit="1" customWidth="1"/>
    <col min="19" max="19" width="36.33203125" bestFit="1" customWidth="1"/>
    <col min="20" max="20" width="33.88671875" bestFit="1" customWidth="1"/>
    <col min="21" max="21" width="35.88671875" bestFit="1" customWidth="1"/>
    <col min="22" max="22" width="35.44140625" bestFit="1" customWidth="1"/>
  </cols>
  <sheetData>
    <row r="1" spans="1:22" x14ac:dyDescent="0.3">
      <c r="A1" s="11" t="s">
        <v>1764</v>
      </c>
    </row>
    <row r="3" spans="1:22" x14ac:dyDescent="0.3">
      <c r="A3" t="s">
        <v>1734</v>
      </c>
      <c r="B3" t="s">
        <v>1735</v>
      </c>
      <c r="C3" t="s">
        <v>1736</v>
      </c>
      <c r="D3" t="s">
        <v>1737</v>
      </c>
      <c r="E3" t="s">
        <v>1738</v>
      </c>
      <c r="F3" t="s">
        <v>1739</v>
      </c>
      <c r="G3" t="s">
        <v>1740</v>
      </c>
      <c r="H3" t="s">
        <v>1741</v>
      </c>
      <c r="I3" t="s">
        <v>1742</v>
      </c>
      <c r="J3" t="s">
        <v>1743</v>
      </c>
      <c r="K3" t="s">
        <v>1744</v>
      </c>
      <c r="L3" t="s">
        <v>1745</v>
      </c>
      <c r="M3" t="s">
        <v>1746</v>
      </c>
      <c r="N3" t="s">
        <v>1747</v>
      </c>
      <c r="O3" t="s">
        <v>1748</v>
      </c>
      <c r="P3" t="s">
        <v>1749</v>
      </c>
      <c r="Q3" t="s">
        <v>1750</v>
      </c>
      <c r="R3" t="s">
        <v>1751</v>
      </c>
      <c r="S3" t="s">
        <v>1752</v>
      </c>
      <c r="T3" t="s">
        <v>1753</v>
      </c>
      <c r="U3" t="s">
        <v>1754</v>
      </c>
      <c r="V3" t="s">
        <v>1755</v>
      </c>
    </row>
    <row r="4" spans="1:22" x14ac:dyDescent="0.3">
      <c r="A4" t="s">
        <v>33</v>
      </c>
      <c r="B4" t="s">
        <v>34</v>
      </c>
      <c r="C4" t="s">
        <v>35</v>
      </c>
      <c r="D4">
        <v>7</v>
      </c>
      <c r="E4">
        <v>17.5</v>
      </c>
      <c r="F4" t="s">
        <v>36</v>
      </c>
      <c r="G4" t="s">
        <v>37</v>
      </c>
      <c r="H4">
        <v>0.1</v>
      </c>
      <c r="I4" t="s">
        <v>25</v>
      </c>
      <c r="J4">
        <v>110.25</v>
      </c>
      <c r="K4" t="s">
        <v>38</v>
      </c>
      <c r="L4" t="s">
        <v>27</v>
      </c>
      <c r="M4">
        <v>0</v>
      </c>
      <c r="N4" t="s">
        <v>39</v>
      </c>
      <c r="O4" t="s">
        <v>40</v>
      </c>
      <c r="P4">
        <v>5.0199999999999996</v>
      </c>
      <c r="Q4" s="2">
        <v>45231</v>
      </c>
      <c r="R4" t="s">
        <v>41</v>
      </c>
      <c r="S4" t="s">
        <v>42</v>
      </c>
      <c r="T4" t="s">
        <v>43</v>
      </c>
      <c r="U4">
        <v>105.23</v>
      </c>
      <c r="V4">
        <v>12.25</v>
      </c>
    </row>
    <row r="5" spans="1:22" x14ac:dyDescent="0.3">
      <c r="A5" t="s">
        <v>53</v>
      </c>
      <c r="B5" t="s">
        <v>54</v>
      </c>
      <c r="C5" t="s">
        <v>22</v>
      </c>
      <c r="D5">
        <v>5</v>
      </c>
      <c r="E5">
        <v>323.27999999999997</v>
      </c>
      <c r="F5" t="s">
        <v>55</v>
      </c>
      <c r="G5" t="s">
        <v>37</v>
      </c>
      <c r="H5">
        <v>0.1</v>
      </c>
      <c r="I5" t="s">
        <v>56</v>
      </c>
      <c r="J5">
        <v>1454.76</v>
      </c>
      <c r="K5" t="s">
        <v>57</v>
      </c>
      <c r="L5" t="s">
        <v>58</v>
      </c>
      <c r="M5">
        <v>0</v>
      </c>
      <c r="N5" t="s">
        <v>59</v>
      </c>
      <c r="O5" t="s">
        <v>60</v>
      </c>
      <c r="P5">
        <v>41.1</v>
      </c>
      <c r="Q5" s="2">
        <v>45780</v>
      </c>
      <c r="R5" t="s">
        <v>61</v>
      </c>
      <c r="S5" t="s">
        <v>62</v>
      </c>
      <c r="T5" t="s">
        <v>63</v>
      </c>
      <c r="U5">
        <v>1413.66</v>
      </c>
      <c r="V5">
        <v>161.63999999999999</v>
      </c>
    </row>
    <row r="6" spans="1:22" x14ac:dyDescent="0.3">
      <c r="A6" t="s">
        <v>69</v>
      </c>
      <c r="B6" t="s">
        <v>70</v>
      </c>
      <c r="C6" t="s">
        <v>71</v>
      </c>
      <c r="D6">
        <v>19</v>
      </c>
      <c r="E6">
        <v>207.35</v>
      </c>
      <c r="F6" t="s">
        <v>55</v>
      </c>
      <c r="G6" t="s">
        <v>37</v>
      </c>
      <c r="H6">
        <v>0.1</v>
      </c>
      <c r="I6" t="s">
        <v>65</v>
      </c>
      <c r="J6">
        <v>3545.69</v>
      </c>
      <c r="K6" t="s">
        <v>57</v>
      </c>
      <c r="L6" t="s">
        <v>48</v>
      </c>
      <c r="M6">
        <v>1</v>
      </c>
      <c r="N6" t="s">
        <v>72</v>
      </c>
      <c r="O6" t="s">
        <v>73</v>
      </c>
      <c r="P6">
        <v>44.89</v>
      </c>
      <c r="Q6" s="2">
        <v>45633</v>
      </c>
      <c r="R6" t="s">
        <v>74</v>
      </c>
      <c r="S6" t="s">
        <v>75</v>
      </c>
      <c r="T6" t="s">
        <v>76</v>
      </c>
      <c r="U6">
        <v>3500.8</v>
      </c>
      <c r="V6">
        <v>393.96500000000003</v>
      </c>
    </row>
    <row r="7" spans="1:22" x14ac:dyDescent="0.3">
      <c r="A7" t="s">
        <v>77</v>
      </c>
      <c r="B7" t="s">
        <v>21</v>
      </c>
      <c r="C7" t="s">
        <v>22</v>
      </c>
      <c r="D7">
        <v>15</v>
      </c>
      <c r="E7">
        <v>220.3</v>
      </c>
      <c r="F7" t="s">
        <v>23</v>
      </c>
      <c r="G7" t="s">
        <v>37</v>
      </c>
      <c r="H7">
        <v>0.15</v>
      </c>
      <c r="I7" t="s">
        <v>78</v>
      </c>
      <c r="J7">
        <v>2808.83</v>
      </c>
      <c r="K7" t="s">
        <v>38</v>
      </c>
      <c r="L7" t="s">
        <v>48</v>
      </c>
      <c r="M7">
        <v>0</v>
      </c>
      <c r="N7" t="s">
        <v>79</v>
      </c>
      <c r="O7" t="s">
        <v>80</v>
      </c>
      <c r="P7">
        <v>39.659999999999997</v>
      </c>
      <c r="Q7" s="2">
        <v>45516</v>
      </c>
      <c r="R7" t="s">
        <v>81</v>
      </c>
      <c r="S7" t="s">
        <v>31</v>
      </c>
      <c r="T7" t="s">
        <v>82</v>
      </c>
      <c r="U7">
        <v>2769.17</v>
      </c>
      <c r="V7">
        <v>495.67499999999995</v>
      </c>
    </row>
    <row r="8" spans="1:22" x14ac:dyDescent="0.3">
      <c r="A8" t="s">
        <v>93</v>
      </c>
      <c r="B8" t="s">
        <v>45</v>
      </c>
      <c r="C8" t="s">
        <v>35</v>
      </c>
      <c r="D8">
        <v>14</v>
      </c>
      <c r="E8">
        <v>312.79000000000002</v>
      </c>
      <c r="F8" t="s">
        <v>84</v>
      </c>
      <c r="G8" t="s">
        <v>37</v>
      </c>
      <c r="H8">
        <v>0.05</v>
      </c>
      <c r="I8" t="s">
        <v>94</v>
      </c>
      <c r="J8">
        <v>4160.1099999999997</v>
      </c>
      <c r="K8" t="s">
        <v>26</v>
      </c>
      <c r="L8" t="s">
        <v>48</v>
      </c>
      <c r="M8">
        <v>1</v>
      </c>
      <c r="N8" t="s">
        <v>95</v>
      </c>
      <c r="O8" t="s">
        <v>96</v>
      </c>
      <c r="P8">
        <v>46.83</v>
      </c>
      <c r="Q8" s="2">
        <v>44988</v>
      </c>
      <c r="R8" t="s">
        <v>97</v>
      </c>
      <c r="S8" t="s">
        <v>51</v>
      </c>
      <c r="T8" t="s">
        <v>98</v>
      </c>
      <c r="U8">
        <v>4113.28</v>
      </c>
      <c r="V8">
        <v>218.95300000000003</v>
      </c>
    </row>
    <row r="9" spans="1:22" x14ac:dyDescent="0.3">
      <c r="A9" t="s">
        <v>99</v>
      </c>
      <c r="B9" t="s">
        <v>45</v>
      </c>
      <c r="C9" t="s">
        <v>100</v>
      </c>
      <c r="D9">
        <v>12</v>
      </c>
      <c r="E9">
        <v>472.72</v>
      </c>
      <c r="F9" t="s">
        <v>55</v>
      </c>
      <c r="G9" t="s">
        <v>37</v>
      </c>
      <c r="H9">
        <v>0.15</v>
      </c>
      <c r="I9" t="s">
        <v>78</v>
      </c>
      <c r="J9">
        <v>4821.74</v>
      </c>
      <c r="K9" t="s">
        <v>101</v>
      </c>
      <c r="L9" t="s">
        <v>48</v>
      </c>
      <c r="M9">
        <v>0</v>
      </c>
      <c r="N9" t="s">
        <v>102</v>
      </c>
      <c r="O9" t="s">
        <v>103</v>
      </c>
      <c r="P9">
        <v>27.97</v>
      </c>
      <c r="Q9" s="2">
        <v>45085</v>
      </c>
      <c r="R9" t="s">
        <v>104</v>
      </c>
      <c r="S9" t="s">
        <v>51</v>
      </c>
      <c r="T9" t="s">
        <v>105</v>
      </c>
      <c r="U9">
        <v>4793.7699999999995</v>
      </c>
      <c r="V9">
        <v>850.89600000000007</v>
      </c>
    </row>
    <row r="10" spans="1:22" x14ac:dyDescent="0.3">
      <c r="A10" t="s">
        <v>93</v>
      </c>
      <c r="B10" t="s">
        <v>21</v>
      </c>
      <c r="C10" t="s">
        <v>71</v>
      </c>
      <c r="D10">
        <v>4</v>
      </c>
      <c r="E10">
        <v>279.49</v>
      </c>
      <c r="F10" t="s">
        <v>23</v>
      </c>
      <c r="G10" t="s">
        <v>37</v>
      </c>
      <c r="H10">
        <v>0</v>
      </c>
      <c r="I10" t="s">
        <v>78</v>
      </c>
      <c r="J10">
        <v>1117.96</v>
      </c>
      <c r="K10" t="s">
        <v>101</v>
      </c>
      <c r="L10" t="s">
        <v>85</v>
      </c>
      <c r="M10">
        <v>0</v>
      </c>
      <c r="N10" t="s">
        <v>106</v>
      </c>
      <c r="O10" t="s">
        <v>107</v>
      </c>
      <c r="P10">
        <v>24.78</v>
      </c>
      <c r="Q10" s="2">
        <v>44988</v>
      </c>
      <c r="R10" t="s">
        <v>97</v>
      </c>
      <c r="S10" t="s">
        <v>31</v>
      </c>
      <c r="T10" t="s">
        <v>98</v>
      </c>
      <c r="U10">
        <v>1093.18</v>
      </c>
      <c r="V10">
        <v>0</v>
      </c>
    </row>
    <row r="11" spans="1:22" x14ac:dyDescent="0.3">
      <c r="A11" t="s">
        <v>113</v>
      </c>
      <c r="B11" t="s">
        <v>21</v>
      </c>
      <c r="C11" t="s">
        <v>109</v>
      </c>
      <c r="D11">
        <v>12</v>
      </c>
      <c r="E11">
        <v>306.29000000000002</v>
      </c>
      <c r="F11" t="s">
        <v>55</v>
      </c>
      <c r="G11" t="s">
        <v>37</v>
      </c>
      <c r="H11">
        <v>0</v>
      </c>
      <c r="I11" t="s">
        <v>56</v>
      </c>
      <c r="J11">
        <v>3675.48</v>
      </c>
      <c r="K11" t="s">
        <v>38</v>
      </c>
      <c r="L11" t="s">
        <v>58</v>
      </c>
      <c r="M11">
        <v>0</v>
      </c>
      <c r="N11" t="s">
        <v>114</v>
      </c>
      <c r="O11" t="s">
        <v>115</v>
      </c>
      <c r="P11">
        <v>37.380000000000003</v>
      </c>
      <c r="Q11" s="2">
        <v>45485</v>
      </c>
      <c r="R11" t="s">
        <v>116</v>
      </c>
      <c r="S11" t="s">
        <v>31</v>
      </c>
      <c r="T11" t="s">
        <v>117</v>
      </c>
      <c r="U11">
        <v>3638.1</v>
      </c>
      <c r="V11">
        <v>0</v>
      </c>
    </row>
    <row r="12" spans="1:22" x14ac:dyDescent="0.3">
      <c r="A12" t="s">
        <v>118</v>
      </c>
      <c r="B12" t="s">
        <v>34</v>
      </c>
      <c r="C12" t="s">
        <v>22</v>
      </c>
      <c r="D12">
        <v>6</v>
      </c>
      <c r="E12">
        <v>64.98</v>
      </c>
      <c r="F12" t="s">
        <v>36</v>
      </c>
      <c r="G12" t="s">
        <v>37</v>
      </c>
      <c r="H12">
        <v>0</v>
      </c>
      <c r="I12" t="s">
        <v>46</v>
      </c>
      <c r="J12">
        <v>389.88</v>
      </c>
      <c r="K12" t="s">
        <v>38</v>
      </c>
      <c r="L12" t="s">
        <v>27</v>
      </c>
      <c r="M12">
        <v>0</v>
      </c>
      <c r="N12" t="s">
        <v>119</v>
      </c>
      <c r="O12" t="s">
        <v>120</v>
      </c>
      <c r="P12">
        <v>21.25</v>
      </c>
      <c r="Q12" s="2">
        <v>45903</v>
      </c>
      <c r="R12" t="s">
        <v>121</v>
      </c>
      <c r="S12" t="s">
        <v>42</v>
      </c>
      <c r="T12" t="s">
        <v>52</v>
      </c>
      <c r="U12">
        <v>368.63</v>
      </c>
      <c r="V12">
        <v>0</v>
      </c>
    </row>
    <row r="13" spans="1:22" x14ac:dyDescent="0.3">
      <c r="A13" t="s">
        <v>122</v>
      </c>
      <c r="B13" t="s">
        <v>45</v>
      </c>
      <c r="C13" t="s">
        <v>22</v>
      </c>
      <c r="D13">
        <v>17</v>
      </c>
      <c r="E13">
        <v>476.49</v>
      </c>
      <c r="F13" t="s">
        <v>55</v>
      </c>
      <c r="G13" t="s">
        <v>37</v>
      </c>
      <c r="H13">
        <v>0</v>
      </c>
      <c r="I13" t="s">
        <v>25</v>
      </c>
      <c r="J13">
        <v>8100.33</v>
      </c>
      <c r="K13" t="s">
        <v>57</v>
      </c>
      <c r="L13" t="s">
        <v>48</v>
      </c>
      <c r="M13">
        <v>0</v>
      </c>
      <c r="N13" t="s">
        <v>123</v>
      </c>
      <c r="O13" t="s">
        <v>124</v>
      </c>
      <c r="P13">
        <v>17.91</v>
      </c>
      <c r="Q13" s="2">
        <v>45050</v>
      </c>
      <c r="R13" t="s">
        <v>125</v>
      </c>
      <c r="S13" t="s">
        <v>51</v>
      </c>
      <c r="T13" t="s">
        <v>63</v>
      </c>
      <c r="U13">
        <v>8082.42</v>
      </c>
      <c r="V13">
        <v>0</v>
      </c>
    </row>
    <row r="14" spans="1:22" x14ac:dyDescent="0.3">
      <c r="A14" t="s">
        <v>126</v>
      </c>
      <c r="B14" t="s">
        <v>21</v>
      </c>
      <c r="C14" t="s">
        <v>127</v>
      </c>
      <c r="D14">
        <v>4</v>
      </c>
      <c r="E14">
        <v>559.72</v>
      </c>
      <c r="F14" t="s">
        <v>55</v>
      </c>
      <c r="G14" t="s">
        <v>37</v>
      </c>
      <c r="H14">
        <v>0.15</v>
      </c>
      <c r="I14" t="s">
        <v>78</v>
      </c>
      <c r="J14">
        <v>1903.05</v>
      </c>
      <c r="K14" t="s">
        <v>26</v>
      </c>
      <c r="L14" t="s">
        <v>58</v>
      </c>
      <c r="M14">
        <v>0</v>
      </c>
      <c r="N14" t="s">
        <v>128</v>
      </c>
      <c r="O14" t="s">
        <v>129</v>
      </c>
      <c r="P14">
        <v>41.91</v>
      </c>
      <c r="Q14" s="2">
        <v>45874</v>
      </c>
      <c r="R14" t="s">
        <v>130</v>
      </c>
      <c r="S14" t="s">
        <v>31</v>
      </c>
      <c r="T14" t="s">
        <v>82</v>
      </c>
      <c r="U14">
        <v>1861.1399999999999</v>
      </c>
      <c r="V14">
        <v>335.83199999999999</v>
      </c>
    </row>
    <row r="15" spans="1:22" x14ac:dyDescent="0.3">
      <c r="A15" t="s">
        <v>131</v>
      </c>
      <c r="B15" t="s">
        <v>21</v>
      </c>
      <c r="C15" t="s">
        <v>109</v>
      </c>
      <c r="D15">
        <v>14</v>
      </c>
      <c r="E15">
        <v>82.14</v>
      </c>
      <c r="F15" t="s">
        <v>36</v>
      </c>
      <c r="G15" t="s">
        <v>37</v>
      </c>
      <c r="H15">
        <v>0</v>
      </c>
      <c r="I15" t="s">
        <v>25</v>
      </c>
      <c r="J15">
        <v>1149.96</v>
      </c>
      <c r="K15" t="s">
        <v>101</v>
      </c>
      <c r="L15" t="s">
        <v>48</v>
      </c>
      <c r="M15">
        <v>0</v>
      </c>
      <c r="N15" t="s">
        <v>132</v>
      </c>
      <c r="O15" t="s">
        <v>133</v>
      </c>
      <c r="P15">
        <v>12.57</v>
      </c>
      <c r="Q15" s="2">
        <v>44994</v>
      </c>
      <c r="R15" t="s">
        <v>134</v>
      </c>
      <c r="S15" t="s">
        <v>31</v>
      </c>
      <c r="T15" t="s">
        <v>98</v>
      </c>
      <c r="U15">
        <v>1137.3900000000001</v>
      </c>
      <c r="V15">
        <v>0</v>
      </c>
    </row>
    <row r="16" spans="1:22" x14ac:dyDescent="0.3">
      <c r="A16" t="s">
        <v>135</v>
      </c>
      <c r="B16" t="s">
        <v>45</v>
      </c>
      <c r="C16" t="s">
        <v>100</v>
      </c>
      <c r="D16">
        <v>2</v>
      </c>
      <c r="E16">
        <v>503.28</v>
      </c>
      <c r="F16" t="s">
        <v>55</v>
      </c>
      <c r="G16" t="s">
        <v>37</v>
      </c>
      <c r="H16">
        <v>0.15</v>
      </c>
      <c r="I16" t="s">
        <v>25</v>
      </c>
      <c r="J16">
        <v>855.58</v>
      </c>
      <c r="K16" t="s">
        <v>57</v>
      </c>
      <c r="L16" t="s">
        <v>48</v>
      </c>
      <c r="M16">
        <v>0</v>
      </c>
      <c r="N16" t="s">
        <v>136</v>
      </c>
      <c r="O16" t="s">
        <v>137</v>
      </c>
      <c r="P16">
        <v>34.79</v>
      </c>
      <c r="Q16" s="2">
        <v>45175</v>
      </c>
      <c r="R16" t="s">
        <v>138</v>
      </c>
      <c r="S16" t="s">
        <v>51</v>
      </c>
      <c r="T16" t="s">
        <v>52</v>
      </c>
      <c r="U16">
        <v>820.79000000000008</v>
      </c>
      <c r="V16">
        <v>150.98399999999998</v>
      </c>
    </row>
    <row r="17" spans="1:22" x14ac:dyDescent="0.3">
      <c r="A17" t="s">
        <v>139</v>
      </c>
      <c r="B17" t="s">
        <v>34</v>
      </c>
      <c r="C17" t="s">
        <v>140</v>
      </c>
      <c r="D17">
        <v>5</v>
      </c>
      <c r="E17">
        <v>470.32</v>
      </c>
      <c r="F17" t="s">
        <v>84</v>
      </c>
      <c r="G17" t="s">
        <v>37</v>
      </c>
      <c r="H17">
        <v>0.1</v>
      </c>
      <c r="I17" t="s">
        <v>65</v>
      </c>
      <c r="J17">
        <v>2116.44</v>
      </c>
      <c r="K17" t="s">
        <v>38</v>
      </c>
      <c r="L17" t="s">
        <v>58</v>
      </c>
      <c r="M17">
        <v>0</v>
      </c>
      <c r="N17" t="s">
        <v>141</v>
      </c>
      <c r="O17" t="s">
        <v>142</v>
      </c>
      <c r="P17">
        <v>17.77</v>
      </c>
      <c r="Q17" s="2">
        <v>45207</v>
      </c>
      <c r="R17" t="s">
        <v>104</v>
      </c>
      <c r="S17" t="s">
        <v>42</v>
      </c>
      <c r="T17" t="s">
        <v>32</v>
      </c>
      <c r="U17">
        <v>2098.67</v>
      </c>
      <c r="V17">
        <v>235.16</v>
      </c>
    </row>
    <row r="18" spans="1:22" x14ac:dyDescent="0.3">
      <c r="A18" t="s">
        <v>143</v>
      </c>
      <c r="B18" t="s">
        <v>34</v>
      </c>
      <c r="C18" t="s">
        <v>109</v>
      </c>
      <c r="D18">
        <v>16</v>
      </c>
      <c r="E18">
        <v>302.58</v>
      </c>
      <c r="F18" t="s">
        <v>55</v>
      </c>
      <c r="G18" t="s">
        <v>37</v>
      </c>
      <c r="H18">
        <v>0</v>
      </c>
      <c r="I18" t="s">
        <v>25</v>
      </c>
      <c r="J18">
        <v>4841.28</v>
      </c>
      <c r="K18" t="s">
        <v>26</v>
      </c>
      <c r="L18" t="s">
        <v>27</v>
      </c>
      <c r="M18">
        <v>1</v>
      </c>
      <c r="N18" t="s">
        <v>144</v>
      </c>
      <c r="O18" t="s">
        <v>145</v>
      </c>
      <c r="P18">
        <v>20.76</v>
      </c>
      <c r="Q18" s="2">
        <v>45388</v>
      </c>
      <c r="R18" t="s">
        <v>146</v>
      </c>
      <c r="S18" t="s">
        <v>42</v>
      </c>
      <c r="T18" t="s">
        <v>147</v>
      </c>
      <c r="U18">
        <v>4820.5199999999995</v>
      </c>
      <c r="V18">
        <v>0</v>
      </c>
    </row>
    <row r="19" spans="1:22" x14ac:dyDescent="0.3">
      <c r="A19" t="s">
        <v>148</v>
      </c>
      <c r="B19" t="s">
        <v>54</v>
      </c>
      <c r="C19" t="s">
        <v>35</v>
      </c>
      <c r="D19">
        <v>11</v>
      </c>
      <c r="E19">
        <v>33.130000000000003</v>
      </c>
      <c r="F19" t="s">
        <v>84</v>
      </c>
      <c r="G19" t="s">
        <v>37</v>
      </c>
      <c r="H19">
        <v>0.15</v>
      </c>
      <c r="I19" t="s">
        <v>56</v>
      </c>
      <c r="J19">
        <v>309.77</v>
      </c>
      <c r="K19" t="s">
        <v>26</v>
      </c>
      <c r="L19" t="s">
        <v>85</v>
      </c>
      <c r="M19">
        <v>0</v>
      </c>
      <c r="N19" t="s">
        <v>149</v>
      </c>
      <c r="O19" t="s">
        <v>150</v>
      </c>
      <c r="P19">
        <v>24.95</v>
      </c>
      <c r="Q19" s="2">
        <v>45718</v>
      </c>
      <c r="R19" t="s">
        <v>151</v>
      </c>
      <c r="S19" t="s">
        <v>62</v>
      </c>
      <c r="T19" t="s">
        <v>98</v>
      </c>
      <c r="U19">
        <v>284.82</v>
      </c>
      <c r="V19">
        <v>54.664499999999997</v>
      </c>
    </row>
    <row r="20" spans="1:22" x14ac:dyDescent="0.3">
      <c r="A20" t="s">
        <v>152</v>
      </c>
      <c r="B20" t="s">
        <v>70</v>
      </c>
      <c r="C20" t="s">
        <v>109</v>
      </c>
      <c r="D20">
        <v>8</v>
      </c>
      <c r="E20">
        <v>582.52</v>
      </c>
      <c r="F20" t="s">
        <v>55</v>
      </c>
      <c r="G20" t="s">
        <v>37</v>
      </c>
      <c r="H20">
        <v>0.15</v>
      </c>
      <c r="I20" t="s">
        <v>56</v>
      </c>
      <c r="J20">
        <v>3961.14</v>
      </c>
      <c r="K20" t="s">
        <v>57</v>
      </c>
      <c r="L20" t="s">
        <v>27</v>
      </c>
      <c r="M20">
        <v>0</v>
      </c>
      <c r="N20" t="s">
        <v>153</v>
      </c>
      <c r="O20" t="s">
        <v>154</v>
      </c>
      <c r="P20">
        <v>6.47</v>
      </c>
      <c r="Q20" s="2">
        <v>45536</v>
      </c>
      <c r="R20" t="s">
        <v>155</v>
      </c>
      <c r="S20" t="s">
        <v>75</v>
      </c>
      <c r="T20" t="s">
        <v>52</v>
      </c>
      <c r="U20">
        <v>3954.67</v>
      </c>
      <c r="V20">
        <v>699.024</v>
      </c>
    </row>
    <row r="21" spans="1:22" x14ac:dyDescent="0.3">
      <c r="A21" t="s">
        <v>172</v>
      </c>
      <c r="B21" t="s">
        <v>70</v>
      </c>
      <c r="C21" t="s">
        <v>71</v>
      </c>
      <c r="D21">
        <v>17</v>
      </c>
      <c r="E21">
        <v>146.28</v>
      </c>
      <c r="F21" t="s">
        <v>23</v>
      </c>
      <c r="G21" t="s">
        <v>37</v>
      </c>
      <c r="H21">
        <v>0.15</v>
      </c>
      <c r="I21" t="s">
        <v>46</v>
      </c>
      <c r="J21">
        <v>2113.75</v>
      </c>
      <c r="K21" t="s">
        <v>47</v>
      </c>
      <c r="L21" t="s">
        <v>58</v>
      </c>
      <c r="M21">
        <v>0</v>
      </c>
      <c r="N21" t="s">
        <v>173</v>
      </c>
      <c r="O21" t="s">
        <v>174</v>
      </c>
      <c r="P21">
        <v>7.84</v>
      </c>
      <c r="Q21" s="2">
        <v>45811</v>
      </c>
      <c r="R21" t="s">
        <v>121</v>
      </c>
      <c r="S21" t="s">
        <v>75</v>
      </c>
      <c r="T21" t="s">
        <v>105</v>
      </c>
      <c r="U21">
        <v>2105.91</v>
      </c>
      <c r="V21">
        <v>373.01400000000001</v>
      </c>
    </row>
    <row r="22" spans="1:22" x14ac:dyDescent="0.3">
      <c r="A22" t="s">
        <v>175</v>
      </c>
      <c r="B22" t="s">
        <v>45</v>
      </c>
      <c r="C22" t="s">
        <v>71</v>
      </c>
      <c r="D22">
        <v>8</v>
      </c>
      <c r="E22">
        <v>301.68</v>
      </c>
      <c r="F22" t="s">
        <v>55</v>
      </c>
      <c r="G22" t="s">
        <v>37</v>
      </c>
      <c r="H22">
        <v>0</v>
      </c>
      <c r="I22" t="s">
        <v>65</v>
      </c>
      <c r="J22">
        <v>2413.44</v>
      </c>
      <c r="K22" t="s">
        <v>47</v>
      </c>
      <c r="L22" t="s">
        <v>58</v>
      </c>
      <c r="M22">
        <v>0</v>
      </c>
      <c r="N22" t="s">
        <v>176</v>
      </c>
      <c r="O22" t="s">
        <v>177</v>
      </c>
      <c r="P22">
        <v>36.54</v>
      </c>
      <c r="Q22" s="2">
        <v>45266</v>
      </c>
      <c r="R22" t="s">
        <v>178</v>
      </c>
      <c r="S22" t="s">
        <v>51</v>
      </c>
      <c r="T22" t="s">
        <v>76</v>
      </c>
      <c r="U22">
        <v>2376.9</v>
      </c>
      <c r="V22">
        <v>0</v>
      </c>
    </row>
    <row r="23" spans="1:22" x14ac:dyDescent="0.3">
      <c r="A23" t="s">
        <v>183</v>
      </c>
      <c r="B23" t="s">
        <v>45</v>
      </c>
      <c r="C23" t="s">
        <v>127</v>
      </c>
      <c r="D23">
        <v>3</v>
      </c>
      <c r="E23">
        <v>66.58</v>
      </c>
      <c r="F23" t="s">
        <v>23</v>
      </c>
      <c r="G23" t="s">
        <v>37</v>
      </c>
      <c r="H23">
        <v>0.1</v>
      </c>
      <c r="I23" t="s">
        <v>56</v>
      </c>
      <c r="J23">
        <v>179.77</v>
      </c>
      <c r="K23" t="s">
        <v>38</v>
      </c>
      <c r="L23" t="s">
        <v>85</v>
      </c>
      <c r="M23">
        <v>0</v>
      </c>
      <c r="N23" t="s">
        <v>184</v>
      </c>
      <c r="O23" t="s">
        <v>185</v>
      </c>
      <c r="P23">
        <v>22.43</v>
      </c>
      <c r="Q23" s="2">
        <v>44936</v>
      </c>
      <c r="R23" t="s">
        <v>186</v>
      </c>
      <c r="S23" t="s">
        <v>51</v>
      </c>
      <c r="T23" t="s">
        <v>187</v>
      </c>
      <c r="U23">
        <v>157.34</v>
      </c>
      <c r="V23">
        <v>19.974000000000004</v>
      </c>
    </row>
    <row r="24" spans="1:22" x14ac:dyDescent="0.3">
      <c r="A24" t="s">
        <v>188</v>
      </c>
      <c r="B24" t="s">
        <v>70</v>
      </c>
      <c r="C24" t="s">
        <v>109</v>
      </c>
      <c r="D24">
        <v>15</v>
      </c>
      <c r="E24">
        <v>328.36</v>
      </c>
      <c r="F24" t="s">
        <v>55</v>
      </c>
      <c r="G24" t="s">
        <v>37</v>
      </c>
      <c r="H24">
        <v>0.15</v>
      </c>
      <c r="I24" t="s">
        <v>25</v>
      </c>
      <c r="J24">
        <v>4186.59</v>
      </c>
      <c r="K24" t="s">
        <v>57</v>
      </c>
      <c r="L24" t="s">
        <v>27</v>
      </c>
      <c r="M24">
        <v>0</v>
      </c>
      <c r="N24" t="s">
        <v>189</v>
      </c>
      <c r="O24" t="s">
        <v>190</v>
      </c>
      <c r="P24">
        <v>15.76</v>
      </c>
      <c r="Q24" s="2">
        <v>45354</v>
      </c>
      <c r="R24" t="s">
        <v>191</v>
      </c>
      <c r="S24" t="s">
        <v>75</v>
      </c>
      <c r="T24" t="s">
        <v>98</v>
      </c>
      <c r="U24">
        <v>4170.83</v>
      </c>
      <c r="V24">
        <v>738.81000000000006</v>
      </c>
    </row>
    <row r="25" spans="1:22" x14ac:dyDescent="0.3">
      <c r="A25" t="s">
        <v>211</v>
      </c>
      <c r="B25" t="s">
        <v>21</v>
      </c>
      <c r="C25" t="s">
        <v>22</v>
      </c>
      <c r="D25">
        <v>8</v>
      </c>
      <c r="E25">
        <v>179.9</v>
      </c>
      <c r="F25" t="s">
        <v>36</v>
      </c>
      <c r="G25" t="s">
        <v>37</v>
      </c>
      <c r="H25">
        <v>0.05</v>
      </c>
      <c r="I25" t="s">
        <v>46</v>
      </c>
      <c r="J25">
        <v>1367.24</v>
      </c>
      <c r="K25" t="s">
        <v>26</v>
      </c>
      <c r="L25" t="s">
        <v>58</v>
      </c>
      <c r="M25">
        <v>0</v>
      </c>
      <c r="N25" t="s">
        <v>212</v>
      </c>
      <c r="O25" t="s">
        <v>213</v>
      </c>
      <c r="P25">
        <v>14.8</v>
      </c>
      <c r="Q25" s="2">
        <v>45660</v>
      </c>
      <c r="R25" t="s">
        <v>53</v>
      </c>
      <c r="S25" t="s">
        <v>31</v>
      </c>
      <c r="T25" t="s">
        <v>187</v>
      </c>
      <c r="U25">
        <v>1352.44</v>
      </c>
      <c r="V25">
        <v>71.960000000000008</v>
      </c>
    </row>
    <row r="26" spans="1:22" x14ac:dyDescent="0.3">
      <c r="A26" t="s">
        <v>217</v>
      </c>
      <c r="B26" t="s">
        <v>21</v>
      </c>
      <c r="C26" t="s">
        <v>22</v>
      </c>
      <c r="D26">
        <v>3</v>
      </c>
      <c r="E26">
        <v>566.20000000000005</v>
      </c>
      <c r="F26" t="s">
        <v>55</v>
      </c>
      <c r="G26" t="s">
        <v>37</v>
      </c>
      <c r="H26">
        <v>0</v>
      </c>
      <c r="I26" t="s">
        <v>94</v>
      </c>
      <c r="J26">
        <v>1698.6</v>
      </c>
      <c r="K26" t="s">
        <v>57</v>
      </c>
      <c r="L26" t="s">
        <v>85</v>
      </c>
      <c r="M26">
        <v>1</v>
      </c>
      <c r="N26" t="s">
        <v>218</v>
      </c>
      <c r="O26" t="s">
        <v>219</v>
      </c>
      <c r="P26">
        <v>28.97</v>
      </c>
      <c r="Q26" s="2">
        <v>45480</v>
      </c>
      <c r="R26" t="s">
        <v>220</v>
      </c>
      <c r="S26" t="s">
        <v>31</v>
      </c>
      <c r="T26" t="s">
        <v>117</v>
      </c>
      <c r="U26">
        <v>1669.6299999999999</v>
      </c>
      <c r="V26">
        <v>0</v>
      </c>
    </row>
    <row r="27" spans="1:22" x14ac:dyDescent="0.3">
      <c r="A27" t="s">
        <v>233</v>
      </c>
      <c r="B27" t="s">
        <v>54</v>
      </c>
      <c r="C27" t="s">
        <v>140</v>
      </c>
      <c r="D27">
        <v>2</v>
      </c>
      <c r="E27">
        <v>289.14</v>
      </c>
      <c r="F27" t="s">
        <v>36</v>
      </c>
      <c r="G27" t="s">
        <v>37</v>
      </c>
      <c r="H27">
        <v>0.05</v>
      </c>
      <c r="I27" t="s">
        <v>78</v>
      </c>
      <c r="J27">
        <v>549.37</v>
      </c>
      <c r="K27" t="s">
        <v>26</v>
      </c>
      <c r="L27" t="s">
        <v>58</v>
      </c>
      <c r="M27">
        <v>0</v>
      </c>
      <c r="N27" t="s">
        <v>234</v>
      </c>
      <c r="O27" t="s">
        <v>235</v>
      </c>
      <c r="P27">
        <v>5.13</v>
      </c>
      <c r="Q27" s="2">
        <v>45604</v>
      </c>
      <c r="R27" t="s">
        <v>236</v>
      </c>
      <c r="S27" t="s">
        <v>62</v>
      </c>
      <c r="T27" t="s">
        <v>43</v>
      </c>
      <c r="U27">
        <v>544.24</v>
      </c>
      <c r="V27">
        <v>28.914000000000001</v>
      </c>
    </row>
    <row r="28" spans="1:22" x14ac:dyDescent="0.3">
      <c r="A28" t="s">
        <v>99</v>
      </c>
      <c r="B28" t="s">
        <v>45</v>
      </c>
      <c r="C28" t="s">
        <v>100</v>
      </c>
      <c r="D28">
        <v>10</v>
      </c>
      <c r="E28">
        <v>508.57</v>
      </c>
      <c r="F28" t="s">
        <v>55</v>
      </c>
      <c r="G28" t="s">
        <v>37</v>
      </c>
      <c r="H28">
        <v>0.05</v>
      </c>
      <c r="I28" t="s">
        <v>94</v>
      </c>
      <c r="J28">
        <v>4831.42</v>
      </c>
      <c r="K28" t="s">
        <v>26</v>
      </c>
      <c r="L28" t="s">
        <v>58</v>
      </c>
      <c r="M28">
        <v>0</v>
      </c>
      <c r="N28" t="s">
        <v>241</v>
      </c>
      <c r="O28" t="s">
        <v>242</v>
      </c>
      <c r="P28">
        <v>9.35</v>
      </c>
      <c r="Q28" s="2">
        <v>45085</v>
      </c>
      <c r="R28" t="s">
        <v>243</v>
      </c>
      <c r="S28" t="s">
        <v>51</v>
      </c>
      <c r="T28" t="s">
        <v>105</v>
      </c>
      <c r="U28">
        <v>4822.07</v>
      </c>
      <c r="V28">
        <v>254.285</v>
      </c>
    </row>
    <row r="29" spans="1:22" x14ac:dyDescent="0.3">
      <c r="A29" t="s">
        <v>244</v>
      </c>
      <c r="B29" t="s">
        <v>45</v>
      </c>
      <c r="C29" t="s">
        <v>35</v>
      </c>
      <c r="D29">
        <v>9</v>
      </c>
      <c r="E29">
        <v>313.29000000000002</v>
      </c>
      <c r="F29" t="s">
        <v>55</v>
      </c>
      <c r="G29" t="s">
        <v>37</v>
      </c>
      <c r="H29">
        <v>0</v>
      </c>
      <c r="I29" t="s">
        <v>46</v>
      </c>
      <c r="J29">
        <v>2819.61</v>
      </c>
      <c r="K29" t="s">
        <v>26</v>
      </c>
      <c r="L29" t="s">
        <v>85</v>
      </c>
      <c r="M29">
        <v>0</v>
      </c>
      <c r="N29" t="s">
        <v>245</v>
      </c>
      <c r="O29" t="s">
        <v>246</v>
      </c>
      <c r="P29">
        <v>14.04</v>
      </c>
      <c r="Q29" s="2">
        <v>45476</v>
      </c>
      <c r="R29" t="s">
        <v>247</v>
      </c>
      <c r="S29" t="s">
        <v>51</v>
      </c>
      <c r="T29" t="s">
        <v>117</v>
      </c>
      <c r="U29">
        <v>2805.57</v>
      </c>
      <c r="V29">
        <v>0</v>
      </c>
    </row>
    <row r="30" spans="1:22" x14ac:dyDescent="0.3">
      <c r="A30" t="s">
        <v>168</v>
      </c>
      <c r="B30" t="s">
        <v>21</v>
      </c>
      <c r="C30" t="s">
        <v>71</v>
      </c>
      <c r="D30">
        <v>18</v>
      </c>
      <c r="E30">
        <v>152.84</v>
      </c>
      <c r="F30" t="s">
        <v>36</v>
      </c>
      <c r="G30" t="s">
        <v>37</v>
      </c>
      <c r="H30">
        <v>0.15</v>
      </c>
      <c r="I30" t="s">
        <v>78</v>
      </c>
      <c r="J30">
        <v>2338.4499999999998</v>
      </c>
      <c r="K30" t="s">
        <v>38</v>
      </c>
      <c r="L30" t="s">
        <v>85</v>
      </c>
      <c r="M30">
        <v>1</v>
      </c>
      <c r="N30" t="s">
        <v>254</v>
      </c>
      <c r="O30" t="s">
        <v>255</v>
      </c>
      <c r="P30">
        <v>20.3</v>
      </c>
      <c r="Q30" s="2">
        <v>45967</v>
      </c>
      <c r="R30" t="s">
        <v>256</v>
      </c>
      <c r="S30" t="s">
        <v>31</v>
      </c>
      <c r="T30" t="s">
        <v>43</v>
      </c>
      <c r="U30">
        <v>2318.1499999999996</v>
      </c>
      <c r="V30">
        <v>412.66799999999995</v>
      </c>
    </row>
    <row r="31" spans="1:22" x14ac:dyDescent="0.3">
      <c r="A31" t="s">
        <v>64</v>
      </c>
      <c r="B31" t="s">
        <v>21</v>
      </c>
      <c r="C31" t="s">
        <v>71</v>
      </c>
      <c r="D31">
        <v>10</v>
      </c>
      <c r="E31">
        <v>195.26</v>
      </c>
      <c r="F31" t="s">
        <v>55</v>
      </c>
      <c r="G31" t="s">
        <v>37</v>
      </c>
      <c r="H31">
        <v>0.05</v>
      </c>
      <c r="I31" t="s">
        <v>25</v>
      </c>
      <c r="J31">
        <v>1854.97</v>
      </c>
      <c r="K31" t="s">
        <v>101</v>
      </c>
      <c r="L31" t="s">
        <v>27</v>
      </c>
      <c r="M31">
        <v>0</v>
      </c>
      <c r="N31" t="s">
        <v>267</v>
      </c>
      <c r="O31" t="s">
        <v>268</v>
      </c>
      <c r="P31">
        <v>46.91</v>
      </c>
      <c r="Q31" s="2">
        <v>45569</v>
      </c>
      <c r="R31" t="s">
        <v>269</v>
      </c>
      <c r="S31" t="s">
        <v>31</v>
      </c>
      <c r="T31" t="s">
        <v>32</v>
      </c>
      <c r="U31">
        <v>1808.06</v>
      </c>
      <c r="V31">
        <v>97.63</v>
      </c>
    </row>
    <row r="32" spans="1:22" x14ac:dyDescent="0.3">
      <c r="A32" t="s">
        <v>204</v>
      </c>
      <c r="B32" t="s">
        <v>21</v>
      </c>
      <c r="C32" t="s">
        <v>100</v>
      </c>
      <c r="D32">
        <v>19</v>
      </c>
      <c r="E32">
        <v>463.51</v>
      </c>
      <c r="F32" t="s">
        <v>23</v>
      </c>
      <c r="G32" t="s">
        <v>37</v>
      </c>
      <c r="H32">
        <v>0</v>
      </c>
      <c r="I32" t="s">
        <v>94</v>
      </c>
      <c r="J32">
        <v>8806.69</v>
      </c>
      <c r="K32" t="s">
        <v>47</v>
      </c>
      <c r="L32" t="s">
        <v>85</v>
      </c>
      <c r="M32">
        <v>0</v>
      </c>
      <c r="N32" t="s">
        <v>274</v>
      </c>
      <c r="O32" t="s">
        <v>275</v>
      </c>
      <c r="P32">
        <v>49.38</v>
      </c>
      <c r="Q32" s="2">
        <v>45047</v>
      </c>
      <c r="R32" t="s">
        <v>276</v>
      </c>
      <c r="S32" t="s">
        <v>31</v>
      </c>
      <c r="T32" t="s">
        <v>63</v>
      </c>
      <c r="U32">
        <v>8757.3100000000013</v>
      </c>
      <c r="V32">
        <v>0</v>
      </c>
    </row>
    <row r="33" spans="1:22" x14ac:dyDescent="0.3">
      <c r="A33" t="s">
        <v>277</v>
      </c>
      <c r="B33" t="s">
        <v>54</v>
      </c>
      <c r="C33" t="s">
        <v>22</v>
      </c>
      <c r="D33">
        <v>13</v>
      </c>
      <c r="E33">
        <v>104.8</v>
      </c>
      <c r="F33" t="s">
        <v>23</v>
      </c>
      <c r="G33" t="s">
        <v>37</v>
      </c>
      <c r="H33">
        <v>0.05</v>
      </c>
      <c r="I33" t="s">
        <v>78</v>
      </c>
      <c r="J33">
        <v>1294.28</v>
      </c>
      <c r="K33" t="s">
        <v>101</v>
      </c>
      <c r="L33" t="s">
        <v>27</v>
      </c>
      <c r="M33">
        <v>0</v>
      </c>
      <c r="N33" t="s">
        <v>278</v>
      </c>
      <c r="O33" t="s">
        <v>279</v>
      </c>
      <c r="P33">
        <v>7.79</v>
      </c>
      <c r="Q33" s="2">
        <v>45993</v>
      </c>
      <c r="R33" t="s">
        <v>280</v>
      </c>
      <c r="S33" t="s">
        <v>62</v>
      </c>
      <c r="T33" t="s">
        <v>76</v>
      </c>
      <c r="U33">
        <v>1286.49</v>
      </c>
      <c r="V33">
        <v>68.11999999999999</v>
      </c>
    </row>
    <row r="34" spans="1:22" x14ac:dyDescent="0.3">
      <c r="A34" t="s">
        <v>293</v>
      </c>
      <c r="B34" t="s">
        <v>21</v>
      </c>
      <c r="C34" t="s">
        <v>35</v>
      </c>
      <c r="D34">
        <v>11</v>
      </c>
      <c r="E34">
        <v>71.209999999999994</v>
      </c>
      <c r="F34" t="s">
        <v>23</v>
      </c>
      <c r="G34" t="s">
        <v>37</v>
      </c>
      <c r="H34">
        <v>0.05</v>
      </c>
      <c r="I34" t="s">
        <v>78</v>
      </c>
      <c r="J34">
        <v>744.14</v>
      </c>
      <c r="K34" t="s">
        <v>26</v>
      </c>
      <c r="L34" t="s">
        <v>48</v>
      </c>
      <c r="M34">
        <v>1</v>
      </c>
      <c r="N34" t="s">
        <v>294</v>
      </c>
      <c r="O34" t="s">
        <v>295</v>
      </c>
      <c r="P34">
        <v>44.2</v>
      </c>
      <c r="Q34" s="2">
        <v>45203</v>
      </c>
      <c r="R34" t="s">
        <v>296</v>
      </c>
      <c r="S34" t="s">
        <v>31</v>
      </c>
      <c r="T34" t="s">
        <v>32</v>
      </c>
      <c r="U34">
        <v>699.93999999999994</v>
      </c>
      <c r="V34">
        <v>39.165500000000002</v>
      </c>
    </row>
    <row r="35" spans="1:22" x14ac:dyDescent="0.3">
      <c r="A35" t="s">
        <v>297</v>
      </c>
      <c r="B35" t="s">
        <v>45</v>
      </c>
      <c r="C35" t="s">
        <v>140</v>
      </c>
      <c r="D35">
        <v>8</v>
      </c>
      <c r="E35">
        <v>486.07</v>
      </c>
      <c r="F35" t="s">
        <v>23</v>
      </c>
      <c r="G35" t="s">
        <v>37</v>
      </c>
      <c r="H35">
        <v>0</v>
      </c>
      <c r="I35" t="s">
        <v>46</v>
      </c>
      <c r="J35">
        <v>3888.56</v>
      </c>
      <c r="K35" t="s">
        <v>38</v>
      </c>
      <c r="L35" t="s">
        <v>85</v>
      </c>
      <c r="M35">
        <v>0</v>
      </c>
      <c r="N35" t="s">
        <v>298</v>
      </c>
      <c r="O35" t="s">
        <v>299</v>
      </c>
      <c r="P35">
        <v>10.68</v>
      </c>
      <c r="Q35" s="2">
        <v>45750</v>
      </c>
      <c r="R35" t="s">
        <v>300</v>
      </c>
      <c r="S35" t="s">
        <v>51</v>
      </c>
      <c r="T35" t="s">
        <v>147</v>
      </c>
      <c r="U35">
        <v>3877.88</v>
      </c>
      <c r="V35">
        <v>0</v>
      </c>
    </row>
    <row r="36" spans="1:22" x14ac:dyDescent="0.3">
      <c r="A36" t="s">
        <v>301</v>
      </c>
      <c r="B36" t="s">
        <v>70</v>
      </c>
      <c r="C36" t="s">
        <v>100</v>
      </c>
      <c r="D36">
        <v>6</v>
      </c>
      <c r="E36">
        <v>555.03</v>
      </c>
      <c r="F36" t="s">
        <v>36</v>
      </c>
      <c r="G36" t="s">
        <v>37</v>
      </c>
      <c r="H36">
        <v>0.1</v>
      </c>
      <c r="I36" t="s">
        <v>56</v>
      </c>
      <c r="J36">
        <v>2997.16</v>
      </c>
      <c r="K36" t="s">
        <v>101</v>
      </c>
      <c r="L36" t="s">
        <v>48</v>
      </c>
      <c r="M36">
        <v>1</v>
      </c>
      <c r="N36" t="s">
        <v>302</v>
      </c>
      <c r="O36" t="s">
        <v>303</v>
      </c>
      <c r="P36">
        <v>23.69</v>
      </c>
      <c r="Q36" s="2">
        <v>45603</v>
      </c>
      <c r="R36" t="s">
        <v>304</v>
      </c>
      <c r="S36" t="s">
        <v>75</v>
      </c>
      <c r="T36" t="s">
        <v>43</v>
      </c>
      <c r="U36">
        <v>2973.47</v>
      </c>
      <c r="V36">
        <v>333.01800000000003</v>
      </c>
    </row>
    <row r="37" spans="1:22" x14ac:dyDescent="0.3">
      <c r="A37" t="s">
        <v>309</v>
      </c>
      <c r="B37" t="s">
        <v>70</v>
      </c>
      <c r="C37" t="s">
        <v>109</v>
      </c>
      <c r="D37">
        <v>5</v>
      </c>
      <c r="E37">
        <v>31.56</v>
      </c>
      <c r="F37" t="s">
        <v>55</v>
      </c>
      <c r="G37" t="s">
        <v>37</v>
      </c>
      <c r="H37">
        <v>0</v>
      </c>
      <c r="I37" t="s">
        <v>78</v>
      </c>
      <c r="J37">
        <v>157.80000000000001</v>
      </c>
      <c r="K37" t="s">
        <v>26</v>
      </c>
      <c r="L37" t="s">
        <v>58</v>
      </c>
      <c r="M37">
        <v>1</v>
      </c>
      <c r="N37" t="s">
        <v>310</v>
      </c>
      <c r="O37" t="s">
        <v>311</v>
      </c>
      <c r="P37">
        <v>29.56</v>
      </c>
      <c r="Q37" s="2">
        <v>45661</v>
      </c>
      <c r="R37" t="s">
        <v>312</v>
      </c>
      <c r="S37" t="s">
        <v>75</v>
      </c>
      <c r="T37" t="s">
        <v>187</v>
      </c>
      <c r="U37">
        <v>128.24</v>
      </c>
      <c r="V37">
        <v>0</v>
      </c>
    </row>
    <row r="38" spans="1:22" x14ac:dyDescent="0.3">
      <c r="A38" t="s">
        <v>179</v>
      </c>
      <c r="B38" t="s">
        <v>54</v>
      </c>
      <c r="C38" t="s">
        <v>140</v>
      </c>
      <c r="D38">
        <v>18</v>
      </c>
      <c r="E38">
        <v>421.93</v>
      </c>
      <c r="F38" t="s">
        <v>55</v>
      </c>
      <c r="G38" t="s">
        <v>37</v>
      </c>
      <c r="H38">
        <v>0.05</v>
      </c>
      <c r="I38" t="s">
        <v>94</v>
      </c>
      <c r="J38">
        <v>7215</v>
      </c>
      <c r="K38" t="s">
        <v>57</v>
      </c>
      <c r="L38" t="s">
        <v>27</v>
      </c>
      <c r="M38">
        <v>0</v>
      </c>
      <c r="N38" t="s">
        <v>317</v>
      </c>
      <c r="O38" t="s">
        <v>318</v>
      </c>
      <c r="P38">
        <v>23.42</v>
      </c>
      <c r="Q38" s="2">
        <v>45181</v>
      </c>
      <c r="R38" t="s">
        <v>319</v>
      </c>
      <c r="S38" t="s">
        <v>62</v>
      </c>
      <c r="T38" t="s">
        <v>52</v>
      </c>
      <c r="U38">
        <v>7191.58</v>
      </c>
      <c r="V38">
        <v>379.73700000000002</v>
      </c>
    </row>
    <row r="39" spans="1:22" x14ac:dyDescent="0.3">
      <c r="A39" t="s">
        <v>326</v>
      </c>
      <c r="B39" t="s">
        <v>45</v>
      </c>
      <c r="C39" t="s">
        <v>140</v>
      </c>
      <c r="D39">
        <v>7</v>
      </c>
      <c r="E39">
        <v>248.1</v>
      </c>
      <c r="F39" t="s">
        <v>36</v>
      </c>
      <c r="G39" t="s">
        <v>37</v>
      </c>
      <c r="H39">
        <v>0</v>
      </c>
      <c r="I39" t="s">
        <v>78</v>
      </c>
      <c r="J39">
        <v>1736.7</v>
      </c>
      <c r="K39" t="s">
        <v>47</v>
      </c>
      <c r="L39" t="s">
        <v>27</v>
      </c>
      <c r="M39">
        <v>0</v>
      </c>
      <c r="N39" t="s">
        <v>327</v>
      </c>
      <c r="O39" t="s">
        <v>328</v>
      </c>
      <c r="P39">
        <v>31.8</v>
      </c>
      <c r="Q39" s="2">
        <v>45690</v>
      </c>
      <c r="R39" t="s">
        <v>329</v>
      </c>
      <c r="S39" t="s">
        <v>51</v>
      </c>
      <c r="T39" t="s">
        <v>199</v>
      </c>
      <c r="U39">
        <v>1704.9</v>
      </c>
      <c r="V39">
        <v>0</v>
      </c>
    </row>
    <row r="40" spans="1:22" x14ac:dyDescent="0.3">
      <c r="A40" t="s">
        <v>343</v>
      </c>
      <c r="B40" t="s">
        <v>54</v>
      </c>
      <c r="C40" t="s">
        <v>109</v>
      </c>
      <c r="D40">
        <v>19</v>
      </c>
      <c r="E40">
        <v>208.72</v>
      </c>
      <c r="F40" t="s">
        <v>55</v>
      </c>
      <c r="G40" t="s">
        <v>37</v>
      </c>
      <c r="H40">
        <v>0.05</v>
      </c>
      <c r="I40" t="s">
        <v>56</v>
      </c>
      <c r="J40">
        <v>3767.4</v>
      </c>
      <c r="K40" t="s">
        <v>101</v>
      </c>
      <c r="L40" t="s">
        <v>85</v>
      </c>
      <c r="M40">
        <v>0</v>
      </c>
      <c r="N40" t="s">
        <v>344</v>
      </c>
      <c r="O40" t="s">
        <v>345</v>
      </c>
      <c r="P40">
        <v>38.409999999999997</v>
      </c>
      <c r="Q40" s="2">
        <v>45331</v>
      </c>
      <c r="R40" t="s">
        <v>156</v>
      </c>
      <c r="S40" t="s">
        <v>62</v>
      </c>
      <c r="T40" t="s">
        <v>199</v>
      </c>
      <c r="U40">
        <v>3728.9900000000002</v>
      </c>
      <c r="V40">
        <v>198.28399999999999</v>
      </c>
    </row>
    <row r="41" spans="1:22" x14ac:dyDescent="0.3">
      <c r="A41" t="s">
        <v>354</v>
      </c>
      <c r="B41" t="s">
        <v>34</v>
      </c>
      <c r="C41" t="s">
        <v>22</v>
      </c>
      <c r="D41">
        <v>4</v>
      </c>
      <c r="E41">
        <v>551.71</v>
      </c>
      <c r="F41" t="s">
        <v>84</v>
      </c>
      <c r="G41" t="s">
        <v>37</v>
      </c>
      <c r="H41">
        <v>0.05</v>
      </c>
      <c r="I41" t="s">
        <v>65</v>
      </c>
      <c r="J41">
        <v>2096.5</v>
      </c>
      <c r="K41" t="s">
        <v>57</v>
      </c>
      <c r="L41" t="s">
        <v>48</v>
      </c>
      <c r="M41">
        <v>1</v>
      </c>
      <c r="N41" t="s">
        <v>355</v>
      </c>
      <c r="O41" t="s">
        <v>356</v>
      </c>
      <c r="P41">
        <v>26.32</v>
      </c>
      <c r="Q41" s="2">
        <v>45268</v>
      </c>
      <c r="R41" t="s">
        <v>357</v>
      </c>
      <c r="S41" t="s">
        <v>42</v>
      </c>
      <c r="T41" t="s">
        <v>76</v>
      </c>
      <c r="U41">
        <v>2070.1799999999998</v>
      </c>
      <c r="V41">
        <v>110.34200000000001</v>
      </c>
    </row>
    <row r="42" spans="1:22" x14ac:dyDescent="0.3">
      <c r="A42" t="s">
        <v>358</v>
      </c>
      <c r="B42" t="s">
        <v>34</v>
      </c>
      <c r="C42" t="s">
        <v>71</v>
      </c>
      <c r="D42">
        <v>20</v>
      </c>
      <c r="E42">
        <v>273.55</v>
      </c>
      <c r="F42" t="s">
        <v>55</v>
      </c>
      <c r="G42" t="s">
        <v>37</v>
      </c>
      <c r="H42">
        <v>0.15</v>
      </c>
      <c r="I42" t="s">
        <v>56</v>
      </c>
      <c r="J42">
        <v>4650.3500000000004</v>
      </c>
      <c r="K42" t="s">
        <v>38</v>
      </c>
      <c r="L42" t="s">
        <v>48</v>
      </c>
      <c r="M42">
        <v>0</v>
      </c>
      <c r="N42" t="s">
        <v>359</v>
      </c>
      <c r="O42" t="s">
        <v>360</v>
      </c>
      <c r="P42">
        <v>14.76</v>
      </c>
      <c r="Q42" s="2">
        <v>44935</v>
      </c>
      <c r="R42" t="s">
        <v>361</v>
      </c>
      <c r="S42" t="s">
        <v>42</v>
      </c>
      <c r="T42" t="s">
        <v>187</v>
      </c>
      <c r="U42">
        <v>4635.59</v>
      </c>
      <c r="V42">
        <v>820.65</v>
      </c>
    </row>
    <row r="43" spans="1:22" x14ac:dyDescent="0.3">
      <c r="A43" t="s">
        <v>365</v>
      </c>
      <c r="B43" t="s">
        <v>45</v>
      </c>
      <c r="C43" t="s">
        <v>109</v>
      </c>
      <c r="D43">
        <v>1</v>
      </c>
      <c r="E43">
        <v>259.87</v>
      </c>
      <c r="F43" t="s">
        <v>55</v>
      </c>
      <c r="G43" t="s">
        <v>37</v>
      </c>
      <c r="H43">
        <v>0.15</v>
      </c>
      <c r="I43" t="s">
        <v>65</v>
      </c>
      <c r="J43">
        <v>220.89</v>
      </c>
      <c r="K43" t="s">
        <v>57</v>
      </c>
      <c r="L43" t="s">
        <v>85</v>
      </c>
      <c r="M43">
        <v>0</v>
      </c>
      <c r="N43" t="s">
        <v>366</v>
      </c>
      <c r="O43" t="s">
        <v>367</v>
      </c>
      <c r="P43">
        <v>19.2</v>
      </c>
      <c r="Q43" s="2">
        <v>45357</v>
      </c>
      <c r="R43" t="s">
        <v>368</v>
      </c>
      <c r="S43" t="s">
        <v>51</v>
      </c>
      <c r="T43" t="s">
        <v>98</v>
      </c>
      <c r="U43">
        <v>201.69</v>
      </c>
      <c r="V43">
        <v>38.980499999999999</v>
      </c>
    </row>
    <row r="44" spans="1:22" x14ac:dyDescent="0.3">
      <c r="A44" t="s">
        <v>369</v>
      </c>
      <c r="B44" t="s">
        <v>45</v>
      </c>
      <c r="C44" t="s">
        <v>109</v>
      </c>
      <c r="D44">
        <v>20</v>
      </c>
      <c r="E44">
        <v>268.25</v>
      </c>
      <c r="F44" t="s">
        <v>55</v>
      </c>
      <c r="G44" t="s">
        <v>37</v>
      </c>
      <c r="H44">
        <v>0.05</v>
      </c>
      <c r="I44" t="s">
        <v>78</v>
      </c>
      <c r="J44">
        <v>5096.75</v>
      </c>
      <c r="K44" t="s">
        <v>47</v>
      </c>
      <c r="L44" t="s">
        <v>85</v>
      </c>
      <c r="M44">
        <v>0</v>
      </c>
      <c r="N44" t="s">
        <v>370</v>
      </c>
      <c r="O44" t="s">
        <v>371</v>
      </c>
      <c r="P44">
        <v>20.96</v>
      </c>
      <c r="Q44" s="2">
        <v>45149</v>
      </c>
      <c r="R44" t="s">
        <v>372</v>
      </c>
      <c r="S44" t="s">
        <v>51</v>
      </c>
      <c r="T44" t="s">
        <v>82</v>
      </c>
      <c r="U44">
        <v>5075.79</v>
      </c>
      <c r="V44">
        <v>268.25</v>
      </c>
    </row>
    <row r="45" spans="1:22" x14ac:dyDescent="0.3">
      <c r="A45" t="s">
        <v>346</v>
      </c>
      <c r="B45" t="s">
        <v>21</v>
      </c>
      <c r="C45" t="s">
        <v>140</v>
      </c>
      <c r="D45">
        <v>12</v>
      </c>
      <c r="E45">
        <v>413.45</v>
      </c>
      <c r="F45" t="s">
        <v>55</v>
      </c>
      <c r="G45" t="s">
        <v>37</v>
      </c>
      <c r="H45">
        <v>0.15</v>
      </c>
      <c r="I45" t="s">
        <v>94</v>
      </c>
      <c r="J45">
        <v>4217.1899999999996</v>
      </c>
      <c r="K45" t="s">
        <v>47</v>
      </c>
      <c r="L45" t="s">
        <v>85</v>
      </c>
      <c r="M45">
        <v>0</v>
      </c>
      <c r="N45" t="s">
        <v>373</v>
      </c>
      <c r="O45" t="s">
        <v>374</v>
      </c>
      <c r="P45">
        <v>23.25</v>
      </c>
      <c r="Q45" s="2">
        <v>45692</v>
      </c>
      <c r="R45" t="s">
        <v>375</v>
      </c>
      <c r="S45" t="s">
        <v>31</v>
      </c>
      <c r="T45" t="s">
        <v>199</v>
      </c>
      <c r="U45">
        <v>4193.9399999999996</v>
      </c>
      <c r="V45">
        <v>744.20999999999992</v>
      </c>
    </row>
    <row r="46" spans="1:22" x14ac:dyDescent="0.3">
      <c r="A46" t="s">
        <v>229</v>
      </c>
      <c r="B46" t="s">
        <v>21</v>
      </c>
      <c r="C46" t="s">
        <v>35</v>
      </c>
      <c r="D46">
        <v>19</v>
      </c>
      <c r="E46">
        <v>446.25</v>
      </c>
      <c r="F46" t="s">
        <v>23</v>
      </c>
      <c r="G46" t="s">
        <v>37</v>
      </c>
      <c r="H46">
        <v>0.1</v>
      </c>
      <c r="I46" t="s">
        <v>65</v>
      </c>
      <c r="J46">
        <v>7630.88</v>
      </c>
      <c r="K46" t="s">
        <v>57</v>
      </c>
      <c r="L46" t="s">
        <v>48</v>
      </c>
      <c r="M46">
        <v>0</v>
      </c>
      <c r="N46" t="s">
        <v>376</v>
      </c>
      <c r="O46" t="s">
        <v>377</v>
      </c>
      <c r="P46">
        <v>14.88</v>
      </c>
      <c r="Q46" s="2">
        <v>45997</v>
      </c>
      <c r="R46" t="s">
        <v>378</v>
      </c>
      <c r="S46" t="s">
        <v>31</v>
      </c>
      <c r="T46" t="s">
        <v>76</v>
      </c>
      <c r="U46">
        <v>7616</v>
      </c>
      <c r="V46">
        <v>847.875</v>
      </c>
    </row>
    <row r="47" spans="1:22" x14ac:dyDescent="0.3">
      <c r="A47" t="s">
        <v>266</v>
      </c>
      <c r="B47" t="s">
        <v>45</v>
      </c>
      <c r="C47" t="s">
        <v>22</v>
      </c>
      <c r="D47">
        <v>11</v>
      </c>
      <c r="E47">
        <v>286.05</v>
      </c>
      <c r="F47" t="s">
        <v>84</v>
      </c>
      <c r="G47" t="s">
        <v>37</v>
      </c>
      <c r="H47">
        <v>0.1</v>
      </c>
      <c r="I47" t="s">
        <v>94</v>
      </c>
      <c r="J47">
        <v>2831.9</v>
      </c>
      <c r="K47" t="s">
        <v>38</v>
      </c>
      <c r="L47" t="s">
        <v>48</v>
      </c>
      <c r="M47">
        <v>1</v>
      </c>
      <c r="N47" t="s">
        <v>396</v>
      </c>
      <c r="O47" t="s">
        <v>397</v>
      </c>
      <c r="P47">
        <v>8.59</v>
      </c>
      <c r="Q47" s="2">
        <v>45607</v>
      </c>
      <c r="R47" t="s">
        <v>398</v>
      </c>
      <c r="S47" t="s">
        <v>51</v>
      </c>
      <c r="T47" t="s">
        <v>43</v>
      </c>
      <c r="U47">
        <v>2823.31</v>
      </c>
      <c r="V47">
        <v>314.65500000000003</v>
      </c>
    </row>
    <row r="48" spans="1:22" x14ac:dyDescent="0.3">
      <c r="A48" t="s">
        <v>399</v>
      </c>
      <c r="B48" t="s">
        <v>21</v>
      </c>
      <c r="C48" t="s">
        <v>22</v>
      </c>
      <c r="D48">
        <v>16</v>
      </c>
      <c r="E48">
        <v>40.729999999999997</v>
      </c>
      <c r="F48" t="s">
        <v>55</v>
      </c>
      <c r="G48" t="s">
        <v>37</v>
      </c>
      <c r="H48">
        <v>0</v>
      </c>
      <c r="I48" t="s">
        <v>25</v>
      </c>
      <c r="J48">
        <v>651.67999999999995</v>
      </c>
      <c r="K48" t="s">
        <v>101</v>
      </c>
      <c r="L48" t="s">
        <v>48</v>
      </c>
      <c r="M48">
        <v>0</v>
      </c>
      <c r="N48" t="s">
        <v>400</v>
      </c>
      <c r="O48" t="s">
        <v>401</v>
      </c>
      <c r="P48">
        <v>24.72</v>
      </c>
      <c r="Q48" s="2">
        <v>45393</v>
      </c>
      <c r="R48" t="s">
        <v>263</v>
      </c>
      <c r="S48" t="s">
        <v>31</v>
      </c>
      <c r="T48" t="s">
        <v>147</v>
      </c>
      <c r="U48">
        <v>626.95999999999992</v>
      </c>
      <c r="V48">
        <v>0</v>
      </c>
    </row>
    <row r="49" spans="1:22" x14ac:dyDescent="0.3">
      <c r="A49" t="s">
        <v>402</v>
      </c>
      <c r="B49" t="s">
        <v>45</v>
      </c>
      <c r="C49" t="s">
        <v>35</v>
      </c>
      <c r="D49">
        <v>11</v>
      </c>
      <c r="E49">
        <v>468.22</v>
      </c>
      <c r="F49" t="s">
        <v>55</v>
      </c>
      <c r="G49" t="s">
        <v>37</v>
      </c>
      <c r="H49">
        <v>0</v>
      </c>
      <c r="I49" t="s">
        <v>46</v>
      </c>
      <c r="J49">
        <v>5150.42</v>
      </c>
      <c r="K49" t="s">
        <v>38</v>
      </c>
      <c r="L49" t="s">
        <v>27</v>
      </c>
      <c r="M49">
        <v>0</v>
      </c>
      <c r="N49" t="s">
        <v>403</v>
      </c>
      <c r="O49" t="s">
        <v>404</v>
      </c>
      <c r="P49">
        <v>19.920000000000002</v>
      </c>
      <c r="Q49" s="2">
        <v>44927</v>
      </c>
      <c r="R49" t="s">
        <v>33</v>
      </c>
      <c r="S49" t="s">
        <v>51</v>
      </c>
      <c r="T49" t="s">
        <v>187</v>
      </c>
      <c r="U49">
        <v>5130.5</v>
      </c>
      <c r="V49">
        <v>0</v>
      </c>
    </row>
    <row r="50" spans="1:22" x14ac:dyDescent="0.3">
      <c r="A50" t="s">
        <v>33</v>
      </c>
      <c r="B50" t="s">
        <v>21</v>
      </c>
      <c r="C50" t="s">
        <v>22</v>
      </c>
      <c r="D50">
        <v>6</v>
      </c>
      <c r="E50">
        <v>202.57</v>
      </c>
      <c r="F50" t="s">
        <v>55</v>
      </c>
      <c r="G50" t="s">
        <v>37</v>
      </c>
      <c r="H50">
        <v>0.05</v>
      </c>
      <c r="I50" t="s">
        <v>65</v>
      </c>
      <c r="J50">
        <v>1154.6500000000001</v>
      </c>
      <c r="K50" t="s">
        <v>57</v>
      </c>
      <c r="L50" t="s">
        <v>85</v>
      </c>
      <c r="M50">
        <v>0</v>
      </c>
      <c r="N50" t="s">
        <v>408</v>
      </c>
      <c r="O50" t="s">
        <v>409</v>
      </c>
      <c r="P50">
        <v>24.39</v>
      </c>
      <c r="Q50" s="2">
        <v>45231</v>
      </c>
      <c r="R50" t="s">
        <v>41</v>
      </c>
      <c r="S50" t="s">
        <v>31</v>
      </c>
      <c r="T50" t="s">
        <v>43</v>
      </c>
      <c r="U50">
        <v>1130.26</v>
      </c>
      <c r="V50">
        <v>60.771000000000008</v>
      </c>
    </row>
    <row r="51" spans="1:22" x14ac:dyDescent="0.3">
      <c r="A51" t="s">
        <v>414</v>
      </c>
      <c r="B51" t="s">
        <v>70</v>
      </c>
      <c r="C51" t="s">
        <v>71</v>
      </c>
      <c r="D51">
        <v>20</v>
      </c>
      <c r="E51">
        <v>337.37</v>
      </c>
      <c r="F51" t="s">
        <v>36</v>
      </c>
      <c r="G51" t="s">
        <v>37</v>
      </c>
      <c r="H51">
        <v>0.1</v>
      </c>
      <c r="I51" t="s">
        <v>78</v>
      </c>
      <c r="J51">
        <v>6072.66</v>
      </c>
      <c r="K51" t="s">
        <v>57</v>
      </c>
      <c r="L51" t="s">
        <v>48</v>
      </c>
      <c r="M51">
        <v>0</v>
      </c>
      <c r="N51" t="s">
        <v>415</v>
      </c>
      <c r="O51" t="s">
        <v>416</v>
      </c>
      <c r="P51">
        <v>43.17</v>
      </c>
      <c r="Q51" s="2">
        <v>45573</v>
      </c>
      <c r="R51" t="s">
        <v>353</v>
      </c>
      <c r="S51" t="s">
        <v>75</v>
      </c>
      <c r="T51" t="s">
        <v>32</v>
      </c>
      <c r="U51">
        <v>6029.49</v>
      </c>
      <c r="V51">
        <v>674.74</v>
      </c>
    </row>
    <row r="52" spans="1:22" x14ac:dyDescent="0.3">
      <c r="A52" t="s">
        <v>417</v>
      </c>
      <c r="B52" t="s">
        <v>34</v>
      </c>
      <c r="C52" t="s">
        <v>71</v>
      </c>
      <c r="D52">
        <v>12</v>
      </c>
      <c r="E52">
        <v>34.24</v>
      </c>
      <c r="F52" t="s">
        <v>36</v>
      </c>
      <c r="G52" t="s">
        <v>37</v>
      </c>
      <c r="H52">
        <v>0.1</v>
      </c>
      <c r="I52" t="s">
        <v>56</v>
      </c>
      <c r="J52">
        <v>369.79</v>
      </c>
      <c r="K52" t="s">
        <v>47</v>
      </c>
      <c r="L52" t="s">
        <v>48</v>
      </c>
      <c r="M52">
        <v>0</v>
      </c>
      <c r="N52" t="s">
        <v>418</v>
      </c>
      <c r="O52" t="s">
        <v>419</v>
      </c>
      <c r="P52">
        <v>17.64</v>
      </c>
      <c r="Q52" s="2">
        <v>45691</v>
      </c>
      <c r="R52" t="s">
        <v>300</v>
      </c>
      <c r="S52" t="s">
        <v>42</v>
      </c>
      <c r="T52" t="s">
        <v>199</v>
      </c>
      <c r="U52">
        <v>352.15000000000003</v>
      </c>
      <c r="V52">
        <v>41.088000000000001</v>
      </c>
    </row>
    <row r="53" spans="1:22" x14ac:dyDescent="0.3">
      <c r="A53" t="s">
        <v>420</v>
      </c>
      <c r="B53" t="s">
        <v>34</v>
      </c>
      <c r="C53" t="s">
        <v>127</v>
      </c>
      <c r="D53">
        <v>7</v>
      </c>
      <c r="E53">
        <v>208.86</v>
      </c>
      <c r="F53" t="s">
        <v>23</v>
      </c>
      <c r="G53" t="s">
        <v>37</v>
      </c>
      <c r="H53">
        <v>0</v>
      </c>
      <c r="I53" t="s">
        <v>56</v>
      </c>
      <c r="J53">
        <v>1462.02</v>
      </c>
      <c r="K53" t="s">
        <v>47</v>
      </c>
      <c r="L53" t="s">
        <v>85</v>
      </c>
      <c r="M53">
        <v>0</v>
      </c>
      <c r="N53" t="s">
        <v>421</v>
      </c>
      <c r="O53" t="s">
        <v>422</v>
      </c>
      <c r="P53">
        <v>20.64</v>
      </c>
      <c r="Q53" s="2">
        <v>45292</v>
      </c>
      <c r="R53" t="s">
        <v>423</v>
      </c>
      <c r="S53" t="s">
        <v>42</v>
      </c>
      <c r="T53" t="s">
        <v>187</v>
      </c>
      <c r="U53">
        <v>1441.3799999999999</v>
      </c>
      <c r="V53">
        <v>0</v>
      </c>
    </row>
    <row r="54" spans="1:22" x14ac:dyDescent="0.3">
      <c r="A54" t="s">
        <v>428</v>
      </c>
      <c r="B54" t="s">
        <v>21</v>
      </c>
      <c r="C54" t="s">
        <v>127</v>
      </c>
      <c r="D54">
        <v>3</v>
      </c>
      <c r="E54">
        <v>506.33</v>
      </c>
      <c r="F54" t="s">
        <v>23</v>
      </c>
      <c r="G54" t="s">
        <v>37</v>
      </c>
      <c r="H54">
        <v>0.15</v>
      </c>
      <c r="I54" t="s">
        <v>56</v>
      </c>
      <c r="J54">
        <v>1291.1400000000001</v>
      </c>
      <c r="K54" t="s">
        <v>38</v>
      </c>
      <c r="L54" t="s">
        <v>85</v>
      </c>
      <c r="M54">
        <v>0</v>
      </c>
      <c r="N54" t="s">
        <v>429</v>
      </c>
      <c r="O54" t="s">
        <v>430</v>
      </c>
      <c r="P54">
        <v>25.71</v>
      </c>
      <c r="Q54" s="2">
        <v>45109</v>
      </c>
      <c r="R54" t="s">
        <v>195</v>
      </c>
      <c r="S54" t="s">
        <v>31</v>
      </c>
      <c r="T54" t="s">
        <v>117</v>
      </c>
      <c r="U54">
        <v>1265.43</v>
      </c>
      <c r="V54">
        <v>227.8485</v>
      </c>
    </row>
    <row r="55" spans="1:22" x14ac:dyDescent="0.3">
      <c r="A55" t="s">
        <v>433</v>
      </c>
      <c r="B55" t="s">
        <v>21</v>
      </c>
      <c r="C55" t="s">
        <v>140</v>
      </c>
      <c r="D55">
        <v>10</v>
      </c>
      <c r="E55">
        <v>538.47</v>
      </c>
      <c r="F55" t="s">
        <v>55</v>
      </c>
      <c r="G55" t="s">
        <v>37</v>
      </c>
      <c r="H55">
        <v>0.1</v>
      </c>
      <c r="I55" t="s">
        <v>94</v>
      </c>
      <c r="J55">
        <v>4846.2299999999996</v>
      </c>
      <c r="K55" t="s">
        <v>57</v>
      </c>
      <c r="L55" t="s">
        <v>27</v>
      </c>
      <c r="M55">
        <v>1</v>
      </c>
      <c r="N55" t="s">
        <v>434</v>
      </c>
      <c r="O55" t="s">
        <v>435</v>
      </c>
      <c r="P55">
        <v>17.25</v>
      </c>
      <c r="Q55" s="2">
        <v>44959</v>
      </c>
      <c r="R55" t="s">
        <v>436</v>
      </c>
      <c r="S55" t="s">
        <v>31</v>
      </c>
      <c r="T55" t="s">
        <v>199</v>
      </c>
      <c r="U55">
        <v>4828.9799999999996</v>
      </c>
      <c r="V55">
        <v>538.47000000000014</v>
      </c>
    </row>
    <row r="56" spans="1:22" x14ac:dyDescent="0.3">
      <c r="A56" t="s">
        <v>437</v>
      </c>
      <c r="B56" t="s">
        <v>21</v>
      </c>
      <c r="C56" t="s">
        <v>35</v>
      </c>
      <c r="D56">
        <v>10</v>
      </c>
      <c r="E56">
        <v>217.43</v>
      </c>
      <c r="F56" t="s">
        <v>84</v>
      </c>
      <c r="G56" t="s">
        <v>37</v>
      </c>
      <c r="H56">
        <v>0.15</v>
      </c>
      <c r="I56" t="s">
        <v>94</v>
      </c>
      <c r="J56">
        <v>1848.16</v>
      </c>
      <c r="K56" t="s">
        <v>101</v>
      </c>
      <c r="L56" t="s">
        <v>85</v>
      </c>
      <c r="M56">
        <v>0</v>
      </c>
      <c r="N56" t="s">
        <v>438</v>
      </c>
      <c r="O56" t="s">
        <v>439</v>
      </c>
      <c r="P56">
        <v>33.14</v>
      </c>
      <c r="Q56" s="2">
        <v>45079</v>
      </c>
      <c r="R56" t="s">
        <v>440</v>
      </c>
      <c r="S56" t="s">
        <v>31</v>
      </c>
      <c r="T56" t="s">
        <v>105</v>
      </c>
      <c r="U56">
        <v>1815.02</v>
      </c>
      <c r="V56">
        <v>326.14500000000004</v>
      </c>
    </row>
    <row r="57" spans="1:22" x14ac:dyDescent="0.3">
      <c r="A57" t="s">
        <v>64</v>
      </c>
      <c r="B57" t="s">
        <v>54</v>
      </c>
      <c r="C57" t="s">
        <v>109</v>
      </c>
      <c r="D57">
        <v>8</v>
      </c>
      <c r="E57">
        <v>294.76</v>
      </c>
      <c r="F57" t="s">
        <v>36</v>
      </c>
      <c r="G57" t="s">
        <v>37</v>
      </c>
      <c r="H57">
        <v>0.1</v>
      </c>
      <c r="I57" t="s">
        <v>78</v>
      </c>
      <c r="J57">
        <v>2122.27</v>
      </c>
      <c r="K57" t="s">
        <v>26</v>
      </c>
      <c r="L57" t="s">
        <v>58</v>
      </c>
      <c r="M57">
        <v>0</v>
      </c>
      <c r="N57" t="s">
        <v>444</v>
      </c>
      <c r="O57" t="s">
        <v>445</v>
      </c>
      <c r="P57">
        <v>36.04</v>
      </c>
      <c r="Q57" s="2">
        <v>45569</v>
      </c>
      <c r="R57" t="s">
        <v>446</v>
      </c>
      <c r="S57" t="s">
        <v>62</v>
      </c>
      <c r="T57" t="s">
        <v>32</v>
      </c>
      <c r="U57">
        <v>2086.23</v>
      </c>
      <c r="V57">
        <v>235.80799999999999</v>
      </c>
    </row>
    <row r="58" spans="1:22" x14ac:dyDescent="0.3">
      <c r="A58" t="s">
        <v>33</v>
      </c>
      <c r="B58" t="s">
        <v>70</v>
      </c>
      <c r="C58" t="s">
        <v>109</v>
      </c>
      <c r="D58">
        <v>12</v>
      </c>
      <c r="E58">
        <v>521.53</v>
      </c>
      <c r="F58" t="s">
        <v>55</v>
      </c>
      <c r="G58" t="s">
        <v>37</v>
      </c>
      <c r="H58">
        <v>0</v>
      </c>
      <c r="I58" t="s">
        <v>65</v>
      </c>
      <c r="J58">
        <v>6258.36</v>
      </c>
      <c r="K58" t="s">
        <v>101</v>
      </c>
      <c r="L58" t="s">
        <v>58</v>
      </c>
      <c r="M58">
        <v>1</v>
      </c>
      <c r="N58" t="s">
        <v>454</v>
      </c>
      <c r="O58" t="s">
        <v>455</v>
      </c>
      <c r="P58">
        <v>49.59</v>
      </c>
      <c r="Q58" s="2">
        <v>45231</v>
      </c>
      <c r="R58" t="s">
        <v>456</v>
      </c>
      <c r="S58" t="s">
        <v>75</v>
      </c>
      <c r="T58" t="s">
        <v>43</v>
      </c>
      <c r="U58">
        <v>6208.7699999999995</v>
      </c>
      <c r="V58">
        <v>0</v>
      </c>
    </row>
    <row r="59" spans="1:22" x14ac:dyDescent="0.3">
      <c r="A59" t="s">
        <v>457</v>
      </c>
      <c r="B59" t="s">
        <v>21</v>
      </c>
      <c r="C59" t="s">
        <v>22</v>
      </c>
      <c r="D59">
        <v>17</v>
      </c>
      <c r="E59">
        <v>468.19</v>
      </c>
      <c r="F59" t="s">
        <v>55</v>
      </c>
      <c r="G59" t="s">
        <v>37</v>
      </c>
      <c r="H59">
        <v>0.05</v>
      </c>
      <c r="I59" t="s">
        <v>78</v>
      </c>
      <c r="J59">
        <v>7561.27</v>
      </c>
      <c r="K59" t="s">
        <v>47</v>
      </c>
      <c r="L59" t="s">
        <v>48</v>
      </c>
      <c r="M59">
        <v>0</v>
      </c>
      <c r="N59" t="s">
        <v>458</v>
      </c>
      <c r="O59" t="s">
        <v>459</v>
      </c>
      <c r="P59">
        <v>13.84</v>
      </c>
      <c r="Q59" s="2">
        <v>45023</v>
      </c>
      <c r="R59" t="s">
        <v>379</v>
      </c>
      <c r="S59" t="s">
        <v>31</v>
      </c>
      <c r="T59" t="s">
        <v>147</v>
      </c>
      <c r="U59">
        <v>7547.43</v>
      </c>
      <c r="V59">
        <v>397.9615</v>
      </c>
    </row>
    <row r="60" spans="1:22" x14ac:dyDescent="0.3">
      <c r="A60" t="s">
        <v>460</v>
      </c>
      <c r="B60" t="s">
        <v>45</v>
      </c>
      <c r="C60" t="s">
        <v>127</v>
      </c>
      <c r="D60">
        <v>9</v>
      </c>
      <c r="E60">
        <v>8.81</v>
      </c>
      <c r="F60" t="s">
        <v>55</v>
      </c>
      <c r="G60" t="s">
        <v>37</v>
      </c>
      <c r="H60">
        <v>0.15</v>
      </c>
      <c r="I60" t="s">
        <v>25</v>
      </c>
      <c r="J60">
        <v>67.400000000000006</v>
      </c>
      <c r="K60" t="s">
        <v>26</v>
      </c>
      <c r="L60" t="s">
        <v>58</v>
      </c>
      <c r="M60">
        <v>0</v>
      </c>
      <c r="N60" t="s">
        <v>461</v>
      </c>
      <c r="O60" t="s">
        <v>462</v>
      </c>
      <c r="P60">
        <v>42.7</v>
      </c>
      <c r="Q60" s="2">
        <v>45872</v>
      </c>
      <c r="R60" t="s">
        <v>463</v>
      </c>
      <c r="S60" t="s">
        <v>51</v>
      </c>
      <c r="T60" t="s">
        <v>82</v>
      </c>
      <c r="U60">
        <v>24.700000000000003</v>
      </c>
      <c r="V60">
        <v>11.893500000000001</v>
      </c>
    </row>
    <row r="61" spans="1:22" x14ac:dyDescent="0.3">
      <c r="A61" t="s">
        <v>467</v>
      </c>
      <c r="B61" t="s">
        <v>70</v>
      </c>
      <c r="C61" t="s">
        <v>140</v>
      </c>
      <c r="D61">
        <v>3</v>
      </c>
      <c r="E61">
        <v>142.27000000000001</v>
      </c>
      <c r="F61" t="s">
        <v>55</v>
      </c>
      <c r="G61" t="s">
        <v>37</v>
      </c>
      <c r="H61">
        <v>0.05</v>
      </c>
      <c r="I61" t="s">
        <v>94</v>
      </c>
      <c r="J61">
        <v>405.47</v>
      </c>
      <c r="K61" t="s">
        <v>26</v>
      </c>
      <c r="L61" t="s">
        <v>58</v>
      </c>
      <c r="M61">
        <v>0</v>
      </c>
      <c r="N61" t="s">
        <v>468</v>
      </c>
      <c r="O61" t="s">
        <v>469</v>
      </c>
      <c r="P61">
        <v>32.799999999999997</v>
      </c>
      <c r="Q61" s="2">
        <v>45180</v>
      </c>
      <c r="R61" t="s">
        <v>372</v>
      </c>
      <c r="S61" t="s">
        <v>75</v>
      </c>
      <c r="T61" t="s">
        <v>52</v>
      </c>
      <c r="U61">
        <v>372.67</v>
      </c>
      <c r="V61">
        <v>21.340500000000006</v>
      </c>
    </row>
    <row r="62" spans="1:22" x14ac:dyDescent="0.3">
      <c r="A62" t="s">
        <v>470</v>
      </c>
      <c r="B62" t="s">
        <v>54</v>
      </c>
      <c r="C62" t="s">
        <v>71</v>
      </c>
      <c r="D62">
        <v>12</v>
      </c>
      <c r="E62">
        <v>17.760000000000002</v>
      </c>
      <c r="F62" t="s">
        <v>55</v>
      </c>
      <c r="G62" t="s">
        <v>37</v>
      </c>
      <c r="H62">
        <v>0.1</v>
      </c>
      <c r="I62" t="s">
        <v>46</v>
      </c>
      <c r="J62">
        <v>191.81</v>
      </c>
      <c r="K62" t="s">
        <v>26</v>
      </c>
      <c r="L62" t="s">
        <v>85</v>
      </c>
      <c r="M62">
        <v>0</v>
      </c>
      <c r="N62" t="s">
        <v>471</v>
      </c>
      <c r="O62" t="s">
        <v>472</v>
      </c>
      <c r="P62">
        <v>12.18</v>
      </c>
      <c r="Q62" s="2">
        <v>44996</v>
      </c>
      <c r="R62" t="s">
        <v>389</v>
      </c>
      <c r="S62" t="s">
        <v>62</v>
      </c>
      <c r="T62" t="s">
        <v>98</v>
      </c>
      <c r="U62">
        <v>179.63</v>
      </c>
      <c r="V62">
        <v>21.312000000000001</v>
      </c>
    </row>
    <row r="63" spans="1:22" x14ac:dyDescent="0.3">
      <c r="A63" t="s">
        <v>33</v>
      </c>
      <c r="B63" t="s">
        <v>34</v>
      </c>
      <c r="C63" t="s">
        <v>109</v>
      </c>
      <c r="D63">
        <v>9</v>
      </c>
      <c r="E63">
        <v>15.58</v>
      </c>
      <c r="F63" t="s">
        <v>55</v>
      </c>
      <c r="G63" t="s">
        <v>37</v>
      </c>
      <c r="H63">
        <v>0.1</v>
      </c>
      <c r="I63" t="s">
        <v>56</v>
      </c>
      <c r="J63">
        <v>126.2</v>
      </c>
      <c r="K63" t="s">
        <v>57</v>
      </c>
      <c r="L63" t="s">
        <v>85</v>
      </c>
      <c r="M63">
        <v>1</v>
      </c>
      <c r="N63" t="s">
        <v>477</v>
      </c>
      <c r="O63" t="s">
        <v>478</v>
      </c>
      <c r="P63">
        <v>27.81</v>
      </c>
      <c r="Q63" s="2">
        <v>45231</v>
      </c>
      <c r="R63" t="s">
        <v>479</v>
      </c>
      <c r="S63" t="s">
        <v>42</v>
      </c>
      <c r="T63" t="s">
        <v>43</v>
      </c>
      <c r="U63">
        <v>98.39</v>
      </c>
      <c r="V63">
        <v>14.022</v>
      </c>
    </row>
    <row r="64" spans="1:22" x14ac:dyDescent="0.3">
      <c r="A64" t="s">
        <v>482</v>
      </c>
      <c r="B64" t="s">
        <v>34</v>
      </c>
      <c r="C64" t="s">
        <v>71</v>
      </c>
      <c r="D64">
        <v>17</v>
      </c>
      <c r="E64">
        <v>523.04</v>
      </c>
      <c r="F64" t="s">
        <v>84</v>
      </c>
      <c r="G64" t="s">
        <v>37</v>
      </c>
      <c r="H64">
        <v>0.05</v>
      </c>
      <c r="I64" t="s">
        <v>65</v>
      </c>
      <c r="J64">
        <v>8447.1</v>
      </c>
      <c r="K64" t="s">
        <v>38</v>
      </c>
      <c r="L64" t="s">
        <v>85</v>
      </c>
      <c r="M64">
        <v>0</v>
      </c>
      <c r="N64" t="s">
        <v>483</v>
      </c>
      <c r="O64" t="s">
        <v>484</v>
      </c>
      <c r="P64">
        <v>37.380000000000003</v>
      </c>
      <c r="Q64" s="2">
        <v>45483</v>
      </c>
      <c r="R64" t="s">
        <v>485</v>
      </c>
      <c r="S64" t="s">
        <v>42</v>
      </c>
      <c r="T64" t="s">
        <v>117</v>
      </c>
      <c r="U64">
        <v>8409.7200000000012</v>
      </c>
      <c r="V64">
        <v>444.58400000000006</v>
      </c>
    </row>
    <row r="65" spans="1:22" x14ac:dyDescent="0.3">
      <c r="A65" t="s">
        <v>490</v>
      </c>
      <c r="B65" t="s">
        <v>34</v>
      </c>
      <c r="C65" t="s">
        <v>140</v>
      </c>
      <c r="D65">
        <v>5</v>
      </c>
      <c r="E65">
        <v>95.19</v>
      </c>
      <c r="F65" t="s">
        <v>84</v>
      </c>
      <c r="G65" t="s">
        <v>37</v>
      </c>
      <c r="H65">
        <v>0.15</v>
      </c>
      <c r="I65" t="s">
        <v>56</v>
      </c>
      <c r="J65">
        <v>404.56</v>
      </c>
      <c r="K65" t="s">
        <v>101</v>
      </c>
      <c r="L65" t="s">
        <v>27</v>
      </c>
      <c r="M65">
        <v>0</v>
      </c>
      <c r="N65" t="s">
        <v>491</v>
      </c>
      <c r="O65" t="s">
        <v>492</v>
      </c>
      <c r="P65">
        <v>48.55</v>
      </c>
      <c r="Q65" s="2">
        <v>45088</v>
      </c>
      <c r="R65" t="s">
        <v>392</v>
      </c>
      <c r="S65" t="s">
        <v>42</v>
      </c>
      <c r="T65" t="s">
        <v>105</v>
      </c>
      <c r="U65">
        <v>356.01</v>
      </c>
      <c r="V65">
        <v>71.392499999999998</v>
      </c>
    </row>
    <row r="66" spans="1:22" x14ac:dyDescent="0.3">
      <c r="A66" t="s">
        <v>493</v>
      </c>
      <c r="B66" t="s">
        <v>34</v>
      </c>
      <c r="C66" t="s">
        <v>71</v>
      </c>
      <c r="D66">
        <v>13</v>
      </c>
      <c r="E66">
        <v>114.03</v>
      </c>
      <c r="F66" t="s">
        <v>84</v>
      </c>
      <c r="G66" t="s">
        <v>37</v>
      </c>
      <c r="H66">
        <v>0</v>
      </c>
      <c r="I66" t="s">
        <v>94</v>
      </c>
      <c r="J66">
        <v>1482.39</v>
      </c>
      <c r="K66" t="s">
        <v>47</v>
      </c>
      <c r="L66" t="s">
        <v>48</v>
      </c>
      <c r="M66">
        <v>0</v>
      </c>
      <c r="N66" t="s">
        <v>494</v>
      </c>
      <c r="O66" t="s">
        <v>495</v>
      </c>
      <c r="P66">
        <v>43.81</v>
      </c>
      <c r="Q66" s="2">
        <v>45575</v>
      </c>
      <c r="R66" t="s">
        <v>496</v>
      </c>
      <c r="S66" t="s">
        <v>42</v>
      </c>
      <c r="T66" t="s">
        <v>32</v>
      </c>
      <c r="U66">
        <v>1438.5800000000002</v>
      </c>
      <c r="V66">
        <v>0</v>
      </c>
    </row>
    <row r="67" spans="1:22" x14ac:dyDescent="0.3">
      <c r="A67" t="s">
        <v>497</v>
      </c>
      <c r="B67" t="s">
        <v>21</v>
      </c>
      <c r="C67" t="s">
        <v>109</v>
      </c>
      <c r="D67">
        <v>18</v>
      </c>
      <c r="E67">
        <v>336.48</v>
      </c>
      <c r="F67" t="s">
        <v>23</v>
      </c>
      <c r="G67" t="s">
        <v>37</v>
      </c>
      <c r="H67">
        <v>0</v>
      </c>
      <c r="I67" t="s">
        <v>56</v>
      </c>
      <c r="J67">
        <v>6056.64</v>
      </c>
      <c r="K67" t="s">
        <v>26</v>
      </c>
      <c r="L67" t="s">
        <v>27</v>
      </c>
      <c r="M67">
        <v>0</v>
      </c>
      <c r="N67" t="s">
        <v>498</v>
      </c>
      <c r="O67" t="s">
        <v>499</v>
      </c>
      <c r="P67">
        <v>18.59</v>
      </c>
      <c r="Q67" s="2">
        <v>45048</v>
      </c>
      <c r="R67" t="s">
        <v>428</v>
      </c>
      <c r="S67" t="s">
        <v>31</v>
      </c>
      <c r="T67" t="s">
        <v>63</v>
      </c>
      <c r="U67">
        <v>6038.05</v>
      </c>
      <c r="V67">
        <v>0</v>
      </c>
    </row>
    <row r="68" spans="1:22" x14ac:dyDescent="0.3">
      <c r="A68" t="s">
        <v>365</v>
      </c>
      <c r="B68" t="s">
        <v>34</v>
      </c>
      <c r="C68" t="s">
        <v>109</v>
      </c>
      <c r="D68">
        <v>15</v>
      </c>
      <c r="E68">
        <v>10.220000000000001</v>
      </c>
      <c r="F68" t="s">
        <v>36</v>
      </c>
      <c r="G68" t="s">
        <v>37</v>
      </c>
      <c r="H68">
        <v>0</v>
      </c>
      <c r="I68" t="s">
        <v>25</v>
      </c>
      <c r="J68">
        <v>153.30000000000001</v>
      </c>
      <c r="K68" t="s">
        <v>57</v>
      </c>
      <c r="L68" t="s">
        <v>85</v>
      </c>
      <c r="M68">
        <v>0</v>
      </c>
      <c r="N68" t="s">
        <v>504</v>
      </c>
      <c r="O68" t="s">
        <v>505</v>
      </c>
      <c r="P68">
        <v>36.270000000000003</v>
      </c>
      <c r="Q68" s="2">
        <v>45357</v>
      </c>
      <c r="R68" t="s">
        <v>506</v>
      </c>
      <c r="S68" t="s">
        <v>42</v>
      </c>
      <c r="T68" t="s">
        <v>98</v>
      </c>
      <c r="U68">
        <v>117.03</v>
      </c>
      <c r="V68">
        <v>0</v>
      </c>
    </row>
    <row r="69" spans="1:22" x14ac:dyDescent="0.3">
      <c r="A69" t="s">
        <v>515</v>
      </c>
      <c r="B69" t="s">
        <v>70</v>
      </c>
      <c r="C69" t="s">
        <v>22</v>
      </c>
      <c r="D69">
        <v>3</v>
      </c>
      <c r="E69">
        <v>204.79</v>
      </c>
      <c r="F69" t="s">
        <v>23</v>
      </c>
      <c r="G69" t="s">
        <v>37</v>
      </c>
      <c r="H69">
        <v>0.1</v>
      </c>
      <c r="I69" t="s">
        <v>56</v>
      </c>
      <c r="J69">
        <v>552.92999999999995</v>
      </c>
      <c r="K69" t="s">
        <v>26</v>
      </c>
      <c r="L69" t="s">
        <v>85</v>
      </c>
      <c r="M69">
        <v>1</v>
      </c>
      <c r="N69" t="s">
        <v>516</v>
      </c>
      <c r="O69" t="s">
        <v>517</v>
      </c>
      <c r="P69">
        <v>7.72</v>
      </c>
      <c r="Q69" s="2">
        <v>45297</v>
      </c>
      <c r="R69" t="s">
        <v>143</v>
      </c>
      <c r="S69" t="s">
        <v>75</v>
      </c>
      <c r="T69" t="s">
        <v>187</v>
      </c>
      <c r="U69">
        <v>545.20999999999992</v>
      </c>
      <c r="V69">
        <v>61.437000000000005</v>
      </c>
    </row>
    <row r="70" spans="1:22" x14ac:dyDescent="0.3">
      <c r="A70" t="s">
        <v>113</v>
      </c>
      <c r="B70" t="s">
        <v>34</v>
      </c>
      <c r="C70" t="s">
        <v>35</v>
      </c>
      <c r="D70">
        <v>8</v>
      </c>
      <c r="E70">
        <v>367.89</v>
      </c>
      <c r="F70" t="s">
        <v>23</v>
      </c>
      <c r="G70" t="s">
        <v>37</v>
      </c>
      <c r="H70">
        <v>0.05</v>
      </c>
      <c r="I70" t="s">
        <v>25</v>
      </c>
      <c r="J70">
        <v>2795.96</v>
      </c>
      <c r="K70" t="s">
        <v>47</v>
      </c>
      <c r="L70" t="s">
        <v>85</v>
      </c>
      <c r="M70">
        <v>0</v>
      </c>
      <c r="N70" t="s">
        <v>518</v>
      </c>
      <c r="O70" t="s">
        <v>519</v>
      </c>
      <c r="P70">
        <v>18.100000000000001</v>
      </c>
      <c r="Q70" s="2">
        <v>45485</v>
      </c>
      <c r="R70" t="s">
        <v>520</v>
      </c>
      <c r="S70" t="s">
        <v>42</v>
      </c>
      <c r="T70" t="s">
        <v>117</v>
      </c>
      <c r="U70">
        <v>2777.86</v>
      </c>
      <c r="V70">
        <v>147.15600000000001</v>
      </c>
    </row>
    <row r="71" spans="1:22" x14ac:dyDescent="0.3">
      <c r="A71" t="s">
        <v>521</v>
      </c>
      <c r="B71" t="s">
        <v>45</v>
      </c>
      <c r="C71" t="s">
        <v>127</v>
      </c>
      <c r="D71">
        <v>12</v>
      </c>
      <c r="E71">
        <v>169.2</v>
      </c>
      <c r="F71" t="s">
        <v>36</v>
      </c>
      <c r="G71" t="s">
        <v>37</v>
      </c>
      <c r="H71">
        <v>0.05</v>
      </c>
      <c r="I71" t="s">
        <v>78</v>
      </c>
      <c r="J71">
        <v>1928.88</v>
      </c>
      <c r="K71" t="s">
        <v>57</v>
      </c>
      <c r="L71" t="s">
        <v>58</v>
      </c>
      <c r="M71">
        <v>0</v>
      </c>
      <c r="N71" t="s">
        <v>522</v>
      </c>
      <c r="O71" t="s">
        <v>523</v>
      </c>
      <c r="P71">
        <v>28.65</v>
      </c>
      <c r="Q71" s="2">
        <v>45054</v>
      </c>
      <c r="R71" t="s">
        <v>357</v>
      </c>
      <c r="S71" t="s">
        <v>51</v>
      </c>
      <c r="T71" t="s">
        <v>63</v>
      </c>
      <c r="U71">
        <v>1900.23</v>
      </c>
      <c r="V71">
        <v>101.52</v>
      </c>
    </row>
    <row r="72" spans="1:22" x14ac:dyDescent="0.3">
      <c r="A72" t="s">
        <v>361</v>
      </c>
      <c r="B72" t="s">
        <v>45</v>
      </c>
      <c r="C72" t="s">
        <v>71</v>
      </c>
      <c r="D72">
        <v>14</v>
      </c>
      <c r="E72">
        <v>52.09</v>
      </c>
      <c r="F72" t="s">
        <v>84</v>
      </c>
      <c r="G72" t="s">
        <v>37</v>
      </c>
      <c r="H72">
        <v>0</v>
      </c>
      <c r="I72" t="s">
        <v>94</v>
      </c>
      <c r="J72">
        <v>729.26</v>
      </c>
      <c r="K72" t="s">
        <v>57</v>
      </c>
      <c r="L72" t="s">
        <v>48</v>
      </c>
      <c r="M72">
        <v>1</v>
      </c>
      <c r="N72" t="s">
        <v>524</v>
      </c>
      <c r="O72" t="s">
        <v>525</v>
      </c>
      <c r="P72">
        <v>48.02</v>
      </c>
      <c r="Q72" s="2">
        <v>45116</v>
      </c>
      <c r="R72" t="s">
        <v>526</v>
      </c>
      <c r="S72" t="s">
        <v>51</v>
      </c>
      <c r="T72" t="s">
        <v>117</v>
      </c>
      <c r="U72">
        <v>681.24</v>
      </c>
      <c r="V72">
        <v>0</v>
      </c>
    </row>
    <row r="73" spans="1:22" x14ac:dyDescent="0.3">
      <c r="A73" t="s">
        <v>534</v>
      </c>
      <c r="B73" t="s">
        <v>21</v>
      </c>
      <c r="C73" t="s">
        <v>22</v>
      </c>
      <c r="D73">
        <v>2</v>
      </c>
      <c r="E73">
        <v>97.5</v>
      </c>
      <c r="F73" t="s">
        <v>55</v>
      </c>
      <c r="G73" t="s">
        <v>37</v>
      </c>
      <c r="H73">
        <v>0.1</v>
      </c>
      <c r="I73" t="s">
        <v>25</v>
      </c>
      <c r="J73">
        <v>175.5</v>
      </c>
      <c r="K73" t="s">
        <v>47</v>
      </c>
      <c r="L73" t="s">
        <v>48</v>
      </c>
      <c r="M73">
        <v>1</v>
      </c>
      <c r="N73" t="s">
        <v>535</v>
      </c>
      <c r="O73" t="s">
        <v>536</v>
      </c>
      <c r="P73">
        <v>46.37</v>
      </c>
      <c r="Q73" s="2">
        <v>44990</v>
      </c>
      <c r="R73" t="s">
        <v>537</v>
      </c>
      <c r="S73" t="s">
        <v>31</v>
      </c>
      <c r="T73" t="s">
        <v>98</v>
      </c>
      <c r="U73">
        <v>129.13</v>
      </c>
      <c r="V73">
        <v>19.5</v>
      </c>
    </row>
    <row r="74" spans="1:22" x14ac:dyDescent="0.3">
      <c r="A74" t="s">
        <v>99</v>
      </c>
      <c r="B74" t="s">
        <v>54</v>
      </c>
      <c r="C74" t="s">
        <v>109</v>
      </c>
      <c r="D74">
        <v>4</v>
      </c>
      <c r="E74">
        <v>555.86</v>
      </c>
      <c r="F74" t="s">
        <v>36</v>
      </c>
      <c r="G74" t="s">
        <v>37</v>
      </c>
      <c r="H74">
        <v>0.05</v>
      </c>
      <c r="I74" t="s">
        <v>94</v>
      </c>
      <c r="J74">
        <v>2112.27</v>
      </c>
      <c r="K74" t="s">
        <v>47</v>
      </c>
      <c r="L74" t="s">
        <v>85</v>
      </c>
      <c r="M74">
        <v>0</v>
      </c>
      <c r="N74" t="s">
        <v>541</v>
      </c>
      <c r="O74" t="s">
        <v>542</v>
      </c>
      <c r="P74">
        <v>28.92</v>
      </c>
      <c r="Q74" s="2">
        <v>45085</v>
      </c>
      <c r="R74" t="s">
        <v>543</v>
      </c>
      <c r="S74" t="s">
        <v>62</v>
      </c>
      <c r="T74" t="s">
        <v>105</v>
      </c>
      <c r="U74">
        <v>2083.35</v>
      </c>
      <c r="V74">
        <v>111.17200000000001</v>
      </c>
    </row>
    <row r="75" spans="1:22" x14ac:dyDescent="0.3">
      <c r="A75" t="s">
        <v>544</v>
      </c>
      <c r="B75" t="s">
        <v>45</v>
      </c>
      <c r="C75" t="s">
        <v>127</v>
      </c>
      <c r="D75">
        <v>15</v>
      </c>
      <c r="E75">
        <v>202.72</v>
      </c>
      <c r="F75" t="s">
        <v>55</v>
      </c>
      <c r="G75" t="s">
        <v>37</v>
      </c>
      <c r="H75">
        <v>0.05</v>
      </c>
      <c r="I75" t="s">
        <v>65</v>
      </c>
      <c r="J75">
        <v>2888.76</v>
      </c>
      <c r="K75" t="s">
        <v>38</v>
      </c>
      <c r="L75" t="s">
        <v>27</v>
      </c>
      <c r="M75">
        <v>1</v>
      </c>
      <c r="N75" t="s">
        <v>545</v>
      </c>
      <c r="O75" t="s">
        <v>546</v>
      </c>
      <c r="P75">
        <v>41.61</v>
      </c>
      <c r="Q75" s="2">
        <v>45605</v>
      </c>
      <c r="R75" t="s">
        <v>547</v>
      </c>
      <c r="S75" t="s">
        <v>51</v>
      </c>
      <c r="T75" t="s">
        <v>43</v>
      </c>
      <c r="U75">
        <v>2847.15</v>
      </c>
      <c r="V75">
        <v>152.04000000000002</v>
      </c>
    </row>
    <row r="76" spans="1:22" x14ac:dyDescent="0.3">
      <c r="A76" t="s">
        <v>563</v>
      </c>
      <c r="B76" t="s">
        <v>34</v>
      </c>
      <c r="C76" t="s">
        <v>140</v>
      </c>
      <c r="D76">
        <v>2</v>
      </c>
      <c r="E76">
        <v>279.38</v>
      </c>
      <c r="F76" t="s">
        <v>55</v>
      </c>
      <c r="G76" t="s">
        <v>37</v>
      </c>
      <c r="H76">
        <v>0.1</v>
      </c>
      <c r="I76" t="s">
        <v>46</v>
      </c>
      <c r="J76">
        <v>502.88</v>
      </c>
      <c r="K76" t="s">
        <v>26</v>
      </c>
      <c r="L76" t="s">
        <v>85</v>
      </c>
      <c r="M76">
        <v>0</v>
      </c>
      <c r="N76" t="s">
        <v>564</v>
      </c>
      <c r="O76" t="s">
        <v>565</v>
      </c>
      <c r="P76">
        <v>22.95</v>
      </c>
      <c r="Q76" s="2">
        <v>44932</v>
      </c>
      <c r="R76" t="s">
        <v>566</v>
      </c>
      <c r="S76" t="s">
        <v>42</v>
      </c>
      <c r="T76" t="s">
        <v>187</v>
      </c>
      <c r="U76">
        <v>479.93</v>
      </c>
      <c r="V76">
        <v>55.876000000000005</v>
      </c>
    </row>
    <row r="77" spans="1:22" x14ac:dyDescent="0.3">
      <c r="A77" t="s">
        <v>151</v>
      </c>
      <c r="B77" t="s">
        <v>34</v>
      </c>
      <c r="C77" t="s">
        <v>71</v>
      </c>
      <c r="D77">
        <v>16</v>
      </c>
      <c r="E77">
        <v>34.659999999999997</v>
      </c>
      <c r="F77" t="s">
        <v>36</v>
      </c>
      <c r="G77" t="s">
        <v>37</v>
      </c>
      <c r="H77">
        <v>0.05</v>
      </c>
      <c r="I77" t="s">
        <v>25</v>
      </c>
      <c r="J77">
        <v>526.83000000000004</v>
      </c>
      <c r="K77" t="s">
        <v>38</v>
      </c>
      <c r="L77" t="s">
        <v>48</v>
      </c>
      <c r="M77">
        <v>0</v>
      </c>
      <c r="N77" t="s">
        <v>571</v>
      </c>
      <c r="O77" t="s">
        <v>572</v>
      </c>
      <c r="P77">
        <v>49.9</v>
      </c>
      <c r="Q77" s="2">
        <v>45779</v>
      </c>
      <c r="R77" t="s">
        <v>573</v>
      </c>
      <c r="S77" t="s">
        <v>42</v>
      </c>
      <c r="T77" t="s">
        <v>63</v>
      </c>
      <c r="U77">
        <v>476.93000000000006</v>
      </c>
      <c r="V77">
        <v>27.727999999999998</v>
      </c>
    </row>
    <row r="78" spans="1:22" x14ac:dyDescent="0.3">
      <c r="A78" t="s">
        <v>583</v>
      </c>
      <c r="B78" t="s">
        <v>54</v>
      </c>
      <c r="C78" t="s">
        <v>109</v>
      </c>
      <c r="D78">
        <v>14</v>
      </c>
      <c r="E78">
        <v>484.38</v>
      </c>
      <c r="F78" t="s">
        <v>55</v>
      </c>
      <c r="G78" t="s">
        <v>37</v>
      </c>
      <c r="H78">
        <v>0.05</v>
      </c>
      <c r="I78" t="s">
        <v>56</v>
      </c>
      <c r="J78">
        <v>6442.25</v>
      </c>
      <c r="K78" t="s">
        <v>38</v>
      </c>
      <c r="L78" t="s">
        <v>58</v>
      </c>
      <c r="M78">
        <v>0</v>
      </c>
      <c r="N78" t="s">
        <v>584</v>
      </c>
      <c r="O78" t="s">
        <v>585</v>
      </c>
      <c r="P78">
        <v>29.24</v>
      </c>
      <c r="Q78" s="2">
        <v>45904</v>
      </c>
      <c r="R78" t="s">
        <v>586</v>
      </c>
      <c r="S78" t="s">
        <v>62</v>
      </c>
      <c r="T78" t="s">
        <v>52</v>
      </c>
      <c r="U78">
        <v>6413.01</v>
      </c>
      <c r="V78">
        <v>339.06600000000003</v>
      </c>
    </row>
    <row r="79" spans="1:22" x14ac:dyDescent="0.3">
      <c r="A79" t="s">
        <v>329</v>
      </c>
      <c r="B79" t="s">
        <v>54</v>
      </c>
      <c r="C79" t="s">
        <v>35</v>
      </c>
      <c r="D79">
        <v>14</v>
      </c>
      <c r="E79">
        <v>291.91000000000003</v>
      </c>
      <c r="F79" t="s">
        <v>84</v>
      </c>
      <c r="G79" t="s">
        <v>37</v>
      </c>
      <c r="H79">
        <v>0.15</v>
      </c>
      <c r="I79" t="s">
        <v>56</v>
      </c>
      <c r="J79">
        <v>3473.73</v>
      </c>
      <c r="K79" t="s">
        <v>101</v>
      </c>
      <c r="L79" t="s">
        <v>48</v>
      </c>
      <c r="M79">
        <v>0</v>
      </c>
      <c r="N79" t="s">
        <v>591</v>
      </c>
      <c r="O79" t="s">
        <v>592</v>
      </c>
      <c r="P79">
        <v>27.51</v>
      </c>
      <c r="Q79" s="2">
        <v>45810</v>
      </c>
      <c r="R79" t="s">
        <v>464</v>
      </c>
      <c r="S79" t="s">
        <v>62</v>
      </c>
      <c r="T79" t="s">
        <v>105</v>
      </c>
      <c r="U79">
        <v>3446.22</v>
      </c>
      <c r="V79">
        <v>613.01099999999997</v>
      </c>
    </row>
    <row r="80" spans="1:22" x14ac:dyDescent="0.3">
      <c r="A80" t="s">
        <v>476</v>
      </c>
      <c r="B80" t="s">
        <v>70</v>
      </c>
      <c r="C80" t="s">
        <v>140</v>
      </c>
      <c r="D80">
        <v>15</v>
      </c>
      <c r="E80">
        <v>380.03</v>
      </c>
      <c r="F80" t="s">
        <v>84</v>
      </c>
      <c r="G80" t="s">
        <v>37</v>
      </c>
      <c r="H80">
        <v>0</v>
      </c>
      <c r="I80" t="s">
        <v>94</v>
      </c>
      <c r="J80">
        <v>5700.45</v>
      </c>
      <c r="K80" t="s">
        <v>26</v>
      </c>
      <c r="L80" t="s">
        <v>48</v>
      </c>
      <c r="M80">
        <v>0</v>
      </c>
      <c r="N80" t="s">
        <v>593</v>
      </c>
      <c r="O80" t="s">
        <v>594</v>
      </c>
      <c r="P80">
        <v>25.72</v>
      </c>
      <c r="Q80" s="2">
        <v>45546</v>
      </c>
      <c r="R80" t="s">
        <v>595</v>
      </c>
      <c r="S80" t="s">
        <v>75</v>
      </c>
      <c r="T80" t="s">
        <v>52</v>
      </c>
      <c r="U80">
        <v>5674.73</v>
      </c>
      <c r="V80">
        <v>0</v>
      </c>
    </row>
    <row r="81" spans="1:22" x14ac:dyDescent="0.3">
      <c r="A81" t="s">
        <v>603</v>
      </c>
      <c r="B81" t="s">
        <v>45</v>
      </c>
      <c r="C81" t="s">
        <v>127</v>
      </c>
      <c r="D81">
        <v>11</v>
      </c>
      <c r="E81">
        <v>558.5</v>
      </c>
      <c r="F81" t="s">
        <v>23</v>
      </c>
      <c r="G81" t="s">
        <v>37</v>
      </c>
      <c r="H81">
        <v>0.15</v>
      </c>
      <c r="I81" t="s">
        <v>46</v>
      </c>
      <c r="J81">
        <v>5221.9799999999996</v>
      </c>
      <c r="K81" t="s">
        <v>47</v>
      </c>
      <c r="L81" t="s">
        <v>27</v>
      </c>
      <c r="M81">
        <v>0</v>
      </c>
      <c r="N81" t="s">
        <v>604</v>
      </c>
      <c r="O81" t="s">
        <v>258</v>
      </c>
      <c r="P81">
        <v>48.15</v>
      </c>
      <c r="Q81" s="2">
        <v>45019</v>
      </c>
      <c r="R81" t="s">
        <v>605</v>
      </c>
      <c r="S81" t="s">
        <v>51</v>
      </c>
      <c r="T81" t="s">
        <v>147</v>
      </c>
      <c r="U81">
        <v>5173.83</v>
      </c>
      <c r="V81">
        <v>921.52499999999998</v>
      </c>
    </row>
    <row r="82" spans="1:22" x14ac:dyDescent="0.3">
      <c r="A82" t="s">
        <v>608</v>
      </c>
      <c r="B82" t="s">
        <v>34</v>
      </c>
      <c r="C82" t="s">
        <v>22</v>
      </c>
      <c r="D82">
        <v>10</v>
      </c>
      <c r="E82">
        <v>397.33</v>
      </c>
      <c r="F82" t="s">
        <v>23</v>
      </c>
      <c r="G82" t="s">
        <v>37</v>
      </c>
      <c r="H82">
        <v>0.15</v>
      </c>
      <c r="I82" t="s">
        <v>25</v>
      </c>
      <c r="J82">
        <v>3377.31</v>
      </c>
      <c r="K82" t="s">
        <v>101</v>
      </c>
      <c r="L82" t="s">
        <v>48</v>
      </c>
      <c r="M82">
        <v>0</v>
      </c>
      <c r="N82" t="s">
        <v>609</v>
      </c>
      <c r="O82" t="s">
        <v>610</v>
      </c>
      <c r="P82">
        <v>10.199999999999999</v>
      </c>
      <c r="Q82" s="2">
        <v>45110</v>
      </c>
      <c r="R82" t="s">
        <v>611</v>
      </c>
      <c r="S82" t="s">
        <v>42</v>
      </c>
      <c r="T82" t="s">
        <v>117</v>
      </c>
      <c r="U82">
        <v>3367.11</v>
      </c>
      <c r="V82">
        <v>595.99499999999989</v>
      </c>
    </row>
    <row r="83" spans="1:22" x14ac:dyDescent="0.3">
      <c r="A83" t="s">
        <v>164</v>
      </c>
      <c r="B83" t="s">
        <v>45</v>
      </c>
      <c r="C83" t="s">
        <v>35</v>
      </c>
      <c r="D83">
        <v>17</v>
      </c>
      <c r="E83">
        <v>241.01</v>
      </c>
      <c r="F83" t="s">
        <v>84</v>
      </c>
      <c r="G83" t="s">
        <v>37</v>
      </c>
      <c r="H83">
        <v>0.1</v>
      </c>
      <c r="I83" t="s">
        <v>94</v>
      </c>
      <c r="J83">
        <v>3687.45</v>
      </c>
      <c r="K83" t="s">
        <v>38</v>
      </c>
      <c r="L83" t="s">
        <v>27</v>
      </c>
      <c r="M83">
        <v>0</v>
      </c>
      <c r="N83" t="s">
        <v>612</v>
      </c>
      <c r="O83" t="s">
        <v>613</v>
      </c>
      <c r="P83">
        <v>24.69</v>
      </c>
      <c r="Q83" s="2">
        <v>45413</v>
      </c>
      <c r="R83" t="s">
        <v>614</v>
      </c>
      <c r="S83" t="s">
        <v>51</v>
      </c>
      <c r="T83" t="s">
        <v>63</v>
      </c>
      <c r="U83">
        <v>3662.7599999999998</v>
      </c>
      <c r="V83">
        <v>409.71700000000004</v>
      </c>
    </row>
    <row r="84" spans="1:22" x14ac:dyDescent="0.3">
      <c r="A84" t="s">
        <v>615</v>
      </c>
      <c r="B84" t="s">
        <v>54</v>
      </c>
      <c r="C84" t="s">
        <v>127</v>
      </c>
      <c r="D84">
        <v>16</v>
      </c>
      <c r="E84">
        <v>170.77</v>
      </c>
      <c r="F84" t="s">
        <v>36</v>
      </c>
      <c r="G84" t="s">
        <v>37</v>
      </c>
      <c r="H84">
        <v>0.1</v>
      </c>
      <c r="I84" t="s">
        <v>56</v>
      </c>
      <c r="J84">
        <v>2459.09</v>
      </c>
      <c r="K84" t="s">
        <v>26</v>
      </c>
      <c r="L84" t="s">
        <v>58</v>
      </c>
      <c r="M84">
        <v>1</v>
      </c>
      <c r="N84" t="s">
        <v>616</v>
      </c>
      <c r="O84" t="s">
        <v>617</v>
      </c>
      <c r="P84">
        <v>45.93</v>
      </c>
      <c r="Q84" s="2">
        <v>45509</v>
      </c>
      <c r="R84" t="s">
        <v>618</v>
      </c>
      <c r="S84" t="s">
        <v>62</v>
      </c>
      <c r="T84" t="s">
        <v>82</v>
      </c>
      <c r="U84">
        <v>2413.1600000000003</v>
      </c>
      <c r="V84">
        <v>273.23200000000003</v>
      </c>
    </row>
    <row r="85" spans="1:22" x14ac:dyDescent="0.3">
      <c r="A85" t="s">
        <v>521</v>
      </c>
      <c r="B85" t="s">
        <v>34</v>
      </c>
      <c r="C85" t="s">
        <v>140</v>
      </c>
      <c r="D85">
        <v>20</v>
      </c>
      <c r="E85">
        <v>121.14</v>
      </c>
      <c r="F85" t="s">
        <v>36</v>
      </c>
      <c r="G85" t="s">
        <v>37</v>
      </c>
      <c r="H85">
        <v>0.1</v>
      </c>
      <c r="I85" t="s">
        <v>94</v>
      </c>
      <c r="J85">
        <v>2180.52</v>
      </c>
      <c r="K85" t="s">
        <v>101</v>
      </c>
      <c r="L85" t="s">
        <v>85</v>
      </c>
      <c r="M85">
        <v>0</v>
      </c>
      <c r="N85" t="s">
        <v>622</v>
      </c>
      <c r="O85" t="s">
        <v>623</v>
      </c>
      <c r="P85">
        <v>21.47</v>
      </c>
      <c r="Q85" s="2">
        <v>45054</v>
      </c>
      <c r="R85" t="s">
        <v>104</v>
      </c>
      <c r="S85" t="s">
        <v>42</v>
      </c>
      <c r="T85" t="s">
        <v>63</v>
      </c>
      <c r="U85">
        <v>2159.0500000000002</v>
      </c>
      <c r="V85">
        <v>242.28000000000003</v>
      </c>
    </row>
    <row r="86" spans="1:22" x14ac:dyDescent="0.3">
      <c r="A86" t="s">
        <v>627</v>
      </c>
      <c r="B86" t="s">
        <v>54</v>
      </c>
      <c r="C86" t="s">
        <v>22</v>
      </c>
      <c r="D86">
        <v>5</v>
      </c>
      <c r="E86">
        <v>245.2</v>
      </c>
      <c r="F86" t="s">
        <v>23</v>
      </c>
      <c r="G86" t="s">
        <v>37</v>
      </c>
      <c r="H86">
        <v>0.15</v>
      </c>
      <c r="I86" t="s">
        <v>65</v>
      </c>
      <c r="J86">
        <v>1042.0999999999999</v>
      </c>
      <c r="K86" t="s">
        <v>26</v>
      </c>
      <c r="L86" t="s">
        <v>48</v>
      </c>
      <c r="M86">
        <v>0</v>
      </c>
      <c r="N86" t="s">
        <v>628</v>
      </c>
      <c r="O86" t="s">
        <v>629</v>
      </c>
      <c r="P86">
        <v>46.37</v>
      </c>
      <c r="Q86" s="2">
        <v>45327</v>
      </c>
      <c r="R86" t="s">
        <v>630</v>
      </c>
      <c r="S86" t="s">
        <v>62</v>
      </c>
      <c r="T86" t="s">
        <v>199</v>
      </c>
      <c r="U86">
        <v>995.7299999999999</v>
      </c>
      <c r="V86">
        <v>183.9</v>
      </c>
    </row>
    <row r="87" spans="1:22" x14ac:dyDescent="0.3">
      <c r="A87" t="s">
        <v>587</v>
      </c>
      <c r="B87" t="s">
        <v>21</v>
      </c>
      <c r="C87" t="s">
        <v>22</v>
      </c>
      <c r="D87">
        <v>16</v>
      </c>
      <c r="E87">
        <v>181.08</v>
      </c>
      <c r="F87" t="s">
        <v>36</v>
      </c>
      <c r="G87" t="s">
        <v>37</v>
      </c>
      <c r="H87">
        <v>0.1</v>
      </c>
      <c r="I87" t="s">
        <v>46</v>
      </c>
      <c r="J87">
        <v>2607.5500000000002</v>
      </c>
      <c r="K87" t="s">
        <v>26</v>
      </c>
      <c r="L87" t="s">
        <v>27</v>
      </c>
      <c r="M87">
        <v>0</v>
      </c>
      <c r="N87" t="s">
        <v>631</v>
      </c>
      <c r="O87" t="s">
        <v>632</v>
      </c>
      <c r="P87">
        <v>39.840000000000003</v>
      </c>
      <c r="Q87" s="2">
        <v>45057</v>
      </c>
      <c r="R87" t="s">
        <v>369</v>
      </c>
      <c r="S87" t="s">
        <v>31</v>
      </c>
      <c r="T87" t="s">
        <v>63</v>
      </c>
      <c r="U87">
        <v>2567.71</v>
      </c>
      <c r="V87">
        <v>289.72800000000001</v>
      </c>
    </row>
    <row r="88" spans="1:22" x14ac:dyDescent="0.3">
      <c r="A88" t="s">
        <v>633</v>
      </c>
      <c r="B88" t="s">
        <v>45</v>
      </c>
      <c r="C88" t="s">
        <v>71</v>
      </c>
      <c r="D88">
        <v>16</v>
      </c>
      <c r="E88">
        <v>442.22</v>
      </c>
      <c r="F88" t="s">
        <v>23</v>
      </c>
      <c r="G88" t="s">
        <v>37</v>
      </c>
      <c r="H88">
        <v>0</v>
      </c>
      <c r="I88" t="s">
        <v>25</v>
      </c>
      <c r="J88">
        <v>7075.52</v>
      </c>
      <c r="K88" t="s">
        <v>47</v>
      </c>
      <c r="L88" t="s">
        <v>85</v>
      </c>
      <c r="M88">
        <v>0</v>
      </c>
      <c r="N88" t="s">
        <v>634</v>
      </c>
      <c r="O88" t="s">
        <v>635</v>
      </c>
      <c r="P88">
        <v>27.36</v>
      </c>
      <c r="Q88" s="2">
        <v>45537</v>
      </c>
      <c r="R88" t="s">
        <v>636</v>
      </c>
      <c r="S88" t="s">
        <v>51</v>
      </c>
      <c r="T88" t="s">
        <v>52</v>
      </c>
      <c r="U88">
        <v>7048.1600000000008</v>
      </c>
      <c r="V88">
        <v>0</v>
      </c>
    </row>
    <row r="89" spans="1:22" x14ac:dyDescent="0.3">
      <c r="A89" t="s">
        <v>644</v>
      </c>
      <c r="B89" t="s">
        <v>21</v>
      </c>
      <c r="C89" t="s">
        <v>109</v>
      </c>
      <c r="D89">
        <v>19</v>
      </c>
      <c r="E89">
        <v>385.72</v>
      </c>
      <c r="F89" t="s">
        <v>84</v>
      </c>
      <c r="G89" t="s">
        <v>37</v>
      </c>
      <c r="H89">
        <v>0.05</v>
      </c>
      <c r="I89" t="s">
        <v>46</v>
      </c>
      <c r="J89">
        <v>6962.25</v>
      </c>
      <c r="K89" t="s">
        <v>47</v>
      </c>
      <c r="L89" t="s">
        <v>58</v>
      </c>
      <c r="M89">
        <v>1</v>
      </c>
      <c r="N89" t="s">
        <v>645</v>
      </c>
      <c r="O89" t="s">
        <v>646</v>
      </c>
      <c r="P89">
        <v>12.46</v>
      </c>
      <c r="Q89" s="2">
        <v>45332</v>
      </c>
      <c r="R89" t="s">
        <v>647</v>
      </c>
      <c r="S89" t="s">
        <v>31</v>
      </c>
      <c r="T89" t="s">
        <v>199</v>
      </c>
      <c r="U89">
        <v>6949.79</v>
      </c>
      <c r="V89">
        <v>366.43400000000003</v>
      </c>
    </row>
    <row r="90" spans="1:22" x14ac:dyDescent="0.3">
      <c r="A90" t="s">
        <v>652</v>
      </c>
      <c r="B90" t="s">
        <v>70</v>
      </c>
      <c r="C90" t="s">
        <v>71</v>
      </c>
      <c r="D90">
        <v>6</v>
      </c>
      <c r="E90">
        <v>471.74</v>
      </c>
      <c r="F90" t="s">
        <v>36</v>
      </c>
      <c r="G90" t="s">
        <v>37</v>
      </c>
      <c r="H90">
        <v>0.15</v>
      </c>
      <c r="I90" t="s">
        <v>46</v>
      </c>
      <c r="J90">
        <v>2405.87</v>
      </c>
      <c r="K90" t="s">
        <v>26</v>
      </c>
      <c r="L90" t="s">
        <v>48</v>
      </c>
      <c r="M90">
        <v>0</v>
      </c>
      <c r="N90" t="s">
        <v>653</v>
      </c>
      <c r="O90" t="s">
        <v>654</v>
      </c>
      <c r="P90">
        <v>36.79</v>
      </c>
      <c r="Q90" s="2">
        <v>45208</v>
      </c>
      <c r="R90" t="s">
        <v>655</v>
      </c>
      <c r="S90" t="s">
        <v>75</v>
      </c>
      <c r="T90" t="s">
        <v>32</v>
      </c>
      <c r="U90">
        <v>2369.08</v>
      </c>
      <c r="V90">
        <v>424.56599999999997</v>
      </c>
    </row>
    <row r="91" spans="1:22" x14ac:dyDescent="0.3">
      <c r="A91" t="s">
        <v>92</v>
      </c>
      <c r="B91" t="s">
        <v>54</v>
      </c>
      <c r="C91" t="s">
        <v>127</v>
      </c>
      <c r="D91">
        <v>3</v>
      </c>
      <c r="E91">
        <v>599.72</v>
      </c>
      <c r="F91" t="s">
        <v>55</v>
      </c>
      <c r="G91" t="s">
        <v>37</v>
      </c>
      <c r="H91">
        <v>0.15</v>
      </c>
      <c r="I91" t="s">
        <v>25</v>
      </c>
      <c r="J91">
        <v>1529.29</v>
      </c>
      <c r="K91" t="s">
        <v>26</v>
      </c>
      <c r="L91" t="s">
        <v>27</v>
      </c>
      <c r="M91">
        <v>1</v>
      </c>
      <c r="N91" t="s">
        <v>660</v>
      </c>
      <c r="O91" t="s">
        <v>661</v>
      </c>
      <c r="P91">
        <v>14.93</v>
      </c>
      <c r="Q91" s="2">
        <v>45875</v>
      </c>
      <c r="R91" t="s">
        <v>232</v>
      </c>
      <c r="S91" t="s">
        <v>62</v>
      </c>
      <c r="T91" t="s">
        <v>82</v>
      </c>
      <c r="U91">
        <v>1514.36</v>
      </c>
      <c r="V91">
        <v>269.87400000000002</v>
      </c>
    </row>
    <row r="92" spans="1:22" x14ac:dyDescent="0.3">
      <c r="A92" t="s">
        <v>640</v>
      </c>
      <c r="B92" t="s">
        <v>21</v>
      </c>
      <c r="C92" t="s">
        <v>140</v>
      </c>
      <c r="D92">
        <v>13</v>
      </c>
      <c r="E92">
        <v>179.37</v>
      </c>
      <c r="F92" t="s">
        <v>84</v>
      </c>
      <c r="G92" t="s">
        <v>37</v>
      </c>
      <c r="H92">
        <v>0.05</v>
      </c>
      <c r="I92" t="s">
        <v>65</v>
      </c>
      <c r="J92">
        <v>2215.2199999999998</v>
      </c>
      <c r="K92" t="s">
        <v>26</v>
      </c>
      <c r="L92" t="s">
        <v>85</v>
      </c>
      <c r="M92">
        <v>0</v>
      </c>
      <c r="N92" t="s">
        <v>662</v>
      </c>
      <c r="O92" t="s">
        <v>663</v>
      </c>
      <c r="P92">
        <v>35.28</v>
      </c>
      <c r="Q92" s="2">
        <v>45027</v>
      </c>
      <c r="R92" t="s">
        <v>590</v>
      </c>
      <c r="S92" t="s">
        <v>31</v>
      </c>
      <c r="T92" t="s">
        <v>147</v>
      </c>
      <c r="U92">
        <v>2179.9399999999996</v>
      </c>
      <c r="V92">
        <v>116.59050000000001</v>
      </c>
    </row>
    <row r="93" spans="1:22" x14ac:dyDescent="0.3">
      <c r="A93" t="s">
        <v>89</v>
      </c>
      <c r="B93" t="s">
        <v>70</v>
      </c>
      <c r="C93" t="s">
        <v>140</v>
      </c>
      <c r="D93">
        <v>19</v>
      </c>
      <c r="E93">
        <v>491.15</v>
      </c>
      <c r="F93" t="s">
        <v>36</v>
      </c>
      <c r="G93" t="s">
        <v>37</v>
      </c>
      <c r="H93">
        <v>0</v>
      </c>
      <c r="I93" t="s">
        <v>56</v>
      </c>
      <c r="J93">
        <v>9331.85</v>
      </c>
      <c r="K93" t="s">
        <v>26</v>
      </c>
      <c r="L93" t="s">
        <v>48</v>
      </c>
      <c r="M93">
        <v>0</v>
      </c>
      <c r="N93" t="s">
        <v>664</v>
      </c>
      <c r="O93" t="s">
        <v>665</v>
      </c>
      <c r="P93">
        <v>48.68</v>
      </c>
      <c r="Q93" s="2">
        <v>45783</v>
      </c>
      <c r="R93" t="s">
        <v>250</v>
      </c>
      <c r="S93" t="s">
        <v>75</v>
      </c>
      <c r="T93" t="s">
        <v>63</v>
      </c>
      <c r="U93">
        <v>9283.17</v>
      </c>
      <c r="V93">
        <v>0</v>
      </c>
    </row>
    <row r="94" spans="1:22" x14ac:dyDescent="0.3">
      <c r="A94" t="s">
        <v>168</v>
      </c>
      <c r="B94" t="s">
        <v>70</v>
      </c>
      <c r="C94" t="s">
        <v>71</v>
      </c>
      <c r="D94">
        <v>15</v>
      </c>
      <c r="E94">
        <v>13.66</v>
      </c>
      <c r="F94" t="s">
        <v>23</v>
      </c>
      <c r="G94" t="s">
        <v>37</v>
      </c>
      <c r="H94">
        <v>0.1</v>
      </c>
      <c r="I94" t="s">
        <v>25</v>
      </c>
      <c r="J94">
        <v>184.41</v>
      </c>
      <c r="K94" t="s">
        <v>38</v>
      </c>
      <c r="L94" t="s">
        <v>85</v>
      </c>
      <c r="M94">
        <v>0</v>
      </c>
      <c r="N94" t="s">
        <v>679</v>
      </c>
      <c r="O94" t="s">
        <v>680</v>
      </c>
      <c r="P94">
        <v>38.04</v>
      </c>
      <c r="Q94" s="2">
        <v>45967</v>
      </c>
      <c r="R94" t="s">
        <v>681</v>
      </c>
      <c r="S94" t="s">
        <v>75</v>
      </c>
      <c r="T94" t="s">
        <v>43</v>
      </c>
      <c r="U94">
        <v>146.37</v>
      </c>
      <c r="V94">
        <v>20.490000000000002</v>
      </c>
    </row>
    <row r="95" spans="1:22" x14ac:dyDescent="0.3">
      <c r="A95" t="s">
        <v>587</v>
      </c>
      <c r="B95" t="s">
        <v>70</v>
      </c>
      <c r="C95" t="s">
        <v>22</v>
      </c>
      <c r="D95">
        <v>12</v>
      </c>
      <c r="E95">
        <v>159.85</v>
      </c>
      <c r="F95" t="s">
        <v>55</v>
      </c>
      <c r="G95" t="s">
        <v>37</v>
      </c>
      <c r="H95">
        <v>0.1</v>
      </c>
      <c r="I95" t="s">
        <v>25</v>
      </c>
      <c r="J95">
        <v>1726.38</v>
      </c>
      <c r="K95" t="s">
        <v>47</v>
      </c>
      <c r="L95" t="s">
        <v>27</v>
      </c>
      <c r="M95">
        <v>0</v>
      </c>
      <c r="N95" t="s">
        <v>690</v>
      </c>
      <c r="O95" t="s">
        <v>691</v>
      </c>
      <c r="P95">
        <v>32.61</v>
      </c>
      <c r="Q95" s="2">
        <v>45057</v>
      </c>
      <c r="R95" t="s">
        <v>692</v>
      </c>
      <c r="S95" t="s">
        <v>75</v>
      </c>
      <c r="T95" t="s">
        <v>63</v>
      </c>
      <c r="U95">
        <v>1693.7700000000002</v>
      </c>
      <c r="V95">
        <v>191.82</v>
      </c>
    </row>
    <row r="96" spans="1:22" x14ac:dyDescent="0.3">
      <c r="A96" t="s">
        <v>93</v>
      </c>
      <c r="B96" t="s">
        <v>54</v>
      </c>
      <c r="C96" t="s">
        <v>100</v>
      </c>
      <c r="D96">
        <v>13</v>
      </c>
      <c r="E96">
        <v>522.97</v>
      </c>
      <c r="F96" t="s">
        <v>36</v>
      </c>
      <c r="G96" t="s">
        <v>37</v>
      </c>
      <c r="H96">
        <v>0.15</v>
      </c>
      <c r="I96" t="s">
        <v>46</v>
      </c>
      <c r="J96">
        <v>5778.82</v>
      </c>
      <c r="K96" t="s">
        <v>38</v>
      </c>
      <c r="L96" t="s">
        <v>85</v>
      </c>
      <c r="M96">
        <v>0</v>
      </c>
      <c r="N96" t="s">
        <v>696</v>
      </c>
      <c r="O96" t="s">
        <v>697</v>
      </c>
      <c r="P96">
        <v>33.9</v>
      </c>
      <c r="Q96" s="2">
        <v>44988</v>
      </c>
      <c r="R96" t="s">
        <v>698</v>
      </c>
      <c r="S96" t="s">
        <v>62</v>
      </c>
      <c r="T96" t="s">
        <v>98</v>
      </c>
      <c r="U96">
        <v>5744.92</v>
      </c>
      <c r="V96">
        <v>1019.7915</v>
      </c>
    </row>
    <row r="97" spans="1:22" x14ac:dyDescent="0.3">
      <c r="A97" t="s">
        <v>699</v>
      </c>
      <c r="B97" t="s">
        <v>54</v>
      </c>
      <c r="C97" t="s">
        <v>100</v>
      </c>
      <c r="D97">
        <v>9</v>
      </c>
      <c r="E97">
        <v>596.83000000000004</v>
      </c>
      <c r="F97" t="s">
        <v>84</v>
      </c>
      <c r="G97" t="s">
        <v>37</v>
      </c>
      <c r="H97">
        <v>0</v>
      </c>
      <c r="I97" t="s">
        <v>65</v>
      </c>
      <c r="J97">
        <v>5371.47</v>
      </c>
      <c r="K97" t="s">
        <v>47</v>
      </c>
      <c r="L97" t="s">
        <v>27</v>
      </c>
      <c r="M97">
        <v>0</v>
      </c>
      <c r="N97" t="s">
        <v>700</v>
      </c>
      <c r="O97" t="s">
        <v>701</v>
      </c>
      <c r="P97">
        <v>6.43</v>
      </c>
      <c r="Q97" s="2">
        <v>45606</v>
      </c>
      <c r="R97" t="s">
        <v>702</v>
      </c>
      <c r="S97" t="s">
        <v>62</v>
      </c>
      <c r="T97" t="s">
        <v>43</v>
      </c>
      <c r="U97">
        <v>5365.04</v>
      </c>
      <c r="V97">
        <v>0</v>
      </c>
    </row>
    <row r="98" spans="1:22" x14ac:dyDescent="0.3">
      <c r="A98" t="s">
        <v>83</v>
      </c>
      <c r="B98" t="s">
        <v>45</v>
      </c>
      <c r="C98" t="s">
        <v>127</v>
      </c>
      <c r="D98">
        <v>5</v>
      </c>
      <c r="E98">
        <v>136.13</v>
      </c>
      <c r="F98" t="s">
        <v>36</v>
      </c>
      <c r="G98" t="s">
        <v>37</v>
      </c>
      <c r="H98">
        <v>0.15</v>
      </c>
      <c r="I98" t="s">
        <v>46</v>
      </c>
      <c r="J98">
        <v>578.54999999999995</v>
      </c>
      <c r="K98" t="s">
        <v>26</v>
      </c>
      <c r="L98" t="s">
        <v>48</v>
      </c>
      <c r="M98">
        <v>0</v>
      </c>
      <c r="N98" t="s">
        <v>706</v>
      </c>
      <c r="O98" t="s">
        <v>707</v>
      </c>
      <c r="P98">
        <v>10.02</v>
      </c>
      <c r="Q98" s="2">
        <v>45966</v>
      </c>
      <c r="R98" t="s">
        <v>708</v>
      </c>
      <c r="S98" t="s">
        <v>51</v>
      </c>
      <c r="T98" t="s">
        <v>43</v>
      </c>
      <c r="U98">
        <v>568.53</v>
      </c>
      <c r="V98">
        <v>102.0975</v>
      </c>
    </row>
    <row r="99" spans="1:22" x14ac:dyDescent="0.3">
      <c r="A99" t="s">
        <v>540</v>
      </c>
      <c r="B99" t="s">
        <v>70</v>
      </c>
      <c r="C99" t="s">
        <v>100</v>
      </c>
      <c r="D99">
        <v>6</v>
      </c>
      <c r="E99">
        <v>138.26</v>
      </c>
      <c r="F99" t="s">
        <v>23</v>
      </c>
      <c r="G99" t="s">
        <v>37</v>
      </c>
      <c r="H99">
        <v>0.15</v>
      </c>
      <c r="I99" t="s">
        <v>65</v>
      </c>
      <c r="J99">
        <v>705.13</v>
      </c>
      <c r="K99" t="s">
        <v>26</v>
      </c>
      <c r="L99" t="s">
        <v>48</v>
      </c>
      <c r="M99">
        <v>1</v>
      </c>
      <c r="N99" t="s">
        <v>709</v>
      </c>
      <c r="O99" t="s">
        <v>710</v>
      </c>
      <c r="P99">
        <v>31.4</v>
      </c>
      <c r="Q99" s="2">
        <v>45964</v>
      </c>
      <c r="R99" t="s">
        <v>61</v>
      </c>
      <c r="S99" t="s">
        <v>75</v>
      </c>
      <c r="T99" t="s">
        <v>43</v>
      </c>
      <c r="U99">
        <v>673.73</v>
      </c>
      <c r="V99">
        <v>124.43399999999998</v>
      </c>
    </row>
    <row r="100" spans="1:22" x14ac:dyDescent="0.3">
      <c r="A100" t="s">
        <v>719</v>
      </c>
      <c r="B100" t="s">
        <v>34</v>
      </c>
      <c r="C100" t="s">
        <v>100</v>
      </c>
      <c r="D100">
        <v>6</v>
      </c>
      <c r="E100">
        <v>429.45</v>
      </c>
      <c r="F100" t="s">
        <v>23</v>
      </c>
      <c r="G100" t="s">
        <v>37</v>
      </c>
      <c r="H100">
        <v>0.1</v>
      </c>
      <c r="I100" t="s">
        <v>25</v>
      </c>
      <c r="J100">
        <v>2319.0300000000002</v>
      </c>
      <c r="K100" t="s">
        <v>47</v>
      </c>
      <c r="L100" t="s">
        <v>48</v>
      </c>
      <c r="M100">
        <v>0</v>
      </c>
      <c r="N100" t="s">
        <v>720</v>
      </c>
      <c r="O100" t="s">
        <v>721</v>
      </c>
      <c r="P100">
        <v>47.18</v>
      </c>
      <c r="Q100" s="2">
        <v>45962</v>
      </c>
      <c r="R100" t="s">
        <v>722</v>
      </c>
      <c r="S100" t="s">
        <v>42</v>
      </c>
      <c r="T100" t="s">
        <v>43</v>
      </c>
      <c r="U100">
        <v>2271.8500000000004</v>
      </c>
      <c r="V100">
        <v>257.67</v>
      </c>
    </row>
    <row r="101" spans="1:22" x14ac:dyDescent="0.3">
      <c r="A101" t="s">
        <v>723</v>
      </c>
      <c r="B101" t="s">
        <v>21</v>
      </c>
      <c r="C101" t="s">
        <v>35</v>
      </c>
      <c r="D101">
        <v>3</v>
      </c>
      <c r="E101">
        <v>250.65</v>
      </c>
      <c r="F101" t="s">
        <v>55</v>
      </c>
      <c r="G101" t="s">
        <v>37</v>
      </c>
      <c r="H101">
        <v>0.15</v>
      </c>
      <c r="I101" t="s">
        <v>65</v>
      </c>
      <c r="J101">
        <v>639.16</v>
      </c>
      <c r="K101" t="s">
        <v>101</v>
      </c>
      <c r="L101" t="s">
        <v>58</v>
      </c>
      <c r="M101">
        <v>0</v>
      </c>
      <c r="N101" t="s">
        <v>724</v>
      </c>
      <c r="O101" t="s">
        <v>725</v>
      </c>
      <c r="P101">
        <v>44.46</v>
      </c>
      <c r="Q101" s="2">
        <v>45053</v>
      </c>
      <c r="R101" t="s">
        <v>379</v>
      </c>
      <c r="S101" t="s">
        <v>31</v>
      </c>
      <c r="T101" t="s">
        <v>63</v>
      </c>
      <c r="U101">
        <v>594.69999999999993</v>
      </c>
      <c r="V101">
        <v>112.7925</v>
      </c>
    </row>
    <row r="102" spans="1:22" x14ac:dyDescent="0.3">
      <c r="A102" t="s">
        <v>349</v>
      </c>
      <c r="B102" t="s">
        <v>21</v>
      </c>
      <c r="C102" t="s">
        <v>35</v>
      </c>
      <c r="D102">
        <v>7</v>
      </c>
      <c r="E102">
        <v>30.79</v>
      </c>
      <c r="F102" t="s">
        <v>36</v>
      </c>
      <c r="G102" t="s">
        <v>37</v>
      </c>
      <c r="H102">
        <v>0.1</v>
      </c>
      <c r="I102" t="s">
        <v>94</v>
      </c>
      <c r="J102">
        <v>193.98</v>
      </c>
      <c r="K102" t="s">
        <v>47</v>
      </c>
      <c r="L102" t="s">
        <v>27</v>
      </c>
      <c r="M102">
        <v>1</v>
      </c>
      <c r="N102" t="s">
        <v>726</v>
      </c>
      <c r="O102" t="s">
        <v>727</v>
      </c>
      <c r="P102">
        <v>11.39</v>
      </c>
      <c r="Q102" s="2">
        <v>45873</v>
      </c>
      <c r="R102" t="s">
        <v>728</v>
      </c>
      <c r="S102" t="s">
        <v>31</v>
      </c>
      <c r="T102" t="s">
        <v>82</v>
      </c>
      <c r="U102">
        <v>182.58999999999997</v>
      </c>
      <c r="V102">
        <v>21.553000000000001</v>
      </c>
    </row>
    <row r="103" spans="1:22" x14ac:dyDescent="0.3">
      <c r="A103" t="s">
        <v>399</v>
      </c>
      <c r="B103" t="s">
        <v>45</v>
      </c>
      <c r="C103" t="s">
        <v>109</v>
      </c>
      <c r="D103">
        <v>17</v>
      </c>
      <c r="E103">
        <v>310.02999999999997</v>
      </c>
      <c r="F103" t="s">
        <v>55</v>
      </c>
      <c r="G103" t="s">
        <v>37</v>
      </c>
      <c r="H103">
        <v>0.05</v>
      </c>
      <c r="I103" t="s">
        <v>46</v>
      </c>
      <c r="J103">
        <v>5006.9799999999996</v>
      </c>
      <c r="K103" t="s">
        <v>26</v>
      </c>
      <c r="L103" t="s">
        <v>85</v>
      </c>
      <c r="M103">
        <v>0</v>
      </c>
      <c r="N103" t="s">
        <v>733</v>
      </c>
      <c r="O103" t="s">
        <v>734</v>
      </c>
      <c r="P103">
        <v>8.06</v>
      </c>
      <c r="Q103" s="2">
        <v>45393</v>
      </c>
      <c r="R103" t="s">
        <v>595</v>
      </c>
      <c r="S103" t="s">
        <v>51</v>
      </c>
      <c r="T103" t="s">
        <v>147</v>
      </c>
      <c r="U103">
        <v>4998.9199999999992</v>
      </c>
      <c r="V103">
        <v>263.52549999999997</v>
      </c>
    </row>
    <row r="104" spans="1:22" x14ac:dyDescent="0.3">
      <c r="A104" t="s">
        <v>420</v>
      </c>
      <c r="B104" t="s">
        <v>54</v>
      </c>
      <c r="C104" t="s">
        <v>140</v>
      </c>
      <c r="D104">
        <v>13</v>
      </c>
      <c r="E104">
        <v>204.67</v>
      </c>
      <c r="F104" t="s">
        <v>84</v>
      </c>
      <c r="G104" t="s">
        <v>37</v>
      </c>
      <c r="H104">
        <v>0.15</v>
      </c>
      <c r="I104" t="s">
        <v>25</v>
      </c>
      <c r="J104">
        <v>2261.6</v>
      </c>
      <c r="K104" t="s">
        <v>26</v>
      </c>
      <c r="L104" t="s">
        <v>48</v>
      </c>
      <c r="M104">
        <v>0</v>
      </c>
      <c r="N104" t="s">
        <v>735</v>
      </c>
      <c r="O104" t="s">
        <v>736</v>
      </c>
      <c r="P104">
        <v>6.76</v>
      </c>
      <c r="Q104" s="2">
        <v>45292</v>
      </c>
      <c r="R104" t="s">
        <v>164</v>
      </c>
      <c r="S104" t="s">
        <v>62</v>
      </c>
      <c r="T104" t="s">
        <v>187</v>
      </c>
      <c r="U104">
        <v>2254.8399999999997</v>
      </c>
      <c r="V104">
        <v>399.10649999999998</v>
      </c>
    </row>
    <row r="105" spans="1:22" x14ac:dyDescent="0.3">
      <c r="A105" t="s">
        <v>746</v>
      </c>
      <c r="B105" t="s">
        <v>45</v>
      </c>
      <c r="C105" t="s">
        <v>35</v>
      </c>
      <c r="D105">
        <v>10</v>
      </c>
      <c r="E105">
        <v>397.39</v>
      </c>
      <c r="F105" t="s">
        <v>55</v>
      </c>
      <c r="G105" t="s">
        <v>37</v>
      </c>
      <c r="H105">
        <v>0.15</v>
      </c>
      <c r="I105" t="s">
        <v>25</v>
      </c>
      <c r="J105">
        <v>3377.82</v>
      </c>
      <c r="K105" t="s">
        <v>57</v>
      </c>
      <c r="L105" t="s">
        <v>48</v>
      </c>
      <c r="M105">
        <v>0</v>
      </c>
      <c r="N105" t="s">
        <v>747</v>
      </c>
      <c r="O105" t="s">
        <v>748</v>
      </c>
      <c r="P105">
        <v>25.27</v>
      </c>
      <c r="Q105" s="2">
        <v>45447</v>
      </c>
      <c r="R105" t="s">
        <v>342</v>
      </c>
      <c r="S105" t="s">
        <v>51</v>
      </c>
      <c r="T105" t="s">
        <v>105</v>
      </c>
      <c r="U105">
        <v>3352.55</v>
      </c>
      <c r="V105">
        <v>596.08499999999992</v>
      </c>
    </row>
    <row r="106" spans="1:22" x14ac:dyDescent="0.3">
      <c r="A106" t="s">
        <v>751</v>
      </c>
      <c r="B106" t="s">
        <v>34</v>
      </c>
      <c r="C106" t="s">
        <v>140</v>
      </c>
      <c r="D106">
        <v>2</v>
      </c>
      <c r="E106">
        <v>264</v>
      </c>
      <c r="F106" t="s">
        <v>55</v>
      </c>
      <c r="G106" t="s">
        <v>37</v>
      </c>
      <c r="H106">
        <v>0</v>
      </c>
      <c r="I106" t="s">
        <v>94</v>
      </c>
      <c r="J106">
        <v>528</v>
      </c>
      <c r="K106" t="s">
        <v>57</v>
      </c>
      <c r="L106" t="s">
        <v>58</v>
      </c>
      <c r="M106">
        <v>0</v>
      </c>
      <c r="N106" t="s">
        <v>752</v>
      </c>
      <c r="O106" t="s">
        <v>753</v>
      </c>
      <c r="P106">
        <v>26.73</v>
      </c>
      <c r="Q106" s="2">
        <v>45809</v>
      </c>
      <c r="R106" t="s">
        <v>754</v>
      </c>
      <c r="S106" t="s">
        <v>42</v>
      </c>
      <c r="T106" t="s">
        <v>105</v>
      </c>
      <c r="U106">
        <v>501.27</v>
      </c>
      <c r="V106">
        <v>0</v>
      </c>
    </row>
    <row r="107" spans="1:22" x14ac:dyDescent="0.3">
      <c r="A107" t="s">
        <v>760</v>
      </c>
      <c r="B107" t="s">
        <v>70</v>
      </c>
      <c r="C107" t="s">
        <v>35</v>
      </c>
      <c r="D107">
        <v>9</v>
      </c>
      <c r="E107">
        <v>228.3</v>
      </c>
      <c r="F107" t="s">
        <v>23</v>
      </c>
      <c r="G107" t="s">
        <v>37</v>
      </c>
      <c r="H107">
        <v>0.05</v>
      </c>
      <c r="I107" t="s">
        <v>65</v>
      </c>
      <c r="J107">
        <v>1951.97</v>
      </c>
      <c r="K107" t="s">
        <v>38</v>
      </c>
      <c r="L107" t="s">
        <v>85</v>
      </c>
      <c r="M107">
        <v>0</v>
      </c>
      <c r="N107" t="s">
        <v>761</v>
      </c>
      <c r="O107" t="s">
        <v>762</v>
      </c>
      <c r="P107">
        <v>8.75</v>
      </c>
      <c r="Q107" s="2">
        <v>44933</v>
      </c>
      <c r="R107" t="s">
        <v>763</v>
      </c>
      <c r="S107" t="s">
        <v>75</v>
      </c>
      <c r="T107" t="s">
        <v>187</v>
      </c>
      <c r="U107">
        <v>1943.22</v>
      </c>
      <c r="V107">
        <v>102.73500000000001</v>
      </c>
    </row>
    <row r="108" spans="1:22" x14ac:dyDescent="0.3">
      <c r="A108" t="s">
        <v>770</v>
      </c>
      <c r="B108" t="s">
        <v>70</v>
      </c>
      <c r="C108" t="s">
        <v>100</v>
      </c>
      <c r="D108">
        <v>17</v>
      </c>
      <c r="E108">
        <v>584.70000000000005</v>
      </c>
      <c r="F108" t="s">
        <v>55</v>
      </c>
      <c r="G108" t="s">
        <v>37</v>
      </c>
      <c r="H108">
        <v>0.1</v>
      </c>
      <c r="I108" t="s">
        <v>65</v>
      </c>
      <c r="J108">
        <v>8945.91</v>
      </c>
      <c r="K108" t="s">
        <v>26</v>
      </c>
      <c r="L108" t="s">
        <v>48</v>
      </c>
      <c r="M108">
        <v>1</v>
      </c>
      <c r="N108" t="s">
        <v>771</v>
      </c>
      <c r="O108" t="s">
        <v>772</v>
      </c>
      <c r="P108">
        <v>46.59</v>
      </c>
      <c r="Q108" s="2">
        <v>45658</v>
      </c>
      <c r="R108" t="s">
        <v>773</v>
      </c>
      <c r="S108" t="s">
        <v>75</v>
      </c>
      <c r="T108" t="s">
        <v>187</v>
      </c>
      <c r="U108">
        <v>8899.32</v>
      </c>
      <c r="V108">
        <v>993.99000000000024</v>
      </c>
    </row>
    <row r="109" spans="1:22" x14ac:dyDescent="0.3">
      <c r="A109" t="s">
        <v>784</v>
      </c>
      <c r="B109" t="s">
        <v>34</v>
      </c>
      <c r="C109" t="s">
        <v>100</v>
      </c>
      <c r="D109">
        <v>6</v>
      </c>
      <c r="E109">
        <v>505.7</v>
      </c>
      <c r="F109" t="s">
        <v>36</v>
      </c>
      <c r="G109" t="s">
        <v>37</v>
      </c>
      <c r="H109">
        <v>0</v>
      </c>
      <c r="I109" t="s">
        <v>25</v>
      </c>
      <c r="J109">
        <v>3034.2</v>
      </c>
      <c r="K109" t="s">
        <v>47</v>
      </c>
      <c r="L109" t="s">
        <v>48</v>
      </c>
      <c r="M109">
        <v>0</v>
      </c>
      <c r="N109" t="s">
        <v>785</v>
      </c>
      <c r="O109" t="s">
        <v>786</v>
      </c>
      <c r="P109">
        <v>40.380000000000003</v>
      </c>
      <c r="Q109" s="2">
        <v>45117</v>
      </c>
      <c r="R109" t="s">
        <v>787</v>
      </c>
      <c r="S109" t="s">
        <v>42</v>
      </c>
      <c r="T109" t="s">
        <v>117</v>
      </c>
      <c r="U109">
        <v>2993.8199999999997</v>
      </c>
      <c r="V109">
        <v>0</v>
      </c>
    </row>
    <row r="110" spans="1:22" x14ac:dyDescent="0.3">
      <c r="A110" t="s">
        <v>795</v>
      </c>
      <c r="B110" t="s">
        <v>34</v>
      </c>
      <c r="C110" t="s">
        <v>140</v>
      </c>
      <c r="D110">
        <v>2</v>
      </c>
      <c r="E110">
        <v>6.19</v>
      </c>
      <c r="F110" t="s">
        <v>23</v>
      </c>
      <c r="G110" t="s">
        <v>37</v>
      </c>
      <c r="H110">
        <v>0.1</v>
      </c>
      <c r="I110" t="s">
        <v>56</v>
      </c>
      <c r="J110">
        <v>11.14</v>
      </c>
      <c r="K110" t="s">
        <v>101</v>
      </c>
      <c r="L110" t="s">
        <v>85</v>
      </c>
      <c r="M110">
        <v>1</v>
      </c>
      <c r="N110" t="s">
        <v>796</v>
      </c>
      <c r="O110" t="s">
        <v>797</v>
      </c>
      <c r="P110">
        <v>47.24</v>
      </c>
      <c r="Q110" s="2">
        <v>44966</v>
      </c>
      <c r="R110" t="s">
        <v>798</v>
      </c>
      <c r="S110" t="s">
        <v>42</v>
      </c>
      <c r="T110" t="s">
        <v>199</v>
      </c>
      <c r="U110">
        <v>-36.1</v>
      </c>
      <c r="V110">
        <v>1.2380000000000002</v>
      </c>
    </row>
    <row r="111" spans="1:22" x14ac:dyDescent="0.3">
      <c r="A111" t="s">
        <v>799</v>
      </c>
      <c r="B111" t="s">
        <v>34</v>
      </c>
      <c r="C111" t="s">
        <v>127</v>
      </c>
      <c r="D111">
        <v>3</v>
      </c>
      <c r="E111">
        <v>136.15</v>
      </c>
      <c r="F111" t="s">
        <v>84</v>
      </c>
      <c r="G111" t="s">
        <v>37</v>
      </c>
      <c r="H111">
        <v>0.1</v>
      </c>
      <c r="I111" t="s">
        <v>78</v>
      </c>
      <c r="J111">
        <v>367.61</v>
      </c>
      <c r="K111" t="s">
        <v>57</v>
      </c>
      <c r="L111" t="s">
        <v>58</v>
      </c>
      <c r="M111">
        <v>0</v>
      </c>
      <c r="N111" t="s">
        <v>800</v>
      </c>
      <c r="O111" t="s">
        <v>801</v>
      </c>
      <c r="P111">
        <v>48.38</v>
      </c>
      <c r="Q111" s="2">
        <v>45361</v>
      </c>
      <c r="R111" t="s">
        <v>482</v>
      </c>
      <c r="S111" t="s">
        <v>42</v>
      </c>
      <c r="T111" t="s">
        <v>98</v>
      </c>
      <c r="U111">
        <v>319.23</v>
      </c>
      <c r="V111">
        <v>40.845000000000006</v>
      </c>
    </row>
    <row r="112" spans="1:22" x14ac:dyDescent="0.3">
      <c r="A112" t="s">
        <v>802</v>
      </c>
      <c r="B112" t="s">
        <v>45</v>
      </c>
      <c r="C112" t="s">
        <v>22</v>
      </c>
      <c r="D112">
        <v>8</v>
      </c>
      <c r="E112">
        <v>561.9</v>
      </c>
      <c r="F112" t="s">
        <v>84</v>
      </c>
      <c r="G112" t="s">
        <v>37</v>
      </c>
      <c r="H112">
        <v>0.15</v>
      </c>
      <c r="I112" t="s">
        <v>94</v>
      </c>
      <c r="J112">
        <v>3820.92</v>
      </c>
      <c r="K112" t="s">
        <v>26</v>
      </c>
      <c r="L112" t="s">
        <v>85</v>
      </c>
      <c r="M112">
        <v>1</v>
      </c>
      <c r="N112" t="s">
        <v>803</v>
      </c>
      <c r="O112" t="s">
        <v>804</v>
      </c>
      <c r="P112">
        <v>15.97</v>
      </c>
      <c r="Q112" s="2">
        <v>45475</v>
      </c>
      <c r="R112" t="s">
        <v>805</v>
      </c>
      <c r="S112" t="s">
        <v>51</v>
      </c>
      <c r="T112" t="s">
        <v>117</v>
      </c>
      <c r="U112">
        <v>3804.9500000000003</v>
      </c>
      <c r="V112">
        <v>674.28</v>
      </c>
    </row>
    <row r="113" spans="1:22" x14ac:dyDescent="0.3">
      <c r="A113" t="s">
        <v>320</v>
      </c>
      <c r="B113" t="s">
        <v>34</v>
      </c>
      <c r="C113" t="s">
        <v>35</v>
      </c>
      <c r="D113">
        <v>20</v>
      </c>
      <c r="E113">
        <v>313.47000000000003</v>
      </c>
      <c r="F113" t="s">
        <v>36</v>
      </c>
      <c r="G113" t="s">
        <v>37</v>
      </c>
      <c r="H113">
        <v>0.15</v>
      </c>
      <c r="I113" t="s">
        <v>25</v>
      </c>
      <c r="J113">
        <v>5328.99</v>
      </c>
      <c r="K113" t="s">
        <v>26</v>
      </c>
      <c r="L113" t="s">
        <v>85</v>
      </c>
      <c r="M113">
        <v>0</v>
      </c>
      <c r="N113" t="s">
        <v>806</v>
      </c>
      <c r="O113" t="s">
        <v>807</v>
      </c>
      <c r="P113">
        <v>18.170000000000002</v>
      </c>
      <c r="Q113" s="2">
        <v>45140</v>
      </c>
      <c r="R113" t="s">
        <v>192</v>
      </c>
      <c r="S113" t="s">
        <v>42</v>
      </c>
      <c r="T113" t="s">
        <v>82</v>
      </c>
      <c r="U113">
        <v>5310.82</v>
      </c>
      <c r="V113">
        <v>940.41000000000008</v>
      </c>
    </row>
    <row r="114" spans="1:22" x14ac:dyDescent="0.3">
      <c r="A114" t="s">
        <v>551</v>
      </c>
      <c r="B114" t="s">
        <v>21</v>
      </c>
      <c r="C114" t="s">
        <v>35</v>
      </c>
      <c r="D114">
        <v>10</v>
      </c>
      <c r="E114">
        <v>278</v>
      </c>
      <c r="F114" t="s">
        <v>36</v>
      </c>
      <c r="G114" t="s">
        <v>37</v>
      </c>
      <c r="H114">
        <v>0</v>
      </c>
      <c r="I114" t="s">
        <v>94</v>
      </c>
      <c r="J114">
        <v>2780</v>
      </c>
      <c r="K114" t="s">
        <v>101</v>
      </c>
      <c r="L114" t="s">
        <v>48</v>
      </c>
      <c r="M114">
        <v>0</v>
      </c>
      <c r="N114" t="s">
        <v>808</v>
      </c>
      <c r="O114" t="s">
        <v>809</v>
      </c>
      <c r="P114">
        <v>24.25</v>
      </c>
      <c r="Q114" s="2">
        <v>45634</v>
      </c>
      <c r="R114" t="s">
        <v>810</v>
      </c>
      <c r="S114" t="s">
        <v>31</v>
      </c>
      <c r="T114" t="s">
        <v>76</v>
      </c>
      <c r="U114">
        <v>2755.75</v>
      </c>
      <c r="V114">
        <v>0</v>
      </c>
    </row>
    <row r="115" spans="1:22" x14ac:dyDescent="0.3">
      <c r="A115" t="s">
        <v>196</v>
      </c>
      <c r="B115" t="s">
        <v>21</v>
      </c>
      <c r="C115" t="s">
        <v>109</v>
      </c>
      <c r="D115">
        <v>15</v>
      </c>
      <c r="E115">
        <v>115.48</v>
      </c>
      <c r="F115" t="s">
        <v>84</v>
      </c>
      <c r="G115" t="s">
        <v>37</v>
      </c>
      <c r="H115">
        <v>0.15</v>
      </c>
      <c r="I115" t="s">
        <v>56</v>
      </c>
      <c r="J115">
        <v>1472.37</v>
      </c>
      <c r="K115" t="s">
        <v>101</v>
      </c>
      <c r="L115" t="s">
        <v>48</v>
      </c>
      <c r="M115">
        <v>0</v>
      </c>
      <c r="N115" t="s">
        <v>814</v>
      </c>
      <c r="O115" t="s">
        <v>815</v>
      </c>
      <c r="P115">
        <v>6.04</v>
      </c>
      <c r="Q115" s="2">
        <v>45323</v>
      </c>
      <c r="R115" t="s">
        <v>739</v>
      </c>
      <c r="S115" t="s">
        <v>31</v>
      </c>
      <c r="T115" t="s">
        <v>199</v>
      </c>
      <c r="U115">
        <v>1466.33</v>
      </c>
      <c r="V115">
        <v>259.83</v>
      </c>
    </row>
    <row r="116" spans="1:22" x14ac:dyDescent="0.3">
      <c r="A116" t="s">
        <v>776</v>
      </c>
      <c r="B116" t="s">
        <v>45</v>
      </c>
      <c r="C116" t="s">
        <v>109</v>
      </c>
      <c r="D116">
        <v>18</v>
      </c>
      <c r="E116">
        <v>62.08</v>
      </c>
      <c r="F116" t="s">
        <v>23</v>
      </c>
      <c r="G116" t="s">
        <v>37</v>
      </c>
      <c r="H116">
        <v>0</v>
      </c>
      <c r="I116" t="s">
        <v>78</v>
      </c>
      <c r="J116">
        <v>1117.44</v>
      </c>
      <c r="K116" t="s">
        <v>101</v>
      </c>
      <c r="L116" t="s">
        <v>58</v>
      </c>
      <c r="M116">
        <v>1</v>
      </c>
      <c r="N116" t="s">
        <v>830</v>
      </c>
      <c r="O116" t="s">
        <v>831</v>
      </c>
      <c r="P116">
        <v>8.67</v>
      </c>
      <c r="Q116" s="2">
        <v>45242</v>
      </c>
      <c r="R116" t="s">
        <v>832</v>
      </c>
      <c r="S116" t="s">
        <v>51</v>
      </c>
      <c r="T116" t="s">
        <v>43</v>
      </c>
      <c r="U116">
        <v>1108.77</v>
      </c>
      <c r="V116">
        <v>0</v>
      </c>
    </row>
    <row r="117" spans="1:22" x14ac:dyDescent="0.3">
      <c r="A117" t="s">
        <v>530</v>
      </c>
      <c r="B117" t="s">
        <v>21</v>
      </c>
      <c r="C117" t="s">
        <v>22</v>
      </c>
      <c r="D117">
        <v>6</v>
      </c>
      <c r="E117">
        <v>249.09</v>
      </c>
      <c r="F117" t="s">
        <v>23</v>
      </c>
      <c r="G117" t="s">
        <v>37</v>
      </c>
      <c r="H117">
        <v>0.05</v>
      </c>
      <c r="I117" t="s">
        <v>56</v>
      </c>
      <c r="J117">
        <v>1419.81</v>
      </c>
      <c r="K117" t="s">
        <v>47</v>
      </c>
      <c r="L117" t="s">
        <v>48</v>
      </c>
      <c r="M117">
        <v>0</v>
      </c>
      <c r="N117" t="s">
        <v>833</v>
      </c>
      <c r="O117" t="s">
        <v>834</v>
      </c>
      <c r="P117">
        <v>20.38</v>
      </c>
      <c r="Q117" s="2">
        <v>45752</v>
      </c>
      <c r="R117" t="s">
        <v>510</v>
      </c>
      <c r="S117" t="s">
        <v>31</v>
      </c>
      <c r="T117" t="s">
        <v>147</v>
      </c>
      <c r="U117">
        <v>1399.4299999999998</v>
      </c>
      <c r="V117">
        <v>74.727000000000004</v>
      </c>
    </row>
    <row r="118" spans="1:22" x14ac:dyDescent="0.3">
      <c r="A118" t="s">
        <v>134</v>
      </c>
      <c r="B118" t="s">
        <v>54</v>
      </c>
      <c r="C118" t="s">
        <v>35</v>
      </c>
      <c r="D118">
        <v>14</v>
      </c>
      <c r="E118">
        <v>113.77</v>
      </c>
      <c r="F118" t="s">
        <v>36</v>
      </c>
      <c r="G118" t="s">
        <v>37</v>
      </c>
      <c r="H118">
        <v>0</v>
      </c>
      <c r="I118" t="s">
        <v>65</v>
      </c>
      <c r="J118">
        <v>1592.78</v>
      </c>
      <c r="K118" t="s">
        <v>47</v>
      </c>
      <c r="L118" t="s">
        <v>85</v>
      </c>
      <c r="M118">
        <v>0</v>
      </c>
      <c r="N118" t="s">
        <v>840</v>
      </c>
      <c r="O118" t="s">
        <v>513</v>
      </c>
      <c r="P118">
        <v>25.35</v>
      </c>
      <c r="Q118" s="2">
        <v>45239</v>
      </c>
      <c r="R118" t="s">
        <v>841</v>
      </c>
      <c r="S118" t="s">
        <v>62</v>
      </c>
      <c r="T118" t="s">
        <v>43</v>
      </c>
      <c r="U118">
        <v>1567.43</v>
      </c>
      <c r="V118">
        <v>0</v>
      </c>
    </row>
    <row r="119" spans="1:22" x14ac:dyDescent="0.3">
      <c r="A119" t="s">
        <v>225</v>
      </c>
      <c r="B119" t="s">
        <v>45</v>
      </c>
      <c r="C119" t="s">
        <v>140</v>
      </c>
      <c r="D119">
        <v>2</v>
      </c>
      <c r="E119">
        <v>89.6</v>
      </c>
      <c r="F119" t="s">
        <v>84</v>
      </c>
      <c r="G119" t="s">
        <v>37</v>
      </c>
      <c r="H119">
        <v>0</v>
      </c>
      <c r="I119" t="s">
        <v>78</v>
      </c>
      <c r="J119">
        <v>179.2</v>
      </c>
      <c r="K119" t="s">
        <v>57</v>
      </c>
      <c r="L119" t="s">
        <v>85</v>
      </c>
      <c r="M119">
        <v>0</v>
      </c>
      <c r="N119" t="s">
        <v>842</v>
      </c>
      <c r="O119" t="s">
        <v>843</v>
      </c>
      <c r="P119">
        <v>23.69</v>
      </c>
      <c r="Q119" s="2">
        <v>45906</v>
      </c>
      <c r="R119" t="s">
        <v>229</v>
      </c>
      <c r="S119" t="s">
        <v>51</v>
      </c>
      <c r="T119" t="s">
        <v>52</v>
      </c>
      <c r="U119">
        <v>155.51</v>
      </c>
      <c r="V119">
        <v>0</v>
      </c>
    </row>
    <row r="120" spans="1:22" x14ac:dyDescent="0.3">
      <c r="A120" t="s">
        <v>850</v>
      </c>
      <c r="B120" t="s">
        <v>34</v>
      </c>
      <c r="C120" t="s">
        <v>71</v>
      </c>
      <c r="D120">
        <v>7</v>
      </c>
      <c r="E120">
        <v>18.36</v>
      </c>
      <c r="F120" t="s">
        <v>55</v>
      </c>
      <c r="G120" t="s">
        <v>37</v>
      </c>
      <c r="H120">
        <v>0.1</v>
      </c>
      <c r="I120" t="s">
        <v>25</v>
      </c>
      <c r="J120">
        <v>115.67</v>
      </c>
      <c r="K120" t="s">
        <v>26</v>
      </c>
      <c r="L120" t="s">
        <v>48</v>
      </c>
      <c r="M120">
        <v>0</v>
      </c>
      <c r="N120" t="s">
        <v>851</v>
      </c>
      <c r="O120" t="s">
        <v>852</v>
      </c>
      <c r="P120">
        <v>48.92</v>
      </c>
      <c r="Q120" s="2">
        <v>45086</v>
      </c>
      <c r="R120" t="s">
        <v>134</v>
      </c>
      <c r="S120" t="s">
        <v>42</v>
      </c>
      <c r="T120" t="s">
        <v>105</v>
      </c>
      <c r="U120">
        <v>66.75</v>
      </c>
      <c r="V120">
        <v>12.851999999999999</v>
      </c>
    </row>
    <row r="121" spans="1:22" x14ac:dyDescent="0.3">
      <c r="A121" t="s">
        <v>402</v>
      </c>
      <c r="B121" t="s">
        <v>70</v>
      </c>
      <c r="C121" t="s">
        <v>109</v>
      </c>
      <c r="D121">
        <v>15</v>
      </c>
      <c r="E121">
        <v>298.70999999999998</v>
      </c>
      <c r="F121" t="s">
        <v>36</v>
      </c>
      <c r="G121" t="s">
        <v>37</v>
      </c>
      <c r="H121">
        <v>0</v>
      </c>
      <c r="I121" t="s">
        <v>94</v>
      </c>
      <c r="J121">
        <v>4480.6499999999996</v>
      </c>
      <c r="K121" t="s">
        <v>38</v>
      </c>
      <c r="L121" t="s">
        <v>58</v>
      </c>
      <c r="M121">
        <v>0</v>
      </c>
      <c r="N121" t="s">
        <v>853</v>
      </c>
      <c r="O121" t="s">
        <v>854</v>
      </c>
      <c r="P121">
        <v>11.38</v>
      </c>
      <c r="Q121" s="2">
        <v>44927</v>
      </c>
      <c r="R121" t="s">
        <v>276</v>
      </c>
      <c r="S121" t="s">
        <v>75</v>
      </c>
      <c r="T121" t="s">
        <v>187</v>
      </c>
      <c r="U121">
        <v>4469.2699999999995</v>
      </c>
      <c r="V121">
        <v>0</v>
      </c>
    </row>
    <row r="122" spans="1:22" x14ac:dyDescent="0.3">
      <c r="A122" t="s">
        <v>557</v>
      </c>
      <c r="B122" t="s">
        <v>70</v>
      </c>
      <c r="C122" t="s">
        <v>127</v>
      </c>
      <c r="D122">
        <v>1</v>
      </c>
      <c r="E122">
        <v>541.9</v>
      </c>
      <c r="F122" t="s">
        <v>84</v>
      </c>
      <c r="G122" t="s">
        <v>37</v>
      </c>
      <c r="H122">
        <v>0.05</v>
      </c>
      <c r="I122" t="s">
        <v>65</v>
      </c>
      <c r="J122">
        <v>514.80999999999995</v>
      </c>
      <c r="K122" t="s">
        <v>47</v>
      </c>
      <c r="L122" t="s">
        <v>27</v>
      </c>
      <c r="M122">
        <v>0</v>
      </c>
      <c r="N122" t="s">
        <v>859</v>
      </c>
      <c r="O122" t="s">
        <v>860</v>
      </c>
      <c r="P122">
        <v>40.35</v>
      </c>
      <c r="Q122" s="2">
        <v>45171</v>
      </c>
      <c r="R122" t="s">
        <v>861</v>
      </c>
      <c r="S122" t="s">
        <v>75</v>
      </c>
      <c r="T122" t="s">
        <v>52</v>
      </c>
      <c r="U122">
        <v>474.45999999999992</v>
      </c>
      <c r="V122">
        <v>27.094999999999999</v>
      </c>
    </row>
    <row r="123" spans="1:22" x14ac:dyDescent="0.3">
      <c r="A123" t="s">
        <v>44</v>
      </c>
      <c r="B123" t="s">
        <v>34</v>
      </c>
      <c r="C123" t="s">
        <v>22</v>
      </c>
      <c r="D123">
        <v>16</v>
      </c>
      <c r="E123">
        <v>258.82</v>
      </c>
      <c r="F123" t="s">
        <v>55</v>
      </c>
      <c r="G123" t="s">
        <v>37</v>
      </c>
      <c r="H123">
        <v>0.1</v>
      </c>
      <c r="I123" t="s">
        <v>78</v>
      </c>
      <c r="J123">
        <v>3727.01</v>
      </c>
      <c r="K123" t="s">
        <v>26</v>
      </c>
      <c r="L123" t="s">
        <v>58</v>
      </c>
      <c r="M123">
        <v>0</v>
      </c>
      <c r="N123" t="s">
        <v>867</v>
      </c>
      <c r="O123" t="s">
        <v>868</v>
      </c>
      <c r="P123">
        <v>46.93</v>
      </c>
      <c r="Q123" s="2">
        <v>45170</v>
      </c>
      <c r="R123" t="s">
        <v>869</v>
      </c>
      <c r="S123" t="s">
        <v>42</v>
      </c>
      <c r="T123" t="s">
        <v>52</v>
      </c>
      <c r="U123">
        <v>3680.0800000000004</v>
      </c>
      <c r="V123">
        <v>414.11200000000002</v>
      </c>
    </row>
    <row r="124" spans="1:22" x14ac:dyDescent="0.3">
      <c r="A124" t="s">
        <v>783</v>
      </c>
      <c r="B124" t="s">
        <v>45</v>
      </c>
      <c r="C124" t="s">
        <v>127</v>
      </c>
      <c r="D124">
        <v>12</v>
      </c>
      <c r="E124">
        <v>438.77</v>
      </c>
      <c r="F124" t="s">
        <v>36</v>
      </c>
      <c r="G124" t="s">
        <v>37</v>
      </c>
      <c r="H124">
        <v>0</v>
      </c>
      <c r="I124" t="s">
        <v>65</v>
      </c>
      <c r="J124">
        <v>5265.24</v>
      </c>
      <c r="K124" t="s">
        <v>38</v>
      </c>
      <c r="L124" t="s">
        <v>58</v>
      </c>
      <c r="M124">
        <v>0</v>
      </c>
      <c r="N124" t="s">
        <v>870</v>
      </c>
      <c r="O124" t="s">
        <v>871</v>
      </c>
      <c r="P124">
        <v>9.31</v>
      </c>
      <c r="Q124" s="2">
        <v>45601</v>
      </c>
      <c r="R124" t="s">
        <v>872</v>
      </c>
      <c r="S124" t="s">
        <v>51</v>
      </c>
      <c r="T124" t="s">
        <v>43</v>
      </c>
      <c r="U124">
        <v>5255.9299999999994</v>
      </c>
      <c r="V124">
        <v>0</v>
      </c>
    </row>
    <row r="125" spans="1:22" x14ac:dyDescent="0.3">
      <c r="A125" t="s">
        <v>876</v>
      </c>
      <c r="B125" t="s">
        <v>21</v>
      </c>
      <c r="C125" t="s">
        <v>140</v>
      </c>
      <c r="D125">
        <v>19</v>
      </c>
      <c r="E125">
        <v>275.77999999999997</v>
      </c>
      <c r="F125" t="s">
        <v>36</v>
      </c>
      <c r="G125" t="s">
        <v>37</v>
      </c>
      <c r="H125">
        <v>0</v>
      </c>
      <c r="I125" t="s">
        <v>56</v>
      </c>
      <c r="J125">
        <v>5239.82</v>
      </c>
      <c r="K125" t="s">
        <v>47</v>
      </c>
      <c r="L125" t="s">
        <v>58</v>
      </c>
      <c r="M125">
        <v>0</v>
      </c>
      <c r="N125" t="s">
        <v>877</v>
      </c>
      <c r="O125" t="s">
        <v>878</v>
      </c>
      <c r="P125">
        <v>47</v>
      </c>
      <c r="Q125" s="2">
        <v>45353</v>
      </c>
      <c r="R125" t="s">
        <v>879</v>
      </c>
      <c r="S125" t="s">
        <v>31</v>
      </c>
      <c r="T125" t="s">
        <v>98</v>
      </c>
      <c r="U125">
        <v>5192.82</v>
      </c>
      <c r="V125">
        <v>0</v>
      </c>
    </row>
    <row r="126" spans="1:22" x14ac:dyDescent="0.3">
      <c r="A126" t="s">
        <v>99</v>
      </c>
      <c r="B126" t="s">
        <v>45</v>
      </c>
      <c r="C126" t="s">
        <v>22</v>
      </c>
      <c r="D126">
        <v>8</v>
      </c>
      <c r="E126">
        <v>548.02</v>
      </c>
      <c r="F126" t="s">
        <v>55</v>
      </c>
      <c r="G126" t="s">
        <v>37</v>
      </c>
      <c r="H126">
        <v>0.05</v>
      </c>
      <c r="I126" t="s">
        <v>65</v>
      </c>
      <c r="J126">
        <v>4164.95</v>
      </c>
      <c r="K126" t="s">
        <v>26</v>
      </c>
      <c r="L126" t="s">
        <v>48</v>
      </c>
      <c r="M126">
        <v>0</v>
      </c>
      <c r="N126" t="s">
        <v>890</v>
      </c>
      <c r="O126" t="s">
        <v>891</v>
      </c>
      <c r="P126">
        <v>33.4</v>
      </c>
      <c r="Q126" s="2">
        <v>45085</v>
      </c>
      <c r="R126" t="s">
        <v>892</v>
      </c>
      <c r="S126" t="s">
        <v>51</v>
      </c>
      <c r="T126" t="s">
        <v>105</v>
      </c>
      <c r="U126">
        <v>4131.55</v>
      </c>
      <c r="V126">
        <v>219.208</v>
      </c>
    </row>
    <row r="127" spans="1:22" x14ac:dyDescent="0.3">
      <c r="A127" t="s">
        <v>148</v>
      </c>
      <c r="B127" t="s">
        <v>70</v>
      </c>
      <c r="C127" t="s">
        <v>109</v>
      </c>
      <c r="D127">
        <v>15</v>
      </c>
      <c r="E127">
        <v>342.04</v>
      </c>
      <c r="F127" t="s">
        <v>36</v>
      </c>
      <c r="G127" t="s">
        <v>37</v>
      </c>
      <c r="H127">
        <v>0.15</v>
      </c>
      <c r="I127" t="s">
        <v>78</v>
      </c>
      <c r="J127">
        <v>4361.01</v>
      </c>
      <c r="K127" t="s">
        <v>57</v>
      </c>
      <c r="L127" t="s">
        <v>27</v>
      </c>
      <c r="M127">
        <v>0</v>
      </c>
      <c r="N127" t="s">
        <v>898</v>
      </c>
      <c r="O127" t="s">
        <v>899</v>
      </c>
      <c r="P127">
        <v>44.91</v>
      </c>
      <c r="Q127" s="2">
        <v>45718</v>
      </c>
      <c r="R127" t="s">
        <v>900</v>
      </c>
      <c r="S127" t="s">
        <v>75</v>
      </c>
      <c r="T127" t="s">
        <v>98</v>
      </c>
      <c r="U127">
        <v>4316.1000000000004</v>
      </c>
      <c r="V127">
        <v>769.59</v>
      </c>
    </row>
    <row r="128" spans="1:22" x14ac:dyDescent="0.3">
      <c r="A128" t="s">
        <v>777</v>
      </c>
      <c r="B128" t="s">
        <v>70</v>
      </c>
      <c r="C128" t="s">
        <v>109</v>
      </c>
      <c r="D128">
        <v>14</v>
      </c>
      <c r="E128">
        <v>159.09</v>
      </c>
      <c r="F128" t="s">
        <v>36</v>
      </c>
      <c r="G128" t="s">
        <v>37</v>
      </c>
      <c r="H128">
        <v>0.15</v>
      </c>
      <c r="I128" t="s">
        <v>94</v>
      </c>
      <c r="J128">
        <v>1893.17</v>
      </c>
      <c r="K128" t="s">
        <v>38</v>
      </c>
      <c r="L128" t="s">
        <v>85</v>
      </c>
      <c r="M128">
        <v>0</v>
      </c>
      <c r="N128" t="s">
        <v>911</v>
      </c>
      <c r="O128" t="s">
        <v>912</v>
      </c>
      <c r="P128">
        <v>27.05</v>
      </c>
      <c r="Q128" s="2">
        <v>45840</v>
      </c>
      <c r="R128" t="s">
        <v>464</v>
      </c>
      <c r="S128" t="s">
        <v>75</v>
      </c>
      <c r="T128" t="s">
        <v>117</v>
      </c>
      <c r="U128">
        <v>1866.1200000000001</v>
      </c>
      <c r="V128">
        <v>334.089</v>
      </c>
    </row>
    <row r="129" spans="1:22" x14ac:dyDescent="0.3">
      <c r="A129" t="s">
        <v>410</v>
      </c>
      <c r="B129" t="s">
        <v>54</v>
      </c>
      <c r="C129" t="s">
        <v>127</v>
      </c>
      <c r="D129">
        <v>12</v>
      </c>
      <c r="E129">
        <v>290.27999999999997</v>
      </c>
      <c r="F129" t="s">
        <v>23</v>
      </c>
      <c r="G129" t="s">
        <v>37</v>
      </c>
      <c r="H129">
        <v>0.1</v>
      </c>
      <c r="I129" t="s">
        <v>46</v>
      </c>
      <c r="J129">
        <v>3135.02</v>
      </c>
      <c r="K129" t="s">
        <v>47</v>
      </c>
      <c r="L129" t="s">
        <v>85</v>
      </c>
      <c r="M129">
        <v>1</v>
      </c>
      <c r="N129" t="s">
        <v>913</v>
      </c>
      <c r="O129" t="s">
        <v>914</v>
      </c>
      <c r="P129">
        <v>5.55</v>
      </c>
      <c r="Q129" s="2">
        <v>45663</v>
      </c>
      <c r="R129" t="s">
        <v>915</v>
      </c>
      <c r="S129" t="s">
        <v>62</v>
      </c>
      <c r="T129" t="s">
        <v>187</v>
      </c>
      <c r="U129">
        <v>3129.47</v>
      </c>
      <c r="V129">
        <v>348.33600000000001</v>
      </c>
    </row>
    <row r="130" spans="1:22" x14ac:dyDescent="0.3">
      <c r="A130" t="s">
        <v>266</v>
      </c>
      <c r="B130" t="s">
        <v>45</v>
      </c>
      <c r="C130" t="s">
        <v>22</v>
      </c>
      <c r="D130">
        <v>2</v>
      </c>
      <c r="E130">
        <v>239.69</v>
      </c>
      <c r="F130" t="s">
        <v>36</v>
      </c>
      <c r="G130" t="s">
        <v>37</v>
      </c>
      <c r="H130">
        <v>0</v>
      </c>
      <c r="I130" t="s">
        <v>78</v>
      </c>
      <c r="J130">
        <v>479.38</v>
      </c>
      <c r="K130" t="s">
        <v>101</v>
      </c>
      <c r="L130" t="s">
        <v>27</v>
      </c>
      <c r="M130">
        <v>0</v>
      </c>
      <c r="N130" t="s">
        <v>920</v>
      </c>
      <c r="O130" t="s">
        <v>921</v>
      </c>
      <c r="P130">
        <v>28.96</v>
      </c>
      <c r="Q130" s="2">
        <v>45607</v>
      </c>
      <c r="R130" t="s">
        <v>922</v>
      </c>
      <c r="S130" t="s">
        <v>51</v>
      </c>
      <c r="T130" t="s">
        <v>43</v>
      </c>
      <c r="U130">
        <v>450.42</v>
      </c>
      <c r="V130">
        <v>0</v>
      </c>
    </row>
    <row r="131" spans="1:22" x14ac:dyDescent="0.3">
      <c r="A131" t="s">
        <v>20</v>
      </c>
      <c r="B131" t="s">
        <v>70</v>
      </c>
      <c r="C131" t="s">
        <v>140</v>
      </c>
      <c r="D131">
        <v>18</v>
      </c>
      <c r="E131">
        <v>206.8</v>
      </c>
      <c r="F131" t="s">
        <v>84</v>
      </c>
      <c r="G131" t="s">
        <v>37</v>
      </c>
      <c r="H131">
        <v>0.05</v>
      </c>
      <c r="I131" t="s">
        <v>56</v>
      </c>
      <c r="J131">
        <v>3536.28</v>
      </c>
      <c r="K131" t="s">
        <v>38</v>
      </c>
      <c r="L131" t="s">
        <v>85</v>
      </c>
      <c r="M131">
        <v>1</v>
      </c>
      <c r="N131" t="s">
        <v>923</v>
      </c>
      <c r="O131" t="s">
        <v>924</v>
      </c>
      <c r="P131">
        <v>39.25</v>
      </c>
      <c r="Q131" s="2">
        <v>45204</v>
      </c>
      <c r="R131" t="s">
        <v>925</v>
      </c>
      <c r="S131" t="s">
        <v>75</v>
      </c>
      <c r="T131" t="s">
        <v>32</v>
      </c>
      <c r="U131">
        <v>3497.03</v>
      </c>
      <c r="V131">
        <v>186.12</v>
      </c>
    </row>
    <row r="132" spans="1:22" x14ac:dyDescent="0.3">
      <c r="A132" t="s">
        <v>300</v>
      </c>
      <c r="B132" t="s">
        <v>21</v>
      </c>
      <c r="C132" t="s">
        <v>109</v>
      </c>
      <c r="D132">
        <v>9</v>
      </c>
      <c r="E132">
        <v>507.74</v>
      </c>
      <c r="F132" t="s">
        <v>55</v>
      </c>
      <c r="G132" t="s">
        <v>37</v>
      </c>
      <c r="H132">
        <v>0.15</v>
      </c>
      <c r="I132" t="s">
        <v>94</v>
      </c>
      <c r="J132">
        <v>3884.21</v>
      </c>
      <c r="K132" t="s">
        <v>47</v>
      </c>
      <c r="L132" t="s">
        <v>85</v>
      </c>
      <c r="M132">
        <v>1</v>
      </c>
      <c r="N132" t="s">
        <v>926</v>
      </c>
      <c r="O132" t="s">
        <v>927</v>
      </c>
      <c r="P132">
        <v>22.08</v>
      </c>
      <c r="Q132" s="2">
        <v>45933</v>
      </c>
      <c r="R132" t="s">
        <v>897</v>
      </c>
      <c r="S132" t="s">
        <v>31</v>
      </c>
      <c r="T132" t="s">
        <v>32</v>
      </c>
      <c r="U132">
        <v>3862.13</v>
      </c>
      <c r="V132">
        <v>685.44899999999996</v>
      </c>
    </row>
    <row r="133" spans="1:22" x14ac:dyDescent="0.3">
      <c r="A133" t="s">
        <v>864</v>
      </c>
      <c r="B133" t="s">
        <v>34</v>
      </c>
      <c r="C133" t="s">
        <v>100</v>
      </c>
      <c r="D133">
        <v>6</v>
      </c>
      <c r="E133">
        <v>48.48</v>
      </c>
      <c r="F133" t="s">
        <v>55</v>
      </c>
      <c r="G133" t="s">
        <v>37</v>
      </c>
      <c r="H133">
        <v>0.1</v>
      </c>
      <c r="I133" t="s">
        <v>78</v>
      </c>
      <c r="J133">
        <v>261.79000000000002</v>
      </c>
      <c r="K133" t="s">
        <v>26</v>
      </c>
      <c r="L133" t="s">
        <v>48</v>
      </c>
      <c r="M133">
        <v>0</v>
      </c>
      <c r="N133" t="s">
        <v>931</v>
      </c>
      <c r="O133" t="s">
        <v>932</v>
      </c>
      <c r="P133">
        <v>6.11</v>
      </c>
      <c r="Q133" s="2">
        <v>45514</v>
      </c>
      <c r="R133" t="s">
        <v>933</v>
      </c>
      <c r="S133" t="s">
        <v>42</v>
      </c>
      <c r="T133" t="s">
        <v>82</v>
      </c>
      <c r="U133">
        <v>255.68</v>
      </c>
      <c r="V133">
        <v>29.088000000000001</v>
      </c>
    </row>
    <row r="134" spans="1:22" x14ac:dyDescent="0.3">
      <c r="A134" t="s">
        <v>934</v>
      </c>
      <c r="B134" t="s">
        <v>34</v>
      </c>
      <c r="C134" t="s">
        <v>127</v>
      </c>
      <c r="D134">
        <v>17</v>
      </c>
      <c r="E134">
        <v>465.6</v>
      </c>
      <c r="F134" t="s">
        <v>36</v>
      </c>
      <c r="G134" t="s">
        <v>37</v>
      </c>
      <c r="H134">
        <v>0.1</v>
      </c>
      <c r="I134" t="s">
        <v>94</v>
      </c>
      <c r="J134">
        <v>7123.68</v>
      </c>
      <c r="K134" t="s">
        <v>38</v>
      </c>
      <c r="L134" t="s">
        <v>58</v>
      </c>
      <c r="M134">
        <v>0</v>
      </c>
      <c r="N134" t="s">
        <v>935</v>
      </c>
      <c r="O134" t="s">
        <v>936</v>
      </c>
      <c r="P134">
        <v>7.76</v>
      </c>
      <c r="Q134" s="2">
        <v>45049</v>
      </c>
      <c r="R134" t="s">
        <v>698</v>
      </c>
      <c r="S134" t="s">
        <v>42</v>
      </c>
      <c r="T134" t="s">
        <v>63</v>
      </c>
      <c r="U134">
        <v>7115.92</v>
      </c>
      <c r="V134">
        <v>791.5200000000001</v>
      </c>
    </row>
    <row r="135" spans="1:22" x14ac:dyDescent="0.3">
      <c r="A135" t="s">
        <v>941</v>
      </c>
      <c r="B135" t="s">
        <v>34</v>
      </c>
      <c r="C135" t="s">
        <v>35</v>
      </c>
      <c r="D135">
        <v>4</v>
      </c>
      <c r="E135">
        <v>444.87</v>
      </c>
      <c r="F135" t="s">
        <v>23</v>
      </c>
      <c r="G135" t="s">
        <v>37</v>
      </c>
      <c r="H135">
        <v>0.15</v>
      </c>
      <c r="I135" t="s">
        <v>46</v>
      </c>
      <c r="J135">
        <v>1512.56</v>
      </c>
      <c r="K135" t="s">
        <v>26</v>
      </c>
      <c r="L135" t="s">
        <v>85</v>
      </c>
      <c r="M135">
        <v>0</v>
      </c>
      <c r="N135" t="s">
        <v>942</v>
      </c>
      <c r="O135" t="s">
        <v>943</v>
      </c>
      <c r="P135">
        <v>47.14</v>
      </c>
      <c r="Q135" s="2">
        <v>45267</v>
      </c>
      <c r="R135" t="s">
        <v>944</v>
      </c>
      <c r="S135" t="s">
        <v>42</v>
      </c>
      <c r="T135" t="s">
        <v>76</v>
      </c>
      <c r="U135">
        <v>1465.4199999999998</v>
      </c>
      <c r="V135">
        <v>266.92199999999997</v>
      </c>
    </row>
    <row r="136" spans="1:22" x14ac:dyDescent="0.3">
      <c r="A136" t="s">
        <v>945</v>
      </c>
      <c r="B136" t="s">
        <v>45</v>
      </c>
      <c r="C136" t="s">
        <v>22</v>
      </c>
      <c r="D136">
        <v>5</v>
      </c>
      <c r="E136">
        <v>84.91</v>
      </c>
      <c r="F136" t="s">
        <v>84</v>
      </c>
      <c r="G136" t="s">
        <v>37</v>
      </c>
      <c r="H136">
        <v>0.1</v>
      </c>
      <c r="I136" t="s">
        <v>46</v>
      </c>
      <c r="J136">
        <v>382.1</v>
      </c>
      <c r="K136" t="s">
        <v>47</v>
      </c>
      <c r="L136" t="s">
        <v>85</v>
      </c>
      <c r="M136">
        <v>1</v>
      </c>
      <c r="N136" t="s">
        <v>946</v>
      </c>
      <c r="O136" t="s">
        <v>947</v>
      </c>
      <c r="P136">
        <v>29.06</v>
      </c>
      <c r="Q136" s="2">
        <v>45355</v>
      </c>
      <c r="R136" t="s">
        <v>339</v>
      </c>
      <c r="S136" t="s">
        <v>51</v>
      </c>
      <c r="T136" t="s">
        <v>98</v>
      </c>
      <c r="U136">
        <v>353.04</v>
      </c>
      <c r="V136">
        <v>42.454999999999998</v>
      </c>
    </row>
    <row r="137" spans="1:22" x14ac:dyDescent="0.3">
      <c r="A137" t="s">
        <v>948</v>
      </c>
      <c r="B137" t="s">
        <v>45</v>
      </c>
      <c r="C137" t="s">
        <v>127</v>
      </c>
      <c r="D137">
        <v>2</v>
      </c>
      <c r="E137">
        <v>231.96</v>
      </c>
      <c r="F137" t="s">
        <v>23</v>
      </c>
      <c r="G137" t="s">
        <v>37</v>
      </c>
      <c r="H137">
        <v>0.1</v>
      </c>
      <c r="I137" t="s">
        <v>25</v>
      </c>
      <c r="J137">
        <v>417.53</v>
      </c>
      <c r="K137" t="s">
        <v>38</v>
      </c>
      <c r="L137" t="s">
        <v>48</v>
      </c>
      <c r="M137">
        <v>1</v>
      </c>
      <c r="N137" t="s">
        <v>949</v>
      </c>
      <c r="O137" t="s">
        <v>950</v>
      </c>
      <c r="P137">
        <v>32.659999999999997</v>
      </c>
      <c r="Q137" s="2">
        <v>45781</v>
      </c>
      <c r="R137" t="s">
        <v>951</v>
      </c>
      <c r="S137" t="s">
        <v>51</v>
      </c>
      <c r="T137" t="s">
        <v>63</v>
      </c>
      <c r="U137">
        <v>384.87</v>
      </c>
      <c r="V137">
        <v>46.392000000000003</v>
      </c>
    </row>
    <row r="138" spans="1:22" x14ac:dyDescent="0.3">
      <c r="A138" t="s">
        <v>952</v>
      </c>
      <c r="B138" t="s">
        <v>45</v>
      </c>
      <c r="C138" t="s">
        <v>100</v>
      </c>
      <c r="D138">
        <v>2</v>
      </c>
      <c r="E138">
        <v>48.02</v>
      </c>
      <c r="F138" t="s">
        <v>36</v>
      </c>
      <c r="G138" t="s">
        <v>37</v>
      </c>
      <c r="H138">
        <v>0.05</v>
      </c>
      <c r="I138" t="s">
        <v>46</v>
      </c>
      <c r="J138">
        <v>91.24</v>
      </c>
      <c r="K138" t="s">
        <v>38</v>
      </c>
      <c r="L138" t="s">
        <v>85</v>
      </c>
      <c r="M138">
        <v>1</v>
      </c>
      <c r="N138" t="s">
        <v>953</v>
      </c>
      <c r="O138" t="s">
        <v>954</v>
      </c>
      <c r="P138">
        <v>25.81</v>
      </c>
      <c r="Q138" s="2">
        <v>45636</v>
      </c>
      <c r="R138" t="s">
        <v>955</v>
      </c>
      <c r="S138" t="s">
        <v>51</v>
      </c>
      <c r="T138" t="s">
        <v>76</v>
      </c>
      <c r="U138">
        <v>65.429999999999993</v>
      </c>
      <c r="V138">
        <v>4.8020000000000005</v>
      </c>
    </row>
    <row r="139" spans="1:22" x14ac:dyDescent="0.3">
      <c r="A139" t="s">
        <v>99</v>
      </c>
      <c r="B139" t="s">
        <v>70</v>
      </c>
      <c r="C139" t="s">
        <v>22</v>
      </c>
      <c r="D139">
        <v>7</v>
      </c>
      <c r="E139">
        <v>373.66</v>
      </c>
      <c r="F139" t="s">
        <v>23</v>
      </c>
      <c r="G139" t="s">
        <v>37</v>
      </c>
      <c r="H139">
        <v>0.05</v>
      </c>
      <c r="I139" t="s">
        <v>25</v>
      </c>
      <c r="J139">
        <v>2484.84</v>
      </c>
      <c r="K139" t="s">
        <v>57</v>
      </c>
      <c r="L139" t="s">
        <v>58</v>
      </c>
      <c r="M139">
        <v>0</v>
      </c>
      <c r="N139" t="s">
        <v>966</v>
      </c>
      <c r="O139" t="s">
        <v>967</v>
      </c>
      <c r="P139">
        <v>46.33</v>
      </c>
      <c r="Q139" s="2">
        <v>45085</v>
      </c>
      <c r="R139" t="s">
        <v>354</v>
      </c>
      <c r="S139" t="s">
        <v>75</v>
      </c>
      <c r="T139" t="s">
        <v>105</v>
      </c>
      <c r="U139">
        <v>2438.5100000000002</v>
      </c>
      <c r="V139">
        <v>130.78100000000003</v>
      </c>
    </row>
    <row r="140" spans="1:22" x14ac:dyDescent="0.3">
      <c r="A140" t="s">
        <v>973</v>
      </c>
      <c r="B140" t="s">
        <v>54</v>
      </c>
      <c r="C140" t="s">
        <v>100</v>
      </c>
      <c r="D140">
        <v>11</v>
      </c>
      <c r="E140">
        <v>128.99</v>
      </c>
      <c r="F140" t="s">
        <v>84</v>
      </c>
      <c r="G140" t="s">
        <v>37</v>
      </c>
      <c r="H140">
        <v>0.05</v>
      </c>
      <c r="I140" t="s">
        <v>78</v>
      </c>
      <c r="J140">
        <v>1347.95</v>
      </c>
      <c r="K140" t="s">
        <v>38</v>
      </c>
      <c r="L140" t="s">
        <v>58</v>
      </c>
      <c r="M140">
        <v>0</v>
      </c>
      <c r="N140" t="s">
        <v>974</v>
      </c>
      <c r="O140" t="s">
        <v>975</v>
      </c>
      <c r="P140">
        <v>38.58</v>
      </c>
      <c r="Q140" s="2">
        <v>45389</v>
      </c>
      <c r="R140" t="s">
        <v>217</v>
      </c>
      <c r="S140" t="s">
        <v>62</v>
      </c>
      <c r="T140" t="s">
        <v>147</v>
      </c>
      <c r="U140">
        <v>1309.3700000000001</v>
      </c>
      <c r="V140">
        <v>70.944500000000005</v>
      </c>
    </row>
    <row r="141" spans="1:22" x14ac:dyDescent="0.3">
      <c r="A141" t="s">
        <v>297</v>
      </c>
      <c r="B141" t="s">
        <v>70</v>
      </c>
      <c r="C141" t="s">
        <v>71</v>
      </c>
      <c r="D141">
        <v>11</v>
      </c>
      <c r="E141">
        <v>183.11</v>
      </c>
      <c r="F141" t="s">
        <v>23</v>
      </c>
      <c r="G141" t="s">
        <v>37</v>
      </c>
      <c r="H141">
        <v>0.15</v>
      </c>
      <c r="I141" t="s">
        <v>56</v>
      </c>
      <c r="J141">
        <v>1712.08</v>
      </c>
      <c r="K141" t="s">
        <v>57</v>
      </c>
      <c r="L141" t="s">
        <v>85</v>
      </c>
      <c r="M141">
        <v>0</v>
      </c>
      <c r="N141" t="s">
        <v>976</v>
      </c>
      <c r="O141" t="s">
        <v>977</v>
      </c>
      <c r="P141">
        <v>41.83</v>
      </c>
      <c r="Q141" s="2">
        <v>45750</v>
      </c>
      <c r="R141" t="s">
        <v>172</v>
      </c>
      <c r="S141" t="s">
        <v>75</v>
      </c>
      <c r="T141" t="s">
        <v>147</v>
      </c>
      <c r="U141">
        <v>1670.25</v>
      </c>
      <c r="V141">
        <v>302.13150000000002</v>
      </c>
    </row>
    <row r="142" spans="1:22" x14ac:dyDescent="0.3">
      <c r="A142" t="s">
        <v>978</v>
      </c>
      <c r="B142" t="s">
        <v>70</v>
      </c>
      <c r="C142" t="s">
        <v>22</v>
      </c>
      <c r="D142">
        <v>14</v>
      </c>
      <c r="E142">
        <v>554.08000000000004</v>
      </c>
      <c r="F142" t="s">
        <v>84</v>
      </c>
      <c r="G142" t="s">
        <v>37</v>
      </c>
      <c r="H142">
        <v>0.05</v>
      </c>
      <c r="I142" t="s">
        <v>78</v>
      </c>
      <c r="J142">
        <v>7369.26</v>
      </c>
      <c r="K142" t="s">
        <v>47</v>
      </c>
      <c r="L142" t="s">
        <v>48</v>
      </c>
      <c r="M142">
        <v>0</v>
      </c>
      <c r="N142" t="s">
        <v>979</v>
      </c>
      <c r="O142" t="s">
        <v>980</v>
      </c>
      <c r="P142">
        <v>36.72</v>
      </c>
      <c r="Q142" s="2">
        <v>45994</v>
      </c>
      <c r="R142" t="s">
        <v>981</v>
      </c>
      <c r="S142" t="s">
        <v>75</v>
      </c>
      <c r="T142" t="s">
        <v>76</v>
      </c>
      <c r="U142">
        <v>7332.54</v>
      </c>
      <c r="V142">
        <v>387.85600000000005</v>
      </c>
    </row>
    <row r="143" spans="1:22" x14ac:dyDescent="0.3">
      <c r="A143" t="s">
        <v>224</v>
      </c>
      <c r="B143" t="s">
        <v>70</v>
      </c>
      <c r="C143" t="s">
        <v>109</v>
      </c>
      <c r="D143">
        <v>1</v>
      </c>
      <c r="E143">
        <v>315.93</v>
      </c>
      <c r="F143" t="s">
        <v>36</v>
      </c>
      <c r="G143" t="s">
        <v>37</v>
      </c>
      <c r="H143">
        <v>0.15</v>
      </c>
      <c r="I143" t="s">
        <v>25</v>
      </c>
      <c r="J143">
        <v>268.54000000000002</v>
      </c>
      <c r="K143" t="s">
        <v>101</v>
      </c>
      <c r="L143" t="s">
        <v>58</v>
      </c>
      <c r="M143">
        <v>0</v>
      </c>
      <c r="N143" t="s">
        <v>982</v>
      </c>
      <c r="O143" t="s">
        <v>983</v>
      </c>
      <c r="P143">
        <v>43.2</v>
      </c>
      <c r="Q143" s="2">
        <v>45240</v>
      </c>
      <c r="R143" t="s">
        <v>984</v>
      </c>
      <c r="S143" t="s">
        <v>75</v>
      </c>
      <c r="T143" t="s">
        <v>43</v>
      </c>
      <c r="U143">
        <v>225.34000000000003</v>
      </c>
      <c r="V143">
        <v>47.389499999999998</v>
      </c>
    </row>
    <row r="144" spans="1:22" x14ac:dyDescent="0.3">
      <c r="A144" t="s">
        <v>985</v>
      </c>
      <c r="B144" t="s">
        <v>54</v>
      </c>
      <c r="C144" t="s">
        <v>140</v>
      </c>
      <c r="D144">
        <v>5</v>
      </c>
      <c r="E144">
        <v>596.97</v>
      </c>
      <c r="F144" t="s">
        <v>84</v>
      </c>
      <c r="G144" t="s">
        <v>37</v>
      </c>
      <c r="H144">
        <v>0</v>
      </c>
      <c r="I144" t="s">
        <v>65</v>
      </c>
      <c r="J144">
        <v>2984.85</v>
      </c>
      <c r="K144" t="s">
        <v>47</v>
      </c>
      <c r="L144" t="s">
        <v>58</v>
      </c>
      <c r="M144">
        <v>0</v>
      </c>
      <c r="N144" t="s">
        <v>986</v>
      </c>
      <c r="O144" t="s">
        <v>987</v>
      </c>
      <c r="P144">
        <v>14.43</v>
      </c>
      <c r="Q144" s="2">
        <v>45115</v>
      </c>
      <c r="R144" t="s">
        <v>104</v>
      </c>
      <c r="S144" t="s">
        <v>62</v>
      </c>
      <c r="T144" t="s">
        <v>117</v>
      </c>
      <c r="U144">
        <v>2970.42</v>
      </c>
      <c r="V144">
        <v>0</v>
      </c>
    </row>
    <row r="145" spans="1:22" x14ac:dyDescent="0.3">
      <c r="A145" t="s">
        <v>682</v>
      </c>
      <c r="B145" t="s">
        <v>21</v>
      </c>
      <c r="C145" t="s">
        <v>100</v>
      </c>
      <c r="D145">
        <v>17</v>
      </c>
      <c r="E145">
        <v>376.98</v>
      </c>
      <c r="F145" t="s">
        <v>84</v>
      </c>
      <c r="G145" t="s">
        <v>37</v>
      </c>
      <c r="H145">
        <v>0.05</v>
      </c>
      <c r="I145" t="s">
        <v>46</v>
      </c>
      <c r="J145">
        <v>6088.23</v>
      </c>
      <c r="K145" t="s">
        <v>38</v>
      </c>
      <c r="L145" t="s">
        <v>48</v>
      </c>
      <c r="M145">
        <v>1</v>
      </c>
      <c r="N145" t="s">
        <v>988</v>
      </c>
      <c r="O145" t="s">
        <v>989</v>
      </c>
      <c r="P145">
        <v>38.479999999999997</v>
      </c>
      <c r="Q145" s="2">
        <v>44997</v>
      </c>
      <c r="R145" t="s">
        <v>685</v>
      </c>
      <c r="S145" t="s">
        <v>31</v>
      </c>
      <c r="T145" t="s">
        <v>98</v>
      </c>
      <c r="U145">
        <v>6049.75</v>
      </c>
      <c r="V145">
        <v>320.43299999999999</v>
      </c>
    </row>
    <row r="146" spans="1:22" x14ac:dyDescent="0.3">
      <c r="A146" t="s">
        <v>990</v>
      </c>
      <c r="B146" t="s">
        <v>45</v>
      </c>
      <c r="C146" t="s">
        <v>140</v>
      </c>
      <c r="D146">
        <v>6</v>
      </c>
      <c r="E146">
        <v>208.64</v>
      </c>
      <c r="F146" t="s">
        <v>55</v>
      </c>
      <c r="G146" t="s">
        <v>37</v>
      </c>
      <c r="H146">
        <v>0.1</v>
      </c>
      <c r="I146" t="s">
        <v>56</v>
      </c>
      <c r="J146">
        <v>1126.6600000000001</v>
      </c>
      <c r="K146" t="s">
        <v>101</v>
      </c>
      <c r="L146" t="s">
        <v>85</v>
      </c>
      <c r="M146">
        <v>0</v>
      </c>
      <c r="N146" t="s">
        <v>991</v>
      </c>
      <c r="O146" t="s">
        <v>992</v>
      </c>
      <c r="P146">
        <v>49.93</v>
      </c>
      <c r="Q146" s="2">
        <v>45299</v>
      </c>
      <c r="R146" t="s">
        <v>500</v>
      </c>
      <c r="S146" t="s">
        <v>51</v>
      </c>
      <c r="T146" t="s">
        <v>187</v>
      </c>
      <c r="U146">
        <v>1076.73</v>
      </c>
      <c r="V146">
        <v>125.184</v>
      </c>
    </row>
    <row r="147" spans="1:22" x14ac:dyDescent="0.3">
      <c r="A147" t="s">
        <v>151</v>
      </c>
      <c r="B147" t="s">
        <v>34</v>
      </c>
      <c r="C147" t="s">
        <v>22</v>
      </c>
      <c r="D147">
        <v>9</v>
      </c>
      <c r="E147">
        <v>188.03</v>
      </c>
      <c r="F147" t="s">
        <v>23</v>
      </c>
      <c r="G147" t="s">
        <v>37</v>
      </c>
      <c r="H147">
        <v>0</v>
      </c>
      <c r="I147" t="s">
        <v>56</v>
      </c>
      <c r="J147">
        <v>1692.27</v>
      </c>
      <c r="K147" t="s">
        <v>47</v>
      </c>
      <c r="L147" t="s">
        <v>85</v>
      </c>
      <c r="M147">
        <v>0</v>
      </c>
      <c r="N147" t="s">
        <v>993</v>
      </c>
      <c r="O147" t="s">
        <v>994</v>
      </c>
      <c r="P147">
        <v>11.44</v>
      </c>
      <c r="Q147" s="2">
        <v>45779</v>
      </c>
      <c r="R147" t="s">
        <v>777</v>
      </c>
      <c r="S147" t="s">
        <v>42</v>
      </c>
      <c r="T147" t="s">
        <v>63</v>
      </c>
      <c r="U147">
        <v>1680.83</v>
      </c>
      <c r="V147">
        <v>0</v>
      </c>
    </row>
    <row r="148" spans="1:22" x14ac:dyDescent="0.3">
      <c r="A148" t="s">
        <v>603</v>
      </c>
      <c r="B148" t="s">
        <v>21</v>
      </c>
      <c r="C148" t="s">
        <v>140</v>
      </c>
      <c r="D148">
        <v>10</v>
      </c>
      <c r="E148">
        <v>450.71</v>
      </c>
      <c r="F148" t="s">
        <v>23</v>
      </c>
      <c r="G148" t="s">
        <v>37</v>
      </c>
      <c r="H148">
        <v>0.1</v>
      </c>
      <c r="I148" t="s">
        <v>94</v>
      </c>
      <c r="J148">
        <v>4056.39</v>
      </c>
      <c r="K148" t="s">
        <v>57</v>
      </c>
      <c r="L148" t="s">
        <v>58</v>
      </c>
      <c r="M148">
        <v>0</v>
      </c>
      <c r="N148" t="s">
        <v>995</v>
      </c>
      <c r="O148" t="s">
        <v>996</v>
      </c>
      <c r="P148">
        <v>21.31</v>
      </c>
      <c r="Q148" s="2">
        <v>45019</v>
      </c>
      <c r="R148" t="s">
        <v>916</v>
      </c>
      <c r="S148" t="s">
        <v>31</v>
      </c>
      <c r="T148" t="s">
        <v>147</v>
      </c>
      <c r="U148">
        <v>4035.08</v>
      </c>
      <c r="V148">
        <v>450.71</v>
      </c>
    </row>
    <row r="149" spans="1:22" x14ac:dyDescent="0.3">
      <c r="A149" t="s">
        <v>729</v>
      </c>
      <c r="B149" t="s">
        <v>54</v>
      </c>
      <c r="C149" t="s">
        <v>71</v>
      </c>
      <c r="D149">
        <v>5</v>
      </c>
      <c r="E149">
        <v>206.42</v>
      </c>
      <c r="F149" t="s">
        <v>55</v>
      </c>
      <c r="G149" t="s">
        <v>37</v>
      </c>
      <c r="H149">
        <v>0.05</v>
      </c>
      <c r="I149" t="s">
        <v>25</v>
      </c>
      <c r="J149">
        <v>980.5</v>
      </c>
      <c r="K149" t="s">
        <v>38</v>
      </c>
      <c r="L149" t="s">
        <v>27</v>
      </c>
      <c r="M149">
        <v>0</v>
      </c>
      <c r="N149" t="s">
        <v>997</v>
      </c>
      <c r="O149" t="s">
        <v>998</v>
      </c>
      <c r="P149">
        <v>35.51</v>
      </c>
      <c r="Q149" s="2">
        <v>45418</v>
      </c>
      <c r="R149" t="s">
        <v>999</v>
      </c>
      <c r="S149" t="s">
        <v>62</v>
      </c>
      <c r="T149" t="s">
        <v>63</v>
      </c>
      <c r="U149">
        <v>944.99</v>
      </c>
      <c r="V149">
        <v>51.604999999999997</v>
      </c>
    </row>
    <row r="150" spans="1:22" x14ac:dyDescent="0.3">
      <c r="A150" t="s">
        <v>1010</v>
      </c>
      <c r="B150" t="s">
        <v>70</v>
      </c>
      <c r="C150" t="s">
        <v>71</v>
      </c>
      <c r="D150">
        <v>20</v>
      </c>
      <c r="E150">
        <v>312.43</v>
      </c>
      <c r="F150" t="s">
        <v>36</v>
      </c>
      <c r="G150" t="s">
        <v>37</v>
      </c>
      <c r="H150">
        <v>0</v>
      </c>
      <c r="I150" t="s">
        <v>46</v>
      </c>
      <c r="J150">
        <v>6248.6</v>
      </c>
      <c r="K150" t="s">
        <v>101</v>
      </c>
      <c r="L150" t="s">
        <v>58</v>
      </c>
      <c r="M150">
        <v>0</v>
      </c>
      <c r="N150" t="s">
        <v>1011</v>
      </c>
      <c r="O150" t="s">
        <v>1012</v>
      </c>
      <c r="P150">
        <v>28.11</v>
      </c>
      <c r="Q150" s="2">
        <v>45538</v>
      </c>
      <c r="R150" t="s">
        <v>883</v>
      </c>
      <c r="S150" t="s">
        <v>75</v>
      </c>
      <c r="T150" t="s">
        <v>52</v>
      </c>
      <c r="U150">
        <v>6220.4900000000007</v>
      </c>
      <c r="V150">
        <v>0</v>
      </c>
    </row>
    <row r="151" spans="1:22" x14ac:dyDescent="0.3">
      <c r="A151" t="s">
        <v>567</v>
      </c>
      <c r="B151" t="s">
        <v>21</v>
      </c>
      <c r="C151" t="s">
        <v>35</v>
      </c>
      <c r="D151">
        <v>15</v>
      </c>
      <c r="E151">
        <v>240.05</v>
      </c>
      <c r="F151" t="s">
        <v>36</v>
      </c>
      <c r="G151" t="s">
        <v>37</v>
      </c>
      <c r="H151">
        <v>0.05</v>
      </c>
      <c r="I151" t="s">
        <v>46</v>
      </c>
      <c r="J151">
        <v>3420.71</v>
      </c>
      <c r="K151" t="s">
        <v>101</v>
      </c>
      <c r="L151" t="s">
        <v>85</v>
      </c>
      <c r="M151">
        <v>0</v>
      </c>
      <c r="N151" t="s">
        <v>1018</v>
      </c>
      <c r="O151" t="s">
        <v>1019</v>
      </c>
      <c r="P151">
        <v>14.31</v>
      </c>
      <c r="Q151" s="2">
        <v>45839</v>
      </c>
      <c r="R151" t="s">
        <v>754</v>
      </c>
      <c r="S151" t="s">
        <v>31</v>
      </c>
      <c r="T151" t="s">
        <v>117</v>
      </c>
      <c r="U151">
        <v>3406.4</v>
      </c>
      <c r="V151">
        <v>180.03750000000002</v>
      </c>
    </row>
    <row r="152" spans="1:22" x14ac:dyDescent="0.3">
      <c r="A152" t="s">
        <v>773</v>
      </c>
      <c r="B152" t="s">
        <v>45</v>
      </c>
      <c r="C152" t="s">
        <v>22</v>
      </c>
      <c r="D152">
        <v>10</v>
      </c>
      <c r="E152">
        <v>451.14</v>
      </c>
      <c r="F152" t="s">
        <v>84</v>
      </c>
      <c r="G152" t="s">
        <v>37</v>
      </c>
      <c r="H152">
        <v>0</v>
      </c>
      <c r="I152" t="s">
        <v>94</v>
      </c>
      <c r="J152">
        <v>4511.3999999999996</v>
      </c>
      <c r="K152" t="s">
        <v>57</v>
      </c>
      <c r="L152" t="s">
        <v>85</v>
      </c>
      <c r="M152">
        <v>0</v>
      </c>
      <c r="N152" t="s">
        <v>1020</v>
      </c>
      <c r="O152" t="s">
        <v>1021</v>
      </c>
      <c r="P152">
        <v>29.96</v>
      </c>
      <c r="Q152" s="2">
        <v>45717</v>
      </c>
      <c r="R152" t="s">
        <v>837</v>
      </c>
      <c r="S152" t="s">
        <v>51</v>
      </c>
      <c r="T152" t="s">
        <v>98</v>
      </c>
      <c r="U152">
        <v>4481.4399999999996</v>
      </c>
      <c r="V152">
        <v>0</v>
      </c>
    </row>
    <row r="153" spans="1:22" x14ac:dyDescent="0.3">
      <c r="A153" t="s">
        <v>207</v>
      </c>
      <c r="B153" t="s">
        <v>45</v>
      </c>
      <c r="C153" t="s">
        <v>109</v>
      </c>
      <c r="D153">
        <v>3</v>
      </c>
      <c r="E153">
        <v>193.98</v>
      </c>
      <c r="F153" t="s">
        <v>84</v>
      </c>
      <c r="G153" t="s">
        <v>37</v>
      </c>
      <c r="H153">
        <v>0</v>
      </c>
      <c r="I153" t="s">
        <v>94</v>
      </c>
      <c r="J153">
        <v>581.94000000000005</v>
      </c>
      <c r="K153" t="s">
        <v>101</v>
      </c>
      <c r="L153" t="s">
        <v>27</v>
      </c>
      <c r="M153">
        <v>0</v>
      </c>
      <c r="N153" t="s">
        <v>1038</v>
      </c>
      <c r="O153" t="s">
        <v>1039</v>
      </c>
      <c r="P153">
        <v>27.53</v>
      </c>
      <c r="Q153" s="2">
        <v>45992</v>
      </c>
      <c r="R153" t="s">
        <v>1040</v>
      </c>
      <c r="S153" t="s">
        <v>51</v>
      </c>
      <c r="T153" t="s">
        <v>76</v>
      </c>
      <c r="U153">
        <v>554.41000000000008</v>
      </c>
      <c r="V153">
        <v>0</v>
      </c>
    </row>
    <row r="154" spans="1:22" x14ac:dyDescent="0.3">
      <c r="A154" t="s">
        <v>329</v>
      </c>
      <c r="B154" t="s">
        <v>54</v>
      </c>
      <c r="C154" t="s">
        <v>140</v>
      </c>
      <c r="D154">
        <v>4</v>
      </c>
      <c r="E154">
        <v>473.91</v>
      </c>
      <c r="F154" t="s">
        <v>84</v>
      </c>
      <c r="G154" t="s">
        <v>37</v>
      </c>
      <c r="H154">
        <v>0.05</v>
      </c>
      <c r="I154" t="s">
        <v>65</v>
      </c>
      <c r="J154">
        <v>1800.86</v>
      </c>
      <c r="K154" t="s">
        <v>101</v>
      </c>
      <c r="L154" t="s">
        <v>58</v>
      </c>
      <c r="M154">
        <v>0</v>
      </c>
      <c r="N154" t="s">
        <v>1043</v>
      </c>
      <c r="O154" t="s">
        <v>918</v>
      </c>
      <c r="P154">
        <v>29.22</v>
      </c>
      <c r="Q154" s="2">
        <v>45810</v>
      </c>
      <c r="R154" t="s">
        <v>1044</v>
      </c>
      <c r="S154" t="s">
        <v>62</v>
      </c>
      <c r="T154" t="s">
        <v>105</v>
      </c>
      <c r="U154">
        <v>1771.6399999999999</v>
      </c>
      <c r="V154">
        <v>94.782000000000011</v>
      </c>
    </row>
    <row r="155" spans="1:22" x14ac:dyDescent="0.3">
      <c r="A155" t="s">
        <v>349</v>
      </c>
      <c r="B155" t="s">
        <v>45</v>
      </c>
      <c r="C155" t="s">
        <v>71</v>
      </c>
      <c r="D155">
        <v>14</v>
      </c>
      <c r="E155">
        <v>299.94</v>
      </c>
      <c r="F155" t="s">
        <v>55</v>
      </c>
      <c r="G155" t="s">
        <v>37</v>
      </c>
      <c r="H155">
        <v>0</v>
      </c>
      <c r="I155" t="s">
        <v>46</v>
      </c>
      <c r="J155">
        <v>4199.16</v>
      </c>
      <c r="K155" t="s">
        <v>57</v>
      </c>
      <c r="L155" t="s">
        <v>85</v>
      </c>
      <c r="M155">
        <v>0</v>
      </c>
      <c r="N155" t="s">
        <v>1050</v>
      </c>
      <c r="O155" t="s">
        <v>1051</v>
      </c>
      <c r="P155">
        <v>21.04</v>
      </c>
      <c r="Q155" s="2">
        <v>45873</v>
      </c>
      <c r="R155" t="s">
        <v>1052</v>
      </c>
      <c r="S155" t="s">
        <v>51</v>
      </c>
      <c r="T155" t="s">
        <v>82</v>
      </c>
      <c r="U155">
        <v>4178.12</v>
      </c>
      <c r="V155">
        <v>0</v>
      </c>
    </row>
    <row r="156" spans="1:22" x14ac:dyDescent="0.3">
      <c r="A156" t="s">
        <v>1053</v>
      </c>
      <c r="B156" t="s">
        <v>70</v>
      </c>
      <c r="C156" t="s">
        <v>71</v>
      </c>
      <c r="D156">
        <v>8</v>
      </c>
      <c r="E156">
        <v>432.27</v>
      </c>
      <c r="F156" t="s">
        <v>55</v>
      </c>
      <c r="G156" t="s">
        <v>37</v>
      </c>
      <c r="H156">
        <v>0.05</v>
      </c>
      <c r="I156" t="s">
        <v>65</v>
      </c>
      <c r="J156">
        <v>3285.25</v>
      </c>
      <c r="K156" t="s">
        <v>47</v>
      </c>
      <c r="L156" t="s">
        <v>85</v>
      </c>
      <c r="M156">
        <v>1</v>
      </c>
      <c r="N156" t="s">
        <v>1054</v>
      </c>
      <c r="O156" t="s">
        <v>1055</v>
      </c>
      <c r="P156">
        <v>20.64</v>
      </c>
      <c r="Q156" s="2">
        <v>45329</v>
      </c>
      <c r="R156" t="s">
        <v>973</v>
      </c>
      <c r="S156" t="s">
        <v>75</v>
      </c>
      <c r="T156" t="s">
        <v>199</v>
      </c>
      <c r="U156">
        <v>3264.61</v>
      </c>
      <c r="V156">
        <v>172.90800000000002</v>
      </c>
    </row>
    <row r="157" spans="1:22" x14ac:dyDescent="0.3">
      <c r="A157" t="s">
        <v>309</v>
      </c>
      <c r="B157" t="s">
        <v>21</v>
      </c>
      <c r="C157" t="s">
        <v>127</v>
      </c>
      <c r="D157">
        <v>4</v>
      </c>
      <c r="E157">
        <v>249.98</v>
      </c>
      <c r="F157" t="s">
        <v>36</v>
      </c>
      <c r="G157" t="s">
        <v>37</v>
      </c>
      <c r="H157">
        <v>0.15</v>
      </c>
      <c r="I157" t="s">
        <v>65</v>
      </c>
      <c r="J157">
        <v>849.93</v>
      </c>
      <c r="K157" t="s">
        <v>38</v>
      </c>
      <c r="L157" t="s">
        <v>58</v>
      </c>
      <c r="M157">
        <v>0</v>
      </c>
      <c r="N157" t="s">
        <v>1056</v>
      </c>
      <c r="O157" t="s">
        <v>1057</v>
      </c>
      <c r="P157">
        <v>49.08</v>
      </c>
      <c r="Q157" s="2">
        <v>45661</v>
      </c>
      <c r="R157" t="s">
        <v>312</v>
      </c>
      <c r="S157" t="s">
        <v>31</v>
      </c>
      <c r="T157" t="s">
        <v>187</v>
      </c>
      <c r="U157">
        <v>800.84999999999991</v>
      </c>
      <c r="V157">
        <v>149.988</v>
      </c>
    </row>
    <row r="158" spans="1:22" x14ac:dyDescent="0.3">
      <c r="A158" t="s">
        <v>1061</v>
      </c>
      <c r="B158" t="s">
        <v>34</v>
      </c>
      <c r="C158" t="s">
        <v>140</v>
      </c>
      <c r="D158">
        <v>15</v>
      </c>
      <c r="E158">
        <v>306.91000000000003</v>
      </c>
      <c r="F158" t="s">
        <v>84</v>
      </c>
      <c r="G158" t="s">
        <v>37</v>
      </c>
      <c r="H158">
        <v>0</v>
      </c>
      <c r="I158" t="s">
        <v>46</v>
      </c>
      <c r="J158">
        <v>4603.6499999999996</v>
      </c>
      <c r="K158" t="s">
        <v>47</v>
      </c>
      <c r="L158" t="s">
        <v>85</v>
      </c>
      <c r="M158">
        <v>1</v>
      </c>
      <c r="N158" t="s">
        <v>1062</v>
      </c>
      <c r="O158" t="s">
        <v>1063</v>
      </c>
      <c r="P158">
        <v>19.38</v>
      </c>
      <c r="Q158" s="2">
        <v>45566</v>
      </c>
      <c r="R158" t="s">
        <v>858</v>
      </c>
      <c r="S158" t="s">
        <v>42</v>
      </c>
      <c r="T158" t="s">
        <v>32</v>
      </c>
      <c r="U158">
        <v>4584.2699999999995</v>
      </c>
      <c r="V158">
        <v>0</v>
      </c>
    </row>
    <row r="159" spans="1:22" x14ac:dyDescent="0.3">
      <c r="A159" t="s">
        <v>945</v>
      </c>
      <c r="B159" t="s">
        <v>54</v>
      </c>
      <c r="C159" t="s">
        <v>127</v>
      </c>
      <c r="D159">
        <v>4</v>
      </c>
      <c r="E159">
        <v>563.05999999999995</v>
      </c>
      <c r="F159" t="s">
        <v>55</v>
      </c>
      <c r="G159" t="s">
        <v>37</v>
      </c>
      <c r="H159">
        <v>0.05</v>
      </c>
      <c r="I159" t="s">
        <v>94</v>
      </c>
      <c r="J159">
        <v>2139.63</v>
      </c>
      <c r="K159" t="s">
        <v>47</v>
      </c>
      <c r="L159" t="s">
        <v>27</v>
      </c>
      <c r="M159">
        <v>0</v>
      </c>
      <c r="N159" t="s">
        <v>1066</v>
      </c>
      <c r="O159" t="s">
        <v>1067</v>
      </c>
      <c r="P159">
        <v>19.5</v>
      </c>
      <c r="Q159" s="2">
        <v>45355</v>
      </c>
      <c r="R159" t="s">
        <v>1037</v>
      </c>
      <c r="S159" t="s">
        <v>62</v>
      </c>
      <c r="T159" t="s">
        <v>98</v>
      </c>
      <c r="U159">
        <v>2120.13</v>
      </c>
      <c r="V159">
        <v>112.61199999999999</v>
      </c>
    </row>
    <row r="160" spans="1:22" x14ac:dyDescent="0.3">
      <c r="A160" t="s">
        <v>548</v>
      </c>
      <c r="B160" t="s">
        <v>45</v>
      </c>
      <c r="C160" t="s">
        <v>35</v>
      </c>
      <c r="D160">
        <v>19</v>
      </c>
      <c r="E160">
        <v>465.27</v>
      </c>
      <c r="F160" t="s">
        <v>36</v>
      </c>
      <c r="G160" t="s">
        <v>37</v>
      </c>
      <c r="H160">
        <v>0.05</v>
      </c>
      <c r="I160" t="s">
        <v>78</v>
      </c>
      <c r="J160">
        <v>8398.1200000000008</v>
      </c>
      <c r="K160" t="s">
        <v>101</v>
      </c>
      <c r="L160" t="s">
        <v>48</v>
      </c>
      <c r="M160">
        <v>0</v>
      </c>
      <c r="N160" t="s">
        <v>1074</v>
      </c>
      <c r="O160" t="s">
        <v>1075</v>
      </c>
      <c r="P160">
        <v>44.95</v>
      </c>
      <c r="Q160" s="2">
        <v>45870</v>
      </c>
      <c r="R160" t="s">
        <v>570</v>
      </c>
      <c r="S160" t="s">
        <v>51</v>
      </c>
      <c r="T160" t="s">
        <v>82</v>
      </c>
      <c r="U160">
        <v>8353.17</v>
      </c>
      <c r="V160">
        <v>442.00649999999996</v>
      </c>
    </row>
    <row r="161" spans="1:22" x14ac:dyDescent="0.3">
      <c r="A161" t="s">
        <v>630</v>
      </c>
      <c r="B161" t="s">
        <v>70</v>
      </c>
      <c r="C161" t="s">
        <v>35</v>
      </c>
      <c r="D161">
        <v>18</v>
      </c>
      <c r="E161">
        <v>343.68</v>
      </c>
      <c r="F161" t="s">
        <v>23</v>
      </c>
      <c r="G161" t="s">
        <v>37</v>
      </c>
      <c r="H161">
        <v>0</v>
      </c>
      <c r="I161" t="s">
        <v>65</v>
      </c>
      <c r="J161">
        <v>6186.24</v>
      </c>
      <c r="K161" t="s">
        <v>57</v>
      </c>
      <c r="L161" t="s">
        <v>58</v>
      </c>
      <c r="M161">
        <v>0</v>
      </c>
      <c r="N161" t="s">
        <v>1076</v>
      </c>
      <c r="O161" t="s">
        <v>1077</v>
      </c>
      <c r="P161">
        <v>20.37</v>
      </c>
      <c r="Q161" s="2">
        <v>45448</v>
      </c>
      <c r="R161" t="s">
        <v>618</v>
      </c>
      <c r="S161" t="s">
        <v>75</v>
      </c>
      <c r="T161" t="s">
        <v>105</v>
      </c>
      <c r="U161">
        <v>6165.87</v>
      </c>
      <c r="V161">
        <v>0</v>
      </c>
    </row>
    <row r="162" spans="1:22" x14ac:dyDescent="0.3">
      <c r="A162" t="s">
        <v>428</v>
      </c>
      <c r="B162" t="s">
        <v>54</v>
      </c>
      <c r="C162" t="s">
        <v>100</v>
      </c>
      <c r="D162">
        <v>20</v>
      </c>
      <c r="E162">
        <v>142.52000000000001</v>
      </c>
      <c r="F162" t="s">
        <v>84</v>
      </c>
      <c r="G162" t="s">
        <v>37</v>
      </c>
      <c r="H162">
        <v>0.1</v>
      </c>
      <c r="I162" t="s">
        <v>65</v>
      </c>
      <c r="J162">
        <v>2565.36</v>
      </c>
      <c r="K162" t="s">
        <v>47</v>
      </c>
      <c r="L162" t="s">
        <v>85</v>
      </c>
      <c r="M162">
        <v>0</v>
      </c>
      <c r="N162" t="s">
        <v>1078</v>
      </c>
      <c r="O162" t="s">
        <v>1079</v>
      </c>
      <c r="P162">
        <v>30.67</v>
      </c>
      <c r="Q162" s="2">
        <v>45109</v>
      </c>
      <c r="R162" t="s">
        <v>436</v>
      </c>
      <c r="S162" t="s">
        <v>62</v>
      </c>
      <c r="T162" t="s">
        <v>117</v>
      </c>
      <c r="U162">
        <v>2534.69</v>
      </c>
      <c r="V162">
        <v>285.04000000000002</v>
      </c>
    </row>
    <row r="163" spans="1:22" x14ac:dyDescent="0.3">
      <c r="A163" t="s">
        <v>1080</v>
      </c>
      <c r="B163" t="s">
        <v>70</v>
      </c>
      <c r="C163" t="s">
        <v>71</v>
      </c>
      <c r="D163">
        <v>1</v>
      </c>
      <c r="E163">
        <v>31.42</v>
      </c>
      <c r="F163" t="s">
        <v>23</v>
      </c>
      <c r="G163" t="s">
        <v>37</v>
      </c>
      <c r="H163">
        <v>0.05</v>
      </c>
      <c r="I163" t="s">
        <v>94</v>
      </c>
      <c r="J163">
        <v>29.85</v>
      </c>
      <c r="K163" t="s">
        <v>101</v>
      </c>
      <c r="L163" t="s">
        <v>58</v>
      </c>
      <c r="M163">
        <v>0</v>
      </c>
      <c r="N163" t="s">
        <v>1081</v>
      </c>
      <c r="O163" t="s">
        <v>1082</v>
      </c>
      <c r="P163">
        <v>11.35</v>
      </c>
      <c r="Q163" s="2">
        <v>44929</v>
      </c>
      <c r="R163" t="s">
        <v>605</v>
      </c>
      <c r="S163" t="s">
        <v>75</v>
      </c>
      <c r="T163" t="s">
        <v>187</v>
      </c>
      <c r="U163">
        <v>18.5</v>
      </c>
      <c r="V163">
        <v>1.5710000000000002</v>
      </c>
    </row>
    <row r="164" spans="1:22" x14ac:dyDescent="0.3">
      <c r="A164" t="s">
        <v>615</v>
      </c>
      <c r="B164" t="s">
        <v>21</v>
      </c>
      <c r="C164" t="s">
        <v>109</v>
      </c>
      <c r="D164">
        <v>17</v>
      </c>
      <c r="E164">
        <v>572.29</v>
      </c>
      <c r="F164" t="s">
        <v>55</v>
      </c>
      <c r="G164" t="s">
        <v>37</v>
      </c>
      <c r="H164">
        <v>0.15</v>
      </c>
      <c r="I164" t="s">
        <v>65</v>
      </c>
      <c r="J164">
        <v>8269.59</v>
      </c>
      <c r="K164" t="s">
        <v>26</v>
      </c>
      <c r="L164" t="s">
        <v>58</v>
      </c>
      <c r="M164">
        <v>1</v>
      </c>
      <c r="N164" t="s">
        <v>1083</v>
      </c>
      <c r="O164" t="s">
        <v>1084</v>
      </c>
      <c r="P164">
        <v>44.99</v>
      </c>
      <c r="Q164" s="2">
        <v>45509</v>
      </c>
      <c r="R164" t="s">
        <v>203</v>
      </c>
      <c r="S164" t="s">
        <v>31</v>
      </c>
      <c r="T164" t="s">
        <v>82</v>
      </c>
      <c r="U164">
        <v>8224.6</v>
      </c>
      <c r="V164">
        <v>1459.3395</v>
      </c>
    </row>
    <row r="165" spans="1:22" x14ac:dyDescent="0.3">
      <c r="A165" t="s">
        <v>1085</v>
      </c>
      <c r="B165" t="s">
        <v>70</v>
      </c>
      <c r="C165" t="s">
        <v>22</v>
      </c>
      <c r="D165">
        <v>18</v>
      </c>
      <c r="E165">
        <v>333.6</v>
      </c>
      <c r="F165" t="s">
        <v>84</v>
      </c>
      <c r="G165" t="s">
        <v>37</v>
      </c>
      <c r="H165">
        <v>0.1</v>
      </c>
      <c r="I165" t="s">
        <v>46</v>
      </c>
      <c r="J165">
        <v>5404.32</v>
      </c>
      <c r="K165" t="s">
        <v>38</v>
      </c>
      <c r="L165" t="s">
        <v>85</v>
      </c>
      <c r="M165">
        <v>1</v>
      </c>
      <c r="N165" t="s">
        <v>1086</v>
      </c>
      <c r="O165" t="s">
        <v>1087</v>
      </c>
      <c r="P165">
        <v>33.79</v>
      </c>
      <c r="Q165" s="2">
        <v>45449</v>
      </c>
      <c r="R165" t="s">
        <v>714</v>
      </c>
      <c r="S165" t="s">
        <v>75</v>
      </c>
      <c r="T165" t="s">
        <v>105</v>
      </c>
      <c r="U165">
        <v>5370.53</v>
      </c>
      <c r="V165">
        <v>600.48</v>
      </c>
    </row>
    <row r="166" spans="1:22" x14ac:dyDescent="0.3">
      <c r="A166" t="s">
        <v>263</v>
      </c>
      <c r="B166" t="s">
        <v>34</v>
      </c>
      <c r="C166" t="s">
        <v>35</v>
      </c>
      <c r="D166">
        <v>18</v>
      </c>
      <c r="E166">
        <v>153.28</v>
      </c>
      <c r="F166" t="s">
        <v>23</v>
      </c>
      <c r="G166" t="s">
        <v>37</v>
      </c>
      <c r="H166">
        <v>0.05</v>
      </c>
      <c r="I166" t="s">
        <v>56</v>
      </c>
      <c r="J166">
        <v>2621.09</v>
      </c>
      <c r="K166" t="s">
        <v>26</v>
      </c>
      <c r="L166" t="s">
        <v>27</v>
      </c>
      <c r="M166">
        <v>1</v>
      </c>
      <c r="N166" t="s">
        <v>1088</v>
      </c>
      <c r="O166" t="s">
        <v>1089</v>
      </c>
      <c r="P166">
        <v>33.71</v>
      </c>
      <c r="Q166" s="2">
        <v>45515</v>
      </c>
      <c r="R166" t="s">
        <v>308</v>
      </c>
      <c r="S166" t="s">
        <v>42</v>
      </c>
      <c r="T166" t="s">
        <v>82</v>
      </c>
      <c r="U166">
        <v>2587.38</v>
      </c>
      <c r="V166">
        <v>137.952</v>
      </c>
    </row>
    <row r="167" spans="1:22" x14ac:dyDescent="0.3">
      <c r="A167" t="s">
        <v>1090</v>
      </c>
      <c r="B167" t="s">
        <v>70</v>
      </c>
      <c r="C167" t="s">
        <v>127</v>
      </c>
      <c r="D167">
        <v>5</v>
      </c>
      <c r="E167">
        <v>367.61</v>
      </c>
      <c r="F167" t="s">
        <v>36</v>
      </c>
      <c r="G167" t="s">
        <v>37</v>
      </c>
      <c r="H167">
        <v>0</v>
      </c>
      <c r="I167" t="s">
        <v>25</v>
      </c>
      <c r="J167">
        <v>1838.05</v>
      </c>
      <c r="K167" t="s">
        <v>101</v>
      </c>
      <c r="L167" t="s">
        <v>58</v>
      </c>
      <c r="M167">
        <v>0</v>
      </c>
      <c r="N167" t="s">
        <v>1091</v>
      </c>
      <c r="O167" t="s">
        <v>1092</v>
      </c>
      <c r="P167">
        <v>19.55</v>
      </c>
      <c r="Q167" s="2">
        <v>45055</v>
      </c>
      <c r="R167" t="s">
        <v>1042</v>
      </c>
      <c r="S167" t="s">
        <v>75</v>
      </c>
      <c r="T167" t="s">
        <v>63</v>
      </c>
      <c r="U167">
        <v>1818.5</v>
      </c>
      <c r="V167">
        <v>0</v>
      </c>
    </row>
    <row r="168" spans="1:22" x14ac:dyDescent="0.3">
      <c r="A168" t="s">
        <v>844</v>
      </c>
      <c r="B168" t="s">
        <v>21</v>
      </c>
      <c r="C168" t="s">
        <v>71</v>
      </c>
      <c r="D168">
        <v>5</v>
      </c>
      <c r="E168">
        <v>32.56</v>
      </c>
      <c r="F168" t="s">
        <v>36</v>
      </c>
      <c r="G168" t="s">
        <v>37</v>
      </c>
      <c r="H168">
        <v>0.05</v>
      </c>
      <c r="I168" t="s">
        <v>78</v>
      </c>
      <c r="J168">
        <v>154.66</v>
      </c>
      <c r="K168" t="s">
        <v>47</v>
      </c>
      <c r="L168" t="s">
        <v>85</v>
      </c>
      <c r="M168">
        <v>0</v>
      </c>
      <c r="N168" t="s">
        <v>1093</v>
      </c>
      <c r="O168" t="s">
        <v>1094</v>
      </c>
      <c r="P168">
        <v>46.73</v>
      </c>
      <c r="Q168" s="2">
        <v>45814</v>
      </c>
      <c r="R168" t="s">
        <v>229</v>
      </c>
      <c r="S168" t="s">
        <v>31</v>
      </c>
      <c r="T168" t="s">
        <v>105</v>
      </c>
      <c r="U168">
        <v>107.93</v>
      </c>
      <c r="V168">
        <v>8.14</v>
      </c>
    </row>
    <row r="169" spans="1:22" x14ac:dyDescent="0.3">
      <c r="A169" t="s">
        <v>1096</v>
      </c>
      <c r="B169" t="s">
        <v>70</v>
      </c>
      <c r="C169" t="s">
        <v>109</v>
      </c>
      <c r="D169">
        <v>12</v>
      </c>
      <c r="E169">
        <v>181.96</v>
      </c>
      <c r="F169" t="s">
        <v>55</v>
      </c>
      <c r="G169" t="s">
        <v>37</v>
      </c>
      <c r="H169">
        <v>0.15</v>
      </c>
      <c r="I169" t="s">
        <v>65</v>
      </c>
      <c r="J169">
        <v>1855.99</v>
      </c>
      <c r="K169" t="s">
        <v>57</v>
      </c>
      <c r="L169" t="s">
        <v>27</v>
      </c>
      <c r="M169">
        <v>0</v>
      </c>
      <c r="N169" t="s">
        <v>1097</v>
      </c>
      <c r="O169" t="s">
        <v>1098</v>
      </c>
      <c r="P169">
        <v>25.06</v>
      </c>
      <c r="Q169" s="2">
        <v>45392</v>
      </c>
      <c r="R169" t="s">
        <v>699</v>
      </c>
      <c r="S169" t="s">
        <v>75</v>
      </c>
      <c r="T169" t="s">
        <v>147</v>
      </c>
      <c r="U169">
        <v>1830.93</v>
      </c>
      <c r="V169">
        <v>327.52799999999996</v>
      </c>
    </row>
    <row r="170" spans="1:22" x14ac:dyDescent="0.3">
      <c r="A170" t="s">
        <v>1099</v>
      </c>
      <c r="B170" t="s">
        <v>70</v>
      </c>
      <c r="C170" t="s">
        <v>22</v>
      </c>
      <c r="D170">
        <v>3</v>
      </c>
      <c r="E170">
        <v>32.07</v>
      </c>
      <c r="F170" t="s">
        <v>55</v>
      </c>
      <c r="G170" t="s">
        <v>37</v>
      </c>
      <c r="H170">
        <v>0.15</v>
      </c>
      <c r="I170" t="s">
        <v>25</v>
      </c>
      <c r="J170">
        <v>81.78</v>
      </c>
      <c r="K170" t="s">
        <v>26</v>
      </c>
      <c r="L170" t="s">
        <v>27</v>
      </c>
      <c r="M170">
        <v>1</v>
      </c>
      <c r="N170" t="s">
        <v>1100</v>
      </c>
      <c r="O170" t="s">
        <v>1101</v>
      </c>
      <c r="P170">
        <v>43.18</v>
      </c>
      <c r="Q170" s="2">
        <v>45812</v>
      </c>
      <c r="R170" t="s">
        <v>349</v>
      </c>
      <c r="S170" t="s">
        <v>75</v>
      </c>
      <c r="T170" t="s">
        <v>105</v>
      </c>
      <c r="U170">
        <v>38.6</v>
      </c>
      <c r="V170">
        <v>14.4315</v>
      </c>
    </row>
    <row r="171" spans="1:22" x14ac:dyDescent="0.3">
      <c r="A171" t="s">
        <v>880</v>
      </c>
      <c r="B171" t="s">
        <v>21</v>
      </c>
      <c r="C171" t="s">
        <v>71</v>
      </c>
      <c r="D171">
        <v>7</v>
      </c>
      <c r="E171">
        <v>374.43</v>
      </c>
      <c r="F171" t="s">
        <v>84</v>
      </c>
      <c r="G171" t="s">
        <v>37</v>
      </c>
      <c r="H171">
        <v>0.15</v>
      </c>
      <c r="I171" t="s">
        <v>46</v>
      </c>
      <c r="J171">
        <v>2227.86</v>
      </c>
      <c r="K171" t="s">
        <v>47</v>
      </c>
      <c r="L171" t="s">
        <v>58</v>
      </c>
      <c r="M171">
        <v>0</v>
      </c>
      <c r="N171" t="s">
        <v>1102</v>
      </c>
      <c r="O171" t="s">
        <v>1103</v>
      </c>
      <c r="P171">
        <v>28.97</v>
      </c>
      <c r="Q171" s="2">
        <v>45446</v>
      </c>
      <c r="R171" t="s">
        <v>191</v>
      </c>
      <c r="S171" t="s">
        <v>31</v>
      </c>
      <c r="T171" t="s">
        <v>105</v>
      </c>
      <c r="U171">
        <v>2198.8900000000003</v>
      </c>
      <c r="V171">
        <v>393.1515</v>
      </c>
    </row>
    <row r="172" spans="1:22" x14ac:dyDescent="0.3">
      <c r="A172" t="s">
        <v>1104</v>
      </c>
      <c r="B172" t="s">
        <v>45</v>
      </c>
      <c r="C172" t="s">
        <v>127</v>
      </c>
      <c r="D172">
        <v>20</v>
      </c>
      <c r="E172">
        <v>274.37</v>
      </c>
      <c r="F172" t="s">
        <v>23</v>
      </c>
      <c r="G172" t="s">
        <v>37</v>
      </c>
      <c r="H172">
        <v>0.1</v>
      </c>
      <c r="I172" t="s">
        <v>65</v>
      </c>
      <c r="J172">
        <v>4938.66</v>
      </c>
      <c r="K172" t="s">
        <v>57</v>
      </c>
      <c r="L172" t="s">
        <v>27</v>
      </c>
      <c r="M172">
        <v>0</v>
      </c>
      <c r="N172" t="s">
        <v>1105</v>
      </c>
      <c r="O172" t="s">
        <v>1106</v>
      </c>
      <c r="P172">
        <v>12.28</v>
      </c>
      <c r="Q172" s="2">
        <v>45200</v>
      </c>
      <c r="R172" t="s">
        <v>41</v>
      </c>
      <c r="S172" t="s">
        <v>51</v>
      </c>
      <c r="T172" t="s">
        <v>32</v>
      </c>
      <c r="U172">
        <v>4926.38</v>
      </c>
      <c r="V172">
        <v>548.74</v>
      </c>
    </row>
    <row r="173" spans="1:22" x14ac:dyDescent="0.3">
      <c r="A173" t="s">
        <v>520</v>
      </c>
      <c r="B173" t="s">
        <v>45</v>
      </c>
      <c r="C173" t="s">
        <v>127</v>
      </c>
      <c r="D173">
        <v>19</v>
      </c>
      <c r="E173">
        <v>62.07</v>
      </c>
      <c r="F173" t="s">
        <v>55</v>
      </c>
      <c r="G173" t="s">
        <v>37</v>
      </c>
      <c r="H173">
        <v>0.1</v>
      </c>
      <c r="I173" t="s">
        <v>78</v>
      </c>
      <c r="J173">
        <v>1061.4000000000001</v>
      </c>
      <c r="K173" t="s">
        <v>38</v>
      </c>
      <c r="L173" t="s">
        <v>85</v>
      </c>
      <c r="M173">
        <v>0</v>
      </c>
      <c r="N173" t="s">
        <v>1107</v>
      </c>
      <c r="O173" t="s">
        <v>1108</v>
      </c>
      <c r="P173">
        <v>14.85</v>
      </c>
      <c r="Q173" s="2">
        <v>45547</v>
      </c>
      <c r="R173" t="s">
        <v>1109</v>
      </c>
      <c r="S173" t="s">
        <v>51</v>
      </c>
      <c r="T173" t="s">
        <v>52</v>
      </c>
      <c r="U173">
        <v>1046.5500000000002</v>
      </c>
      <c r="V173">
        <v>117.93299999999999</v>
      </c>
    </row>
    <row r="174" spans="1:22" x14ac:dyDescent="0.3">
      <c r="A174" t="s">
        <v>1121</v>
      </c>
      <c r="B174" t="s">
        <v>54</v>
      </c>
      <c r="C174" t="s">
        <v>35</v>
      </c>
      <c r="D174">
        <v>16</v>
      </c>
      <c r="E174">
        <v>541.96</v>
      </c>
      <c r="F174" t="s">
        <v>36</v>
      </c>
      <c r="G174" t="s">
        <v>37</v>
      </c>
      <c r="H174">
        <v>0.1</v>
      </c>
      <c r="I174" t="s">
        <v>65</v>
      </c>
      <c r="J174">
        <v>7804.22</v>
      </c>
      <c r="K174" t="s">
        <v>47</v>
      </c>
      <c r="L174" t="s">
        <v>58</v>
      </c>
      <c r="M174">
        <v>1</v>
      </c>
      <c r="N174" t="s">
        <v>1122</v>
      </c>
      <c r="O174" t="s">
        <v>1123</v>
      </c>
      <c r="P174">
        <v>9.93</v>
      </c>
      <c r="Q174" s="2">
        <v>45051</v>
      </c>
      <c r="R174" t="s">
        <v>925</v>
      </c>
      <c r="S174" t="s">
        <v>62</v>
      </c>
      <c r="T174" t="s">
        <v>63</v>
      </c>
      <c r="U174">
        <v>7794.29</v>
      </c>
      <c r="V174">
        <v>867.13600000000008</v>
      </c>
    </row>
    <row r="175" spans="1:22" x14ac:dyDescent="0.3">
      <c r="A175" t="s">
        <v>1126</v>
      </c>
      <c r="B175" t="s">
        <v>70</v>
      </c>
      <c r="C175" t="s">
        <v>140</v>
      </c>
      <c r="D175">
        <v>15</v>
      </c>
      <c r="E175">
        <v>324.58</v>
      </c>
      <c r="F175" t="s">
        <v>84</v>
      </c>
      <c r="G175" t="s">
        <v>37</v>
      </c>
      <c r="H175">
        <v>0.15</v>
      </c>
      <c r="I175" t="s">
        <v>78</v>
      </c>
      <c r="J175">
        <v>4138.3999999999996</v>
      </c>
      <c r="K175" t="s">
        <v>38</v>
      </c>
      <c r="L175" t="s">
        <v>48</v>
      </c>
      <c r="M175">
        <v>0</v>
      </c>
      <c r="N175" t="s">
        <v>1127</v>
      </c>
      <c r="O175" t="s">
        <v>1128</v>
      </c>
      <c r="P175">
        <v>24.57</v>
      </c>
      <c r="Q175" s="2">
        <v>45052</v>
      </c>
      <c r="R175" t="s">
        <v>135</v>
      </c>
      <c r="S175" t="s">
        <v>75</v>
      </c>
      <c r="T175" t="s">
        <v>63</v>
      </c>
      <c r="U175">
        <v>4113.83</v>
      </c>
      <c r="V175">
        <v>730.30499999999995</v>
      </c>
    </row>
    <row r="176" spans="1:22" x14ac:dyDescent="0.3">
      <c r="A176" t="s">
        <v>277</v>
      </c>
      <c r="B176" t="s">
        <v>54</v>
      </c>
      <c r="C176" t="s">
        <v>71</v>
      </c>
      <c r="D176">
        <v>13</v>
      </c>
      <c r="E176">
        <v>227.64</v>
      </c>
      <c r="F176" t="s">
        <v>36</v>
      </c>
      <c r="G176" t="s">
        <v>37</v>
      </c>
      <c r="H176">
        <v>0.15</v>
      </c>
      <c r="I176" t="s">
        <v>56</v>
      </c>
      <c r="J176">
        <v>2515.42</v>
      </c>
      <c r="K176" t="s">
        <v>47</v>
      </c>
      <c r="L176" t="s">
        <v>85</v>
      </c>
      <c r="M176">
        <v>1</v>
      </c>
      <c r="N176" t="s">
        <v>1131</v>
      </c>
      <c r="O176" t="s">
        <v>1132</v>
      </c>
      <c r="P176">
        <v>46.67</v>
      </c>
      <c r="Q176" s="2">
        <v>45993</v>
      </c>
      <c r="R176" t="s">
        <v>1133</v>
      </c>
      <c r="S176" t="s">
        <v>62</v>
      </c>
      <c r="T176" t="s">
        <v>76</v>
      </c>
      <c r="U176">
        <v>2468.75</v>
      </c>
      <c r="V176">
        <v>443.89799999999997</v>
      </c>
    </row>
    <row r="177" spans="1:22" x14ac:dyDescent="0.3">
      <c r="A177" t="s">
        <v>579</v>
      </c>
      <c r="B177" t="s">
        <v>45</v>
      </c>
      <c r="C177" t="s">
        <v>100</v>
      </c>
      <c r="D177">
        <v>19</v>
      </c>
      <c r="E177">
        <v>341.07</v>
      </c>
      <c r="F177" t="s">
        <v>36</v>
      </c>
      <c r="G177" t="s">
        <v>37</v>
      </c>
      <c r="H177">
        <v>0.1</v>
      </c>
      <c r="I177" t="s">
        <v>46</v>
      </c>
      <c r="J177">
        <v>5832.3</v>
      </c>
      <c r="K177" t="s">
        <v>47</v>
      </c>
      <c r="L177" t="s">
        <v>27</v>
      </c>
      <c r="M177">
        <v>0</v>
      </c>
      <c r="N177" t="s">
        <v>1134</v>
      </c>
      <c r="O177" t="s">
        <v>1135</v>
      </c>
      <c r="P177">
        <v>47.75</v>
      </c>
      <c r="Q177" s="2">
        <v>44992</v>
      </c>
      <c r="R177" t="s">
        <v>582</v>
      </c>
      <c r="S177" t="s">
        <v>51</v>
      </c>
      <c r="T177" t="s">
        <v>98</v>
      </c>
      <c r="U177">
        <v>5784.55</v>
      </c>
      <c r="V177">
        <v>648.03300000000002</v>
      </c>
    </row>
    <row r="178" spans="1:22" x14ac:dyDescent="0.3">
      <c r="A178" t="s">
        <v>816</v>
      </c>
      <c r="B178" t="s">
        <v>54</v>
      </c>
      <c r="C178" t="s">
        <v>22</v>
      </c>
      <c r="D178">
        <v>16</v>
      </c>
      <c r="E178">
        <v>301.07</v>
      </c>
      <c r="F178" t="s">
        <v>23</v>
      </c>
      <c r="G178" t="s">
        <v>37</v>
      </c>
      <c r="H178">
        <v>0.1</v>
      </c>
      <c r="I178" t="s">
        <v>46</v>
      </c>
      <c r="J178">
        <v>4335.41</v>
      </c>
      <c r="K178" t="s">
        <v>57</v>
      </c>
      <c r="L178" t="s">
        <v>27</v>
      </c>
      <c r="M178">
        <v>0</v>
      </c>
      <c r="N178" t="s">
        <v>1139</v>
      </c>
      <c r="O178" t="s">
        <v>1140</v>
      </c>
      <c r="P178">
        <v>5.58</v>
      </c>
      <c r="Q178" s="2">
        <v>45417</v>
      </c>
      <c r="R178" t="s">
        <v>618</v>
      </c>
      <c r="S178" t="s">
        <v>62</v>
      </c>
      <c r="T178" t="s">
        <v>63</v>
      </c>
      <c r="U178">
        <v>4329.83</v>
      </c>
      <c r="V178">
        <v>481.71199999999999</v>
      </c>
    </row>
    <row r="179" spans="1:22" x14ac:dyDescent="0.3">
      <c r="A179" t="s">
        <v>423</v>
      </c>
      <c r="B179" t="s">
        <v>34</v>
      </c>
      <c r="C179" t="s">
        <v>127</v>
      </c>
      <c r="D179">
        <v>13</v>
      </c>
      <c r="E179">
        <v>285.27999999999997</v>
      </c>
      <c r="F179" t="s">
        <v>55</v>
      </c>
      <c r="G179" t="s">
        <v>37</v>
      </c>
      <c r="H179">
        <v>0</v>
      </c>
      <c r="I179" t="s">
        <v>65</v>
      </c>
      <c r="J179">
        <v>3708.64</v>
      </c>
      <c r="K179" t="s">
        <v>57</v>
      </c>
      <c r="L179" t="s">
        <v>58</v>
      </c>
      <c r="M179">
        <v>0</v>
      </c>
      <c r="N179" t="s">
        <v>1141</v>
      </c>
      <c r="O179" t="s">
        <v>1142</v>
      </c>
      <c r="P179">
        <v>31.2</v>
      </c>
      <c r="Q179" s="2">
        <v>45505</v>
      </c>
      <c r="R179" t="s">
        <v>167</v>
      </c>
      <c r="S179" t="s">
        <v>42</v>
      </c>
      <c r="T179" t="s">
        <v>82</v>
      </c>
      <c r="U179">
        <v>3677.44</v>
      </c>
      <c r="V179">
        <v>0</v>
      </c>
    </row>
    <row r="180" spans="1:22" x14ac:dyDescent="0.3">
      <c r="A180" t="s">
        <v>1145</v>
      </c>
      <c r="B180" t="s">
        <v>21</v>
      </c>
      <c r="C180" t="s">
        <v>100</v>
      </c>
      <c r="D180">
        <v>12</v>
      </c>
      <c r="E180">
        <v>276.42</v>
      </c>
      <c r="F180" t="s">
        <v>36</v>
      </c>
      <c r="G180" t="s">
        <v>37</v>
      </c>
      <c r="H180">
        <v>0.15</v>
      </c>
      <c r="I180" t="s">
        <v>46</v>
      </c>
      <c r="J180">
        <v>2819.48</v>
      </c>
      <c r="K180" t="s">
        <v>26</v>
      </c>
      <c r="L180" t="s">
        <v>48</v>
      </c>
      <c r="M180">
        <v>0</v>
      </c>
      <c r="N180" t="s">
        <v>1146</v>
      </c>
      <c r="O180" t="s">
        <v>1147</v>
      </c>
      <c r="P180">
        <v>30.57</v>
      </c>
      <c r="Q180" s="2">
        <v>45720</v>
      </c>
      <c r="R180" t="s">
        <v>1148</v>
      </c>
      <c r="S180" t="s">
        <v>31</v>
      </c>
      <c r="T180" t="s">
        <v>98</v>
      </c>
      <c r="U180">
        <v>2788.91</v>
      </c>
      <c r="V180">
        <v>497.55599999999998</v>
      </c>
    </row>
    <row r="181" spans="1:22" x14ac:dyDescent="0.3">
      <c r="A181" t="s">
        <v>168</v>
      </c>
      <c r="B181" t="s">
        <v>21</v>
      </c>
      <c r="C181" t="s">
        <v>22</v>
      </c>
      <c r="D181">
        <v>19</v>
      </c>
      <c r="E181">
        <v>278.04000000000002</v>
      </c>
      <c r="F181" t="s">
        <v>23</v>
      </c>
      <c r="G181" t="s">
        <v>37</v>
      </c>
      <c r="H181">
        <v>0.05</v>
      </c>
      <c r="I181" t="s">
        <v>94</v>
      </c>
      <c r="J181">
        <v>5018.62</v>
      </c>
      <c r="K181" t="s">
        <v>101</v>
      </c>
      <c r="L181" t="s">
        <v>58</v>
      </c>
      <c r="M181">
        <v>0</v>
      </c>
      <c r="N181" t="s">
        <v>1151</v>
      </c>
      <c r="O181" t="s">
        <v>1152</v>
      </c>
      <c r="P181">
        <v>16.399999999999999</v>
      </c>
      <c r="Q181" s="2">
        <v>45967</v>
      </c>
      <c r="R181" t="s">
        <v>250</v>
      </c>
      <c r="S181" t="s">
        <v>31</v>
      </c>
      <c r="T181" t="s">
        <v>43</v>
      </c>
      <c r="U181">
        <v>5002.22</v>
      </c>
      <c r="V181">
        <v>264.13800000000003</v>
      </c>
    </row>
    <row r="182" spans="1:22" x14ac:dyDescent="0.3">
      <c r="A182" t="s">
        <v>305</v>
      </c>
      <c r="B182" t="s">
        <v>70</v>
      </c>
      <c r="C182" t="s">
        <v>127</v>
      </c>
      <c r="D182">
        <v>11</v>
      </c>
      <c r="E182">
        <v>200.3</v>
      </c>
      <c r="F182" t="s">
        <v>55</v>
      </c>
      <c r="G182" t="s">
        <v>37</v>
      </c>
      <c r="H182">
        <v>0.1</v>
      </c>
      <c r="I182" t="s">
        <v>65</v>
      </c>
      <c r="J182">
        <v>1982.97</v>
      </c>
      <c r="K182" t="s">
        <v>38</v>
      </c>
      <c r="L182" t="s">
        <v>27</v>
      </c>
      <c r="M182">
        <v>1</v>
      </c>
      <c r="N182" t="s">
        <v>1153</v>
      </c>
      <c r="O182" t="s">
        <v>1154</v>
      </c>
      <c r="P182">
        <v>48.27</v>
      </c>
      <c r="Q182" s="2">
        <v>45454</v>
      </c>
      <c r="R182" t="s">
        <v>308</v>
      </c>
      <c r="S182" t="s">
        <v>75</v>
      </c>
      <c r="T182" t="s">
        <v>105</v>
      </c>
      <c r="U182">
        <v>1934.7</v>
      </c>
      <c r="V182">
        <v>220.33000000000004</v>
      </c>
    </row>
    <row r="183" spans="1:22" x14ac:dyDescent="0.3">
      <c r="A183" t="s">
        <v>277</v>
      </c>
      <c r="B183" t="s">
        <v>21</v>
      </c>
      <c r="C183" t="s">
        <v>140</v>
      </c>
      <c r="D183">
        <v>4</v>
      </c>
      <c r="E183">
        <v>75.8</v>
      </c>
      <c r="F183" t="s">
        <v>36</v>
      </c>
      <c r="G183" t="s">
        <v>37</v>
      </c>
      <c r="H183">
        <v>0.15</v>
      </c>
      <c r="I183" t="s">
        <v>46</v>
      </c>
      <c r="J183">
        <v>257.72000000000003</v>
      </c>
      <c r="K183" t="s">
        <v>101</v>
      </c>
      <c r="L183" t="s">
        <v>58</v>
      </c>
      <c r="M183">
        <v>0</v>
      </c>
      <c r="N183" t="s">
        <v>1155</v>
      </c>
      <c r="O183" t="s">
        <v>1156</v>
      </c>
      <c r="P183">
        <v>12.22</v>
      </c>
      <c r="Q183" s="2">
        <v>45993</v>
      </c>
      <c r="R183" t="s">
        <v>1133</v>
      </c>
      <c r="S183" t="s">
        <v>31</v>
      </c>
      <c r="T183" t="s">
        <v>76</v>
      </c>
      <c r="U183">
        <v>245.50000000000003</v>
      </c>
      <c r="V183">
        <v>45.48</v>
      </c>
    </row>
    <row r="184" spans="1:22" x14ac:dyDescent="0.3">
      <c r="A184" t="s">
        <v>139</v>
      </c>
      <c r="B184" t="s">
        <v>45</v>
      </c>
      <c r="C184" t="s">
        <v>140</v>
      </c>
      <c r="D184">
        <v>3</v>
      </c>
      <c r="E184">
        <v>59.78</v>
      </c>
      <c r="F184" t="s">
        <v>36</v>
      </c>
      <c r="G184" t="s">
        <v>37</v>
      </c>
      <c r="H184">
        <v>0</v>
      </c>
      <c r="I184" t="s">
        <v>65</v>
      </c>
      <c r="J184">
        <v>179.34</v>
      </c>
      <c r="K184" t="s">
        <v>26</v>
      </c>
      <c r="L184" t="s">
        <v>58</v>
      </c>
      <c r="M184">
        <v>0</v>
      </c>
      <c r="N184" t="s">
        <v>1159</v>
      </c>
      <c r="O184" t="s">
        <v>1160</v>
      </c>
      <c r="P184">
        <v>46.98</v>
      </c>
      <c r="Q184" s="2">
        <v>45207</v>
      </c>
      <c r="R184" t="s">
        <v>892</v>
      </c>
      <c r="S184" t="s">
        <v>51</v>
      </c>
      <c r="T184" t="s">
        <v>32</v>
      </c>
      <c r="U184">
        <v>132.36000000000001</v>
      </c>
      <c r="V184">
        <v>0</v>
      </c>
    </row>
    <row r="185" spans="1:22" x14ac:dyDescent="0.3">
      <c r="A185" t="s">
        <v>596</v>
      </c>
      <c r="B185" t="s">
        <v>34</v>
      </c>
      <c r="C185" t="s">
        <v>127</v>
      </c>
      <c r="D185">
        <v>9</v>
      </c>
      <c r="E185">
        <v>472.84</v>
      </c>
      <c r="F185" t="s">
        <v>55</v>
      </c>
      <c r="G185" t="s">
        <v>37</v>
      </c>
      <c r="H185">
        <v>0.05</v>
      </c>
      <c r="I185" t="s">
        <v>25</v>
      </c>
      <c r="J185">
        <v>4042.78</v>
      </c>
      <c r="K185" t="s">
        <v>101</v>
      </c>
      <c r="L185" t="s">
        <v>27</v>
      </c>
      <c r="M185">
        <v>0</v>
      </c>
      <c r="N185" t="s">
        <v>1165</v>
      </c>
      <c r="O185" t="s">
        <v>1166</v>
      </c>
      <c r="P185">
        <v>48.13</v>
      </c>
      <c r="Q185" s="2">
        <v>45574</v>
      </c>
      <c r="R185" t="s">
        <v>160</v>
      </c>
      <c r="S185" t="s">
        <v>42</v>
      </c>
      <c r="T185" t="s">
        <v>32</v>
      </c>
      <c r="U185">
        <v>3994.65</v>
      </c>
      <c r="V185">
        <v>212.77799999999999</v>
      </c>
    </row>
    <row r="186" spans="1:22" x14ac:dyDescent="0.3">
      <c r="A186" t="s">
        <v>188</v>
      </c>
      <c r="B186" t="s">
        <v>70</v>
      </c>
      <c r="C186" t="s">
        <v>100</v>
      </c>
      <c r="D186">
        <v>1</v>
      </c>
      <c r="E186">
        <v>176.17</v>
      </c>
      <c r="F186" t="s">
        <v>36</v>
      </c>
      <c r="G186" t="s">
        <v>37</v>
      </c>
      <c r="H186">
        <v>0.05</v>
      </c>
      <c r="I186" t="s">
        <v>25</v>
      </c>
      <c r="J186">
        <v>167.36</v>
      </c>
      <c r="K186" t="s">
        <v>38</v>
      </c>
      <c r="L186" t="s">
        <v>48</v>
      </c>
      <c r="M186">
        <v>1</v>
      </c>
      <c r="N186" t="s">
        <v>1167</v>
      </c>
      <c r="O186" t="s">
        <v>1168</v>
      </c>
      <c r="P186">
        <v>35.770000000000003</v>
      </c>
      <c r="Q186" s="2">
        <v>45354</v>
      </c>
      <c r="R186" t="s">
        <v>880</v>
      </c>
      <c r="S186" t="s">
        <v>75</v>
      </c>
      <c r="T186" t="s">
        <v>98</v>
      </c>
      <c r="U186">
        <v>131.59</v>
      </c>
      <c r="V186">
        <v>8.8085000000000004</v>
      </c>
    </row>
    <row r="187" spans="1:22" x14ac:dyDescent="0.3">
      <c r="A187" t="s">
        <v>1180</v>
      </c>
      <c r="B187" t="s">
        <v>34</v>
      </c>
      <c r="C187" t="s">
        <v>35</v>
      </c>
      <c r="D187">
        <v>2</v>
      </c>
      <c r="E187">
        <v>194.97</v>
      </c>
      <c r="F187" t="s">
        <v>84</v>
      </c>
      <c r="G187" t="s">
        <v>37</v>
      </c>
      <c r="H187">
        <v>0</v>
      </c>
      <c r="I187" t="s">
        <v>78</v>
      </c>
      <c r="J187">
        <v>389.94</v>
      </c>
      <c r="K187" t="s">
        <v>101</v>
      </c>
      <c r="L187" t="s">
        <v>58</v>
      </c>
      <c r="M187">
        <v>0</v>
      </c>
      <c r="N187" t="s">
        <v>1181</v>
      </c>
      <c r="O187" t="s">
        <v>575</v>
      </c>
      <c r="P187">
        <v>9.89</v>
      </c>
      <c r="Q187" s="2">
        <v>45748</v>
      </c>
      <c r="R187" t="s">
        <v>754</v>
      </c>
      <c r="S187" t="s">
        <v>42</v>
      </c>
      <c r="T187" t="s">
        <v>147</v>
      </c>
      <c r="U187">
        <v>380.05</v>
      </c>
      <c r="V187">
        <v>0</v>
      </c>
    </row>
    <row r="188" spans="1:22" x14ac:dyDescent="0.3">
      <c r="A188" t="s">
        <v>233</v>
      </c>
      <c r="B188" t="s">
        <v>54</v>
      </c>
      <c r="C188" t="s">
        <v>35</v>
      </c>
      <c r="D188">
        <v>12</v>
      </c>
      <c r="E188">
        <v>248.13</v>
      </c>
      <c r="F188" t="s">
        <v>84</v>
      </c>
      <c r="G188" t="s">
        <v>37</v>
      </c>
      <c r="H188">
        <v>0.05</v>
      </c>
      <c r="I188" t="s">
        <v>25</v>
      </c>
      <c r="J188">
        <v>2828.68</v>
      </c>
      <c r="K188" t="s">
        <v>47</v>
      </c>
      <c r="L188" t="s">
        <v>85</v>
      </c>
      <c r="M188">
        <v>0</v>
      </c>
      <c r="N188" t="s">
        <v>1182</v>
      </c>
      <c r="O188" t="s">
        <v>1183</v>
      </c>
      <c r="P188">
        <v>26.03</v>
      </c>
      <c r="Q188" s="2">
        <v>45604</v>
      </c>
      <c r="R188" t="s">
        <v>353</v>
      </c>
      <c r="S188" t="s">
        <v>62</v>
      </c>
      <c r="T188" t="s">
        <v>43</v>
      </c>
      <c r="U188">
        <v>2802.6499999999996</v>
      </c>
      <c r="V188">
        <v>148.87800000000001</v>
      </c>
    </row>
    <row r="189" spans="1:22" x14ac:dyDescent="0.3">
      <c r="A189" t="s">
        <v>1032</v>
      </c>
      <c r="B189" t="s">
        <v>34</v>
      </c>
      <c r="C189" t="s">
        <v>35</v>
      </c>
      <c r="D189">
        <v>9</v>
      </c>
      <c r="E189">
        <v>251.43</v>
      </c>
      <c r="F189" t="s">
        <v>36</v>
      </c>
      <c r="G189" t="s">
        <v>37</v>
      </c>
      <c r="H189">
        <v>0.1</v>
      </c>
      <c r="I189" t="s">
        <v>56</v>
      </c>
      <c r="J189">
        <v>2036.58</v>
      </c>
      <c r="K189" t="s">
        <v>101</v>
      </c>
      <c r="L189" t="s">
        <v>48</v>
      </c>
      <c r="M189">
        <v>0</v>
      </c>
      <c r="N189" t="s">
        <v>1186</v>
      </c>
      <c r="O189" t="s">
        <v>1187</v>
      </c>
      <c r="P189">
        <v>22.57</v>
      </c>
      <c r="Q189" s="2">
        <v>45265</v>
      </c>
      <c r="R189" t="s">
        <v>112</v>
      </c>
      <c r="S189" t="s">
        <v>42</v>
      </c>
      <c r="T189" t="s">
        <v>76</v>
      </c>
      <c r="U189">
        <v>2014.01</v>
      </c>
      <c r="V189">
        <v>226.28700000000001</v>
      </c>
    </row>
    <row r="190" spans="1:22" x14ac:dyDescent="0.3">
      <c r="A190" t="s">
        <v>224</v>
      </c>
      <c r="B190" t="s">
        <v>34</v>
      </c>
      <c r="C190" t="s">
        <v>71</v>
      </c>
      <c r="D190">
        <v>4</v>
      </c>
      <c r="E190">
        <v>408.28</v>
      </c>
      <c r="F190" t="s">
        <v>84</v>
      </c>
      <c r="G190" t="s">
        <v>37</v>
      </c>
      <c r="H190">
        <v>0.15</v>
      </c>
      <c r="I190" t="s">
        <v>25</v>
      </c>
      <c r="J190">
        <v>1388.15</v>
      </c>
      <c r="K190" t="s">
        <v>47</v>
      </c>
      <c r="L190" t="s">
        <v>27</v>
      </c>
      <c r="M190">
        <v>0</v>
      </c>
      <c r="N190" t="s">
        <v>1188</v>
      </c>
      <c r="O190" t="s">
        <v>930</v>
      </c>
      <c r="P190">
        <v>5.38</v>
      </c>
      <c r="Q190" s="2">
        <v>45240</v>
      </c>
      <c r="R190" t="s">
        <v>1189</v>
      </c>
      <c r="S190" t="s">
        <v>42</v>
      </c>
      <c r="T190" t="s">
        <v>43</v>
      </c>
      <c r="U190">
        <v>1382.77</v>
      </c>
      <c r="V190">
        <v>244.96799999999996</v>
      </c>
    </row>
    <row r="191" spans="1:22" x14ac:dyDescent="0.3">
      <c r="A191" t="s">
        <v>285</v>
      </c>
      <c r="B191" t="s">
        <v>70</v>
      </c>
      <c r="C191" t="s">
        <v>71</v>
      </c>
      <c r="D191">
        <v>11</v>
      </c>
      <c r="E191">
        <v>321.72000000000003</v>
      </c>
      <c r="F191" t="s">
        <v>84</v>
      </c>
      <c r="G191" t="s">
        <v>37</v>
      </c>
      <c r="H191">
        <v>0.1</v>
      </c>
      <c r="I191" t="s">
        <v>46</v>
      </c>
      <c r="J191">
        <v>3185.03</v>
      </c>
      <c r="K191" t="s">
        <v>26</v>
      </c>
      <c r="L191" t="s">
        <v>27</v>
      </c>
      <c r="M191">
        <v>1</v>
      </c>
      <c r="N191" t="s">
        <v>1190</v>
      </c>
      <c r="O191" t="s">
        <v>1191</v>
      </c>
      <c r="P191">
        <v>17.940000000000001</v>
      </c>
      <c r="Q191" s="2">
        <v>44987</v>
      </c>
      <c r="R191" t="s">
        <v>437</v>
      </c>
      <c r="S191" t="s">
        <v>75</v>
      </c>
      <c r="T191" t="s">
        <v>98</v>
      </c>
      <c r="U191">
        <v>3167.09</v>
      </c>
      <c r="V191">
        <v>353.89200000000005</v>
      </c>
    </row>
    <row r="192" spans="1:22" x14ac:dyDescent="0.3">
      <c r="A192" t="s">
        <v>582</v>
      </c>
      <c r="B192" t="s">
        <v>21</v>
      </c>
      <c r="C192" t="s">
        <v>35</v>
      </c>
      <c r="D192">
        <v>8</v>
      </c>
      <c r="E192">
        <v>419.13</v>
      </c>
      <c r="F192" t="s">
        <v>84</v>
      </c>
      <c r="G192" t="s">
        <v>37</v>
      </c>
      <c r="H192">
        <v>0.1</v>
      </c>
      <c r="I192" t="s">
        <v>25</v>
      </c>
      <c r="J192">
        <v>3017.74</v>
      </c>
      <c r="K192" t="s">
        <v>26</v>
      </c>
      <c r="L192" t="s">
        <v>48</v>
      </c>
      <c r="M192">
        <v>1</v>
      </c>
      <c r="N192" t="s">
        <v>1197</v>
      </c>
      <c r="O192" t="s">
        <v>1198</v>
      </c>
      <c r="P192">
        <v>11.02</v>
      </c>
      <c r="Q192" s="2">
        <v>45084</v>
      </c>
      <c r="R192" t="s">
        <v>1199</v>
      </c>
      <c r="S192" t="s">
        <v>31</v>
      </c>
      <c r="T192" t="s">
        <v>105</v>
      </c>
      <c r="U192">
        <v>3006.72</v>
      </c>
      <c r="V192">
        <v>335.30400000000003</v>
      </c>
    </row>
    <row r="193" spans="1:22" x14ac:dyDescent="0.3">
      <c r="A193" t="s">
        <v>326</v>
      </c>
      <c r="B193" t="s">
        <v>54</v>
      </c>
      <c r="C193" t="s">
        <v>109</v>
      </c>
      <c r="D193">
        <v>11</v>
      </c>
      <c r="E193">
        <v>155.49</v>
      </c>
      <c r="F193" t="s">
        <v>55</v>
      </c>
      <c r="G193" t="s">
        <v>37</v>
      </c>
      <c r="H193">
        <v>0.05</v>
      </c>
      <c r="I193" t="s">
        <v>56</v>
      </c>
      <c r="J193">
        <v>1624.87</v>
      </c>
      <c r="K193" t="s">
        <v>47</v>
      </c>
      <c r="L193" t="s">
        <v>48</v>
      </c>
      <c r="M193">
        <v>0</v>
      </c>
      <c r="N193" t="s">
        <v>1200</v>
      </c>
      <c r="O193" t="s">
        <v>1201</v>
      </c>
      <c r="P193">
        <v>47.01</v>
      </c>
      <c r="Q193" s="2">
        <v>45690</v>
      </c>
      <c r="R193" t="s">
        <v>277</v>
      </c>
      <c r="S193" t="s">
        <v>62</v>
      </c>
      <c r="T193" t="s">
        <v>199</v>
      </c>
      <c r="U193">
        <v>1577.86</v>
      </c>
      <c r="V193">
        <v>85.519500000000008</v>
      </c>
    </row>
    <row r="194" spans="1:22" x14ac:dyDescent="0.3">
      <c r="A194" t="s">
        <v>200</v>
      </c>
      <c r="B194" t="s">
        <v>45</v>
      </c>
      <c r="C194" t="s">
        <v>35</v>
      </c>
      <c r="D194">
        <v>7</v>
      </c>
      <c r="E194">
        <v>511.46</v>
      </c>
      <c r="F194" t="s">
        <v>36</v>
      </c>
      <c r="G194" t="s">
        <v>37</v>
      </c>
      <c r="H194">
        <v>0.1</v>
      </c>
      <c r="I194" t="s">
        <v>65</v>
      </c>
      <c r="J194">
        <v>3222.2</v>
      </c>
      <c r="K194" t="s">
        <v>47</v>
      </c>
      <c r="L194" t="s">
        <v>85</v>
      </c>
      <c r="M194">
        <v>0</v>
      </c>
      <c r="N194" t="s">
        <v>1209</v>
      </c>
      <c r="O194" t="s">
        <v>1210</v>
      </c>
      <c r="P194">
        <v>19.2</v>
      </c>
      <c r="Q194" s="2">
        <v>45356</v>
      </c>
      <c r="R194" t="s">
        <v>203</v>
      </c>
      <c r="S194" t="s">
        <v>51</v>
      </c>
      <c r="T194" t="s">
        <v>98</v>
      </c>
      <c r="U194">
        <v>3203</v>
      </c>
      <c r="V194">
        <v>358.02199999999999</v>
      </c>
    </row>
    <row r="195" spans="1:22" x14ac:dyDescent="0.3">
      <c r="A195" t="s">
        <v>20</v>
      </c>
      <c r="B195" t="s">
        <v>45</v>
      </c>
      <c r="C195" t="s">
        <v>109</v>
      </c>
      <c r="D195">
        <v>2</v>
      </c>
      <c r="E195">
        <v>536.17999999999995</v>
      </c>
      <c r="F195" t="s">
        <v>23</v>
      </c>
      <c r="G195" t="s">
        <v>37</v>
      </c>
      <c r="H195">
        <v>0.1</v>
      </c>
      <c r="I195" t="s">
        <v>56</v>
      </c>
      <c r="J195">
        <v>965.12</v>
      </c>
      <c r="K195" t="s">
        <v>101</v>
      </c>
      <c r="L195" t="s">
        <v>85</v>
      </c>
      <c r="M195">
        <v>0</v>
      </c>
      <c r="N195" t="s">
        <v>1214</v>
      </c>
      <c r="O195" t="s">
        <v>1215</v>
      </c>
      <c r="P195">
        <v>34.75</v>
      </c>
      <c r="Q195" s="2">
        <v>45204</v>
      </c>
      <c r="R195" t="s">
        <v>925</v>
      </c>
      <c r="S195" t="s">
        <v>51</v>
      </c>
      <c r="T195" t="s">
        <v>32</v>
      </c>
      <c r="U195">
        <v>930.37</v>
      </c>
      <c r="V195">
        <v>107.23599999999999</v>
      </c>
    </row>
    <row r="196" spans="1:22" x14ac:dyDescent="0.3">
      <c r="A196" t="s">
        <v>1218</v>
      </c>
      <c r="B196" t="s">
        <v>21</v>
      </c>
      <c r="C196" t="s">
        <v>71</v>
      </c>
      <c r="D196">
        <v>11</v>
      </c>
      <c r="E196">
        <v>546.57000000000005</v>
      </c>
      <c r="F196" t="s">
        <v>55</v>
      </c>
      <c r="G196" t="s">
        <v>37</v>
      </c>
      <c r="H196">
        <v>0.15</v>
      </c>
      <c r="I196" t="s">
        <v>94</v>
      </c>
      <c r="J196">
        <v>5110.43</v>
      </c>
      <c r="K196" t="s">
        <v>101</v>
      </c>
      <c r="L196" t="s">
        <v>58</v>
      </c>
      <c r="M196">
        <v>1</v>
      </c>
      <c r="N196" t="s">
        <v>1219</v>
      </c>
      <c r="O196" t="s">
        <v>1220</v>
      </c>
      <c r="P196">
        <v>24.77</v>
      </c>
      <c r="Q196" s="2">
        <v>44961</v>
      </c>
      <c r="R196" t="s">
        <v>1221</v>
      </c>
      <c r="S196" t="s">
        <v>31</v>
      </c>
      <c r="T196" t="s">
        <v>199</v>
      </c>
      <c r="U196">
        <v>5085.66</v>
      </c>
      <c r="V196">
        <v>901.84050000000002</v>
      </c>
    </row>
    <row r="197" spans="1:22" x14ac:dyDescent="0.3">
      <c r="A197" t="s">
        <v>1233</v>
      </c>
      <c r="B197" t="s">
        <v>54</v>
      </c>
      <c r="C197" t="s">
        <v>127</v>
      </c>
      <c r="D197">
        <v>11</v>
      </c>
      <c r="E197">
        <v>201.09</v>
      </c>
      <c r="F197" t="s">
        <v>36</v>
      </c>
      <c r="G197" t="s">
        <v>37</v>
      </c>
      <c r="H197">
        <v>0.15</v>
      </c>
      <c r="I197" t="s">
        <v>46</v>
      </c>
      <c r="J197">
        <v>1880.19</v>
      </c>
      <c r="K197" t="s">
        <v>47</v>
      </c>
      <c r="L197" t="s">
        <v>48</v>
      </c>
      <c r="M197">
        <v>1</v>
      </c>
      <c r="N197" t="s">
        <v>1234</v>
      </c>
      <c r="O197" t="s">
        <v>1235</v>
      </c>
      <c r="P197">
        <v>48.42</v>
      </c>
      <c r="Q197" s="2">
        <v>45293</v>
      </c>
      <c r="R197" t="s">
        <v>1236</v>
      </c>
      <c r="S197" t="s">
        <v>62</v>
      </c>
      <c r="T197" t="s">
        <v>187</v>
      </c>
      <c r="U197">
        <v>1831.77</v>
      </c>
      <c r="V197">
        <v>331.79850000000005</v>
      </c>
    </row>
    <row r="198" spans="1:22" x14ac:dyDescent="0.3">
      <c r="A198" t="s">
        <v>1241</v>
      </c>
      <c r="B198" t="s">
        <v>45</v>
      </c>
      <c r="C198" t="s">
        <v>127</v>
      </c>
      <c r="D198">
        <v>2</v>
      </c>
      <c r="E198">
        <v>494.22</v>
      </c>
      <c r="F198" t="s">
        <v>36</v>
      </c>
      <c r="G198" t="s">
        <v>37</v>
      </c>
      <c r="H198">
        <v>0.1</v>
      </c>
      <c r="I198" t="s">
        <v>46</v>
      </c>
      <c r="J198">
        <v>889.6</v>
      </c>
      <c r="K198" t="s">
        <v>57</v>
      </c>
      <c r="L198" t="s">
        <v>85</v>
      </c>
      <c r="M198">
        <v>0</v>
      </c>
      <c r="N198" t="s">
        <v>1242</v>
      </c>
      <c r="O198" t="s">
        <v>1243</v>
      </c>
      <c r="P198">
        <v>13.45</v>
      </c>
      <c r="Q198" s="2">
        <v>45638</v>
      </c>
      <c r="R198" t="s">
        <v>1244</v>
      </c>
      <c r="S198" t="s">
        <v>51</v>
      </c>
      <c r="T198" t="s">
        <v>76</v>
      </c>
      <c r="U198">
        <v>876.15</v>
      </c>
      <c r="V198">
        <v>98.844000000000008</v>
      </c>
    </row>
    <row r="199" spans="1:22" x14ac:dyDescent="0.3">
      <c r="A199" t="s">
        <v>1250</v>
      </c>
      <c r="B199" t="s">
        <v>70</v>
      </c>
      <c r="C199" t="s">
        <v>22</v>
      </c>
      <c r="D199">
        <v>1</v>
      </c>
      <c r="E199">
        <v>561.29999999999995</v>
      </c>
      <c r="F199" t="s">
        <v>55</v>
      </c>
      <c r="G199" t="s">
        <v>37</v>
      </c>
      <c r="H199">
        <v>0.15</v>
      </c>
      <c r="I199" t="s">
        <v>56</v>
      </c>
      <c r="J199">
        <v>477.11</v>
      </c>
      <c r="K199" t="s">
        <v>57</v>
      </c>
      <c r="L199" t="s">
        <v>48</v>
      </c>
      <c r="M199">
        <v>0</v>
      </c>
      <c r="N199" t="s">
        <v>1251</v>
      </c>
      <c r="O199" t="s">
        <v>1252</v>
      </c>
      <c r="P199">
        <v>5.19</v>
      </c>
      <c r="Q199" s="2">
        <v>45360</v>
      </c>
      <c r="R199" t="s">
        <v>160</v>
      </c>
      <c r="S199" t="s">
        <v>75</v>
      </c>
      <c r="T199" t="s">
        <v>98</v>
      </c>
      <c r="U199">
        <v>471.92</v>
      </c>
      <c r="V199">
        <v>84.194999999999993</v>
      </c>
    </row>
    <row r="200" spans="1:22" x14ac:dyDescent="0.3">
      <c r="A200" t="s">
        <v>83</v>
      </c>
      <c r="B200" t="s">
        <v>54</v>
      </c>
      <c r="C200" t="s">
        <v>127</v>
      </c>
      <c r="D200">
        <v>20</v>
      </c>
      <c r="E200">
        <v>552.83000000000004</v>
      </c>
      <c r="F200" t="s">
        <v>55</v>
      </c>
      <c r="G200" t="s">
        <v>37</v>
      </c>
      <c r="H200">
        <v>0.15</v>
      </c>
      <c r="I200" t="s">
        <v>65</v>
      </c>
      <c r="J200">
        <v>9398.11</v>
      </c>
      <c r="K200" t="s">
        <v>26</v>
      </c>
      <c r="L200" t="s">
        <v>85</v>
      </c>
      <c r="M200">
        <v>1</v>
      </c>
      <c r="N200" t="s">
        <v>1253</v>
      </c>
      <c r="O200" t="s">
        <v>1254</v>
      </c>
      <c r="P200">
        <v>20.5</v>
      </c>
      <c r="Q200" s="2">
        <v>45966</v>
      </c>
      <c r="R200" t="s">
        <v>1138</v>
      </c>
      <c r="S200" t="s">
        <v>62</v>
      </c>
      <c r="T200" t="s">
        <v>43</v>
      </c>
      <c r="U200">
        <v>9377.61</v>
      </c>
      <c r="V200">
        <v>1658.49</v>
      </c>
    </row>
    <row r="201" spans="1:22" x14ac:dyDescent="0.3">
      <c r="A201" t="s">
        <v>131</v>
      </c>
      <c r="B201" t="s">
        <v>21</v>
      </c>
      <c r="C201" t="s">
        <v>22</v>
      </c>
      <c r="D201">
        <v>16</v>
      </c>
      <c r="E201">
        <v>440.48</v>
      </c>
      <c r="F201" t="s">
        <v>23</v>
      </c>
      <c r="G201" t="s">
        <v>37</v>
      </c>
      <c r="H201">
        <v>0.05</v>
      </c>
      <c r="I201" t="s">
        <v>56</v>
      </c>
      <c r="J201">
        <v>6695.3</v>
      </c>
      <c r="K201" t="s">
        <v>47</v>
      </c>
      <c r="L201" t="s">
        <v>85</v>
      </c>
      <c r="M201">
        <v>1</v>
      </c>
      <c r="N201" t="s">
        <v>1255</v>
      </c>
      <c r="O201" t="s">
        <v>1256</v>
      </c>
      <c r="P201">
        <v>26.87</v>
      </c>
      <c r="Q201" s="2">
        <v>44994</v>
      </c>
      <c r="R201" t="s">
        <v>652</v>
      </c>
      <c r="S201" t="s">
        <v>31</v>
      </c>
      <c r="T201" t="s">
        <v>98</v>
      </c>
      <c r="U201">
        <v>6668.43</v>
      </c>
      <c r="V201">
        <v>352.38400000000001</v>
      </c>
    </row>
    <row r="202" spans="1:22" x14ac:dyDescent="0.3">
      <c r="A202" t="s">
        <v>876</v>
      </c>
      <c r="B202" t="s">
        <v>21</v>
      </c>
      <c r="C202" t="s">
        <v>100</v>
      </c>
      <c r="D202">
        <v>8</v>
      </c>
      <c r="E202">
        <v>143.94999999999999</v>
      </c>
      <c r="F202" t="s">
        <v>23</v>
      </c>
      <c r="G202" t="s">
        <v>37</v>
      </c>
      <c r="H202">
        <v>0.1</v>
      </c>
      <c r="I202" t="s">
        <v>78</v>
      </c>
      <c r="J202">
        <v>1036.44</v>
      </c>
      <c r="K202" t="s">
        <v>47</v>
      </c>
      <c r="L202" t="s">
        <v>58</v>
      </c>
      <c r="M202">
        <v>0</v>
      </c>
      <c r="N202" t="s">
        <v>1257</v>
      </c>
      <c r="O202" t="s">
        <v>1258</v>
      </c>
      <c r="P202">
        <v>28.09</v>
      </c>
      <c r="Q202" s="2">
        <v>45353</v>
      </c>
      <c r="R202" t="s">
        <v>633</v>
      </c>
      <c r="S202" t="s">
        <v>31</v>
      </c>
      <c r="T202" t="s">
        <v>98</v>
      </c>
      <c r="U202">
        <v>1008.35</v>
      </c>
      <c r="V202">
        <v>115.16</v>
      </c>
    </row>
    <row r="203" spans="1:22" x14ac:dyDescent="0.3">
      <c r="A203" t="s">
        <v>1104</v>
      </c>
      <c r="B203" t="s">
        <v>54</v>
      </c>
      <c r="C203" t="s">
        <v>35</v>
      </c>
      <c r="D203">
        <v>14</v>
      </c>
      <c r="E203">
        <v>250.98</v>
      </c>
      <c r="F203" t="s">
        <v>36</v>
      </c>
      <c r="G203" t="s">
        <v>37</v>
      </c>
      <c r="H203">
        <v>0</v>
      </c>
      <c r="I203" t="s">
        <v>65</v>
      </c>
      <c r="J203">
        <v>3513.72</v>
      </c>
      <c r="K203" t="s">
        <v>38</v>
      </c>
      <c r="L203" t="s">
        <v>48</v>
      </c>
      <c r="M203">
        <v>0</v>
      </c>
      <c r="N203" t="s">
        <v>1259</v>
      </c>
      <c r="O203" t="s">
        <v>1260</v>
      </c>
      <c r="P203">
        <v>14.94</v>
      </c>
      <c r="Q203" s="2">
        <v>45200</v>
      </c>
      <c r="R203" t="s">
        <v>1261</v>
      </c>
      <c r="S203" t="s">
        <v>62</v>
      </c>
      <c r="T203" t="s">
        <v>32</v>
      </c>
      <c r="U203">
        <v>3498.7799999999997</v>
      </c>
      <c r="V203">
        <v>0</v>
      </c>
    </row>
    <row r="204" spans="1:22" x14ac:dyDescent="0.3">
      <c r="A204" t="s">
        <v>437</v>
      </c>
      <c r="B204" t="s">
        <v>45</v>
      </c>
      <c r="C204" t="s">
        <v>71</v>
      </c>
      <c r="D204">
        <v>7</v>
      </c>
      <c r="E204">
        <v>335.41</v>
      </c>
      <c r="F204" t="s">
        <v>36</v>
      </c>
      <c r="G204" t="s">
        <v>37</v>
      </c>
      <c r="H204">
        <v>0</v>
      </c>
      <c r="I204" t="s">
        <v>94</v>
      </c>
      <c r="J204">
        <v>2347.87</v>
      </c>
      <c r="K204" t="s">
        <v>26</v>
      </c>
      <c r="L204" t="s">
        <v>58</v>
      </c>
      <c r="M204">
        <v>0</v>
      </c>
      <c r="N204" t="s">
        <v>1262</v>
      </c>
      <c r="O204" t="s">
        <v>442</v>
      </c>
      <c r="P204">
        <v>18.91</v>
      </c>
      <c r="Q204" s="2">
        <v>45079</v>
      </c>
      <c r="R204" t="s">
        <v>1263</v>
      </c>
      <c r="S204" t="s">
        <v>51</v>
      </c>
      <c r="T204" t="s">
        <v>105</v>
      </c>
      <c r="U204">
        <v>2328.96</v>
      </c>
      <c r="V204">
        <v>0</v>
      </c>
    </row>
    <row r="205" spans="1:22" x14ac:dyDescent="0.3">
      <c r="A205" t="s">
        <v>375</v>
      </c>
      <c r="B205" t="s">
        <v>21</v>
      </c>
      <c r="C205" t="s">
        <v>140</v>
      </c>
      <c r="D205">
        <v>11</v>
      </c>
      <c r="E205">
        <v>204.5</v>
      </c>
      <c r="F205" t="s">
        <v>84</v>
      </c>
      <c r="G205" t="s">
        <v>37</v>
      </c>
      <c r="H205">
        <v>0</v>
      </c>
      <c r="I205" t="s">
        <v>65</v>
      </c>
      <c r="J205">
        <v>2249.5</v>
      </c>
      <c r="K205" t="s">
        <v>38</v>
      </c>
      <c r="L205" t="s">
        <v>27</v>
      </c>
      <c r="M205">
        <v>0</v>
      </c>
      <c r="N205" t="s">
        <v>1264</v>
      </c>
      <c r="O205" t="s">
        <v>1144</v>
      </c>
      <c r="P205">
        <v>13.82</v>
      </c>
      <c r="Q205" s="2">
        <v>45934</v>
      </c>
      <c r="R205" t="s">
        <v>1265</v>
      </c>
      <c r="S205" t="s">
        <v>31</v>
      </c>
      <c r="T205" t="s">
        <v>32</v>
      </c>
      <c r="U205">
        <v>2235.6799999999998</v>
      </c>
      <c r="V205">
        <v>0</v>
      </c>
    </row>
    <row r="206" spans="1:22" x14ac:dyDescent="0.3">
      <c r="A206" t="s">
        <v>693</v>
      </c>
      <c r="B206" t="s">
        <v>70</v>
      </c>
      <c r="C206" t="s">
        <v>140</v>
      </c>
      <c r="D206">
        <v>4</v>
      </c>
      <c r="E206">
        <v>410.59</v>
      </c>
      <c r="F206" t="s">
        <v>84</v>
      </c>
      <c r="G206" t="s">
        <v>37</v>
      </c>
      <c r="H206">
        <v>0</v>
      </c>
      <c r="I206" t="s">
        <v>65</v>
      </c>
      <c r="J206">
        <v>1642.36</v>
      </c>
      <c r="K206" t="s">
        <v>47</v>
      </c>
      <c r="L206" t="s">
        <v>48</v>
      </c>
      <c r="M206">
        <v>0</v>
      </c>
      <c r="N206" t="s">
        <v>1272</v>
      </c>
      <c r="O206" t="s">
        <v>1273</v>
      </c>
      <c r="P206">
        <v>17.36</v>
      </c>
      <c r="Q206" s="2">
        <v>45416</v>
      </c>
      <c r="R206" t="s">
        <v>339</v>
      </c>
      <c r="S206" t="s">
        <v>75</v>
      </c>
      <c r="T206" t="s">
        <v>63</v>
      </c>
      <c r="U206">
        <v>1625</v>
      </c>
      <c r="V206">
        <v>0</v>
      </c>
    </row>
    <row r="207" spans="1:22" x14ac:dyDescent="0.3">
      <c r="A207" t="s">
        <v>583</v>
      </c>
      <c r="B207" t="s">
        <v>21</v>
      </c>
      <c r="C207" t="s">
        <v>140</v>
      </c>
      <c r="D207">
        <v>3</v>
      </c>
      <c r="E207">
        <v>238.82</v>
      </c>
      <c r="F207" t="s">
        <v>36</v>
      </c>
      <c r="G207" t="s">
        <v>37</v>
      </c>
      <c r="H207">
        <v>0.1</v>
      </c>
      <c r="I207" t="s">
        <v>94</v>
      </c>
      <c r="J207">
        <v>644.80999999999995</v>
      </c>
      <c r="K207" t="s">
        <v>57</v>
      </c>
      <c r="L207" t="s">
        <v>27</v>
      </c>
      <c r="M207">
        <v>0</v>
      </c>
      <c r="N207" t="s">
        <v>1283</v>
      </c>
      <c r="O207" t="s">
        <v>1284</v>
      </c>
      <c r="P207">
        <v>37.07</v>
      </c>
      <c r="Q207" s="2">
        <v>45904</v>
      </c>
      <c r="R207" t="s">
        <v>1285</v>
      </c>
      <c r="S207" t="s">
        <v>31</v>
      </c>
      <c r="T207" t="s">
        <v>52</v>
      </c>
      <c r="U207">
        <v>607.7399999999999</v>
      </c>
      <c r="V207">
        <v>71.646000000000001</v>
      </c>
    </row>
    <row r="208" spans="1:22" x14ac:dyDescent="0.3">
      <c r="A208" t="s">
        <v>719</v>
      </c>
      <c r="B208" t="s">
        <v>21</v>
      </c>
      <c r="C208" t="s">
        <v>109</v>
      </c>
      <c r="D208">
        <v>16</v>
      </c>
      <c r="E208">
        <v>332.19</v>
      </c>
      <c r="F208" t="s">
        <v>36</v>
      </c>
      <c r="G208" t="s">
        <v>37</v>
      </c>
      <c r="H208">
        <v>0.1</v>
      </c>
      <c r="I208" t="s">
        <v>65</v>
      </c>
      <c r="J208">
        <v>4783.54</v>
      </c>
      <c r="K208" t="s">
        <v>101</v>
      </c>
      <c r="L208" t="s">
        <v>58</v>
      </c>
      <c r="M208">
        <v>1</v>
      </c>
      <c r="N208" t="s">
        <v>1286</v>
      </c>
      <c r="O208" t="s">
        <v>1287</v>
      </c>
      <c r="P208">
        <v>34.97</v>
      </c>
      <c r="Q208" s="2">
        <v>45962</v>
      </c>
      <c r="R208" t="s">
        <v>1288</v>
      </c>
      <c r="S208" t="s">
        <v>31</v>
      </c>
      <c r="T208" t="s">
        <v>43</v>
      </c>
      <c r="U208">
        <v>4748.57</v>
      </c>
      <c r="V208">
        <v>531.50400000000002</v>
      </c>
    </row>
    <row r="209" spans="1:22" x14ac:dyDescent="0.3">
      <c r="A209" t="s">
        <v>1180</v>
      </c>
      <c r="B209" t="s">
        <v>54</v>
      </c>
      <c r="C209" t="s">
        <v>140</v>
      </c>
      <c r="D209">
        <v>6</v>
      </c>
      <c r="E209">
        <v>540.54</v>
      </c>
      <c r="F209" t="s">
        <v>84</v>
      </c>
      <c r="G209" t="s">
        <v>37</v>
      </c>
      <c r="H209">
        <v>0.05</v>
      </c>
      <c r="I209" t="s">
        <v>46</v>
      </c>
      <c r="J209">
        <v>3081.08</v>
      </c>
      <c r="K209" t="s">
        <v>38</v>
      </c>
      <c r="L209" t="s">
        <v>58</v>
      </c>
      <c r="M209">
        <v>0</v>
      </c>
      <c r="N209" t="s">
        <v>1289</v>
      </c>
      <c r="O209" t="s">
        <v>1290</v>
      </c>
      <c r="P209">
        <v>19.77</v>
      </c>
      <c r="Q209" s="2">
        <v>45748</v>
      </c>
      <c r="R209" t="s">
        <v>570</v>
      </c>
      <c r="S209" t="s">
        <v>62</v>
      </c>
      <c r="T209" t="s">
        <v>147</v>
      </c>
      <c r="U209">
        <v>3061.31</v>
      </c>
      <c r="V209">
        <v>162.16200000000001</v>
      </c>
    </row>
    <row r="210" spans="1:22" x14ac:dyDescent="0.3">
      <c r="A210" t="s">
        <v>1199</v>
      </c>
      <c r="B210" t="s">
        <v>70</v>
      </c>
      <c r="C210" t="s">
        <v>127</v>
      </c>
      <c r="D210">
        <v>2</v>
      </c>
      <c r="E210">
        <v>327.57</v>
      </c>
      <c r="F210" t="s">
        <v>84</v>
      </c>
      <c r="G210" t="s">
        <v>37</v>
      </c>
      <c r="H210">
        <v>0.05</v>
      </c>
      <c r="I210" t="s">
        <v>78</v>
      </c>
      <c r="J210">
        <v>622.38</v>
      </c>
      <c r="K210" t="s">
        <v>38</v>
      </c>
      <c r="L210" t="s">
        <v>48</v>
      </c>
      <c r="M210">
        <v>0</v>
      </c>
      <c r="N210" t="s">
        <v>1291</v>
      </c>
      <c r="O210" t="s">
        <v>1292</v>
      </c>
      <c r="P210">
        <v>19.489999999999998</v>
      </c>
      <c r="Q210" s="2">
        <v>45206</v>
      </c>
      <c r="R210" t="s">
        <v>1293</v>
      </c>
      <c r="S210" t="s">
        <v>75</v>
      </c>
      <c r="T210" t="s">
        <v>32</v>
      </c>
      <c r="U210">
        <v>602.89</v>
      </c>
      <c r="V210">
        <v>32.756999999999998</v>
      </c>
    </row>
    <row r="211" spans="1:22" x14ac:dyDescent="0.3">
      <c r="A211" t="s">
        <v>1172</v>
      </c>
      <c r="B211" t="s">
        <v>70</v>
      </c>
      <c r="C211" t="s">
        <v>71</v>
      </c>
      <c r="D211">
        <v>9</v>
      </c>
      <c r="E211">
        <v>256.14</v>
      </c>
      <c r="F211" t="s">
        <v>84</v>
      </c>
      <c r="G211" t="s">
        <v>37</v>
      </c>
      <c r="H211">
        <v>0.15</v>
      </c>
      <c r="I211" t="s">
        <v>56</v>
      </c>
      <c r="J211">
        <v>1959.47</v>
      </c>
      <c r="K211" t="s">
        <v>101</v>
      </c>
      <c r="L211" t="s">
        <v>58</v>
      </c>
      <c r="M211">
        <v>1</v>
      </c>
      <c r="N211" t="s">
        <v>1297</v>
      </c>
      <c r="O211" t="s">
        <v>1298</v>
      </c>
      <c r="P211">
        <v>5.21</v>
      </c>
      <c r="Q211" s="2">
        <v>45749</v>
      </c>
      <c r="R211" t="s">
        <v>777</v>
      </c>
      <c r="S211" t="s">
        <v>75</v>
      </c>
      <c r="T211" t="s">
        <v>147</v>
      </c>
      <c r="U211">
        <v>1954.26</v>
      </c>
      <c r="V211">
        <v>345.78899999999993</v>
      </c>
    </row>
    <row r="212" spans="1:22" x14ac:dyDescent="0.3">
      <c r="A212" t="s">
        <v>850</v>
      </c>
      <c r="B212" t="s">
        <v>54</v>
      </c>
      <c r="C212" t="s">
        <v>35</v>
      </c>
      <c r="D212">
        <v>3</v>
      </c>
      <c r="E212">
        <v>312.97000000000003</v>
      </c>
      <c r="F212" t="s">
        <v>36</v>
      </c>
      <c r="G212" t="s">
        <v>37</v>
      </c>
      <c r="H212">
        <v>0.05</v>
      </c>
      <c r="I212" t="s">
        <v>65</v>
      </c>
      <c r="J212">
        <v>891.96</v>
      </c>
      <c r="K212" t="s">
        <v>101</v>
      </c>
      <c r="L212" t="s">
        <v>48</v>
      </c>
      <c r="M212">
        <v>1</v>
      </c>
      <c r="N212" t="s">
        <v>1299</v>
      </c>
      <c r="O212" t="s">
        <v>1300</v>
      </c>
      <c r="P212">
        <v>20.059999999999999</v>
      </c>
      <c r="Q212" s="2">
        <v>45086</v>
      </c>
      <c r="R212" t="s">
        <v>798</v>
      </c>
      <c r="S212" t="s">
        <v>62</v>
      </c>
      <c r="T212" t="s">
        <v>105</v>
      </c>
      <c r="U212">
        <v>871.90000000000009</v>
      </c>
      <c r="V212">
        <v>46.94550000000001</v>
      </c>
    </row>
    <row r="213" spans="1:22" x14ac:dyDescent="0.3">
      <c r="A213" t="s">
        <v>285</v>
      </c>
      <c r="B213" t="s">
        <v>54</v>
      </c>
      <c r="C213" t="s">
        <v>127</v>
      </c>
      <c r="D213">
        <v>19</v>
      </c>
      <c r="E213">
        <v>534.91999999999996</v>
      </c>
      <c r="F213" t="s">
        <v>55</v>
      </c>
      <c r="G213" t="s">
        <v>37</v>
      </c>
      <c r="H213">
        <v>0</v>
      </c>
      <c r="I213" t="s">
        <v>78</v>
      </c>
      <c r="J213">
        <v>10163.48</v>
      </c>
      <c r="K213" t="s">
        <v>26</v>
      </c>
      <c r="L213" t="s">
        <v>48</v>
      </c>
      <c r="M213">
        <v>0</v>
      </c>
      <c r="N213" t="s">
        <v>1309</v>
      </c>
      <c r="O213" t="s">
        <v>1310</v>
      </c>
      <c r="P213">
        <v>26.97</v>
      </c>
      <c r="Q213" s="2">
        <v>44987</v>
      </c>
      <c r="R213" t="s">
        <v>288</v>
      </c>
      <c r="S213" t="s">
        <v>62</v>
      </c>
      <c r="T213" t="s">
        <v>98</v>
      </c>
      <c r="U213">
        <v>10136.51</v>
      </c>
      <c r="V213">
        <v>0</v>
      </c>
    </row>
    <row r="214" spans="1:22" x14ac:dyDescent="0.3">
      <c r="A214" t="s">
        <v>1085</v>
      </c>
      <c r="B214" t="s">
        <v>45</v>
      </c>
      <c r="C214" t="s">
        <v>127</v>
      </c>
      <c r="D214">
        <v>12</v>
      </c>
      <c r="E214">
        <v>489.14</v>
      </c>
      <c r="F214" t="s">
        <v>55</v>
      </c>
      <c r="G214" t="s">
        <v>37</v>
      </c>
      <c r="H214">
        <v>0.15</v>
      </c>
      <c r="I214" t="s">
        <v>94</v>
      </c>
      <c r="J214">
        <v>4989.2299999999996</v>
      </c>
      <c r="K214" t="s">
        <v>26</v>
      </c>
      <c r="L214" t="s">
        <v>58</v>
      </c>
      <c r="M214">
        <v>0</v>
      </c>
      <c r="N214" t="s">
        <v>1311</v>
      </c>
      <c r="O214" t="s">
        <v>1312</v>
      </c>
      <c r="P214">
        <v>29.31</v>
      </c>
      <c r="Q214" s="2">
        <v>45449</v>
      </c>
      <c r="R214" t="s">
        <v>1313</v>
      </c>
      <c r="S214" t="s">
        <v>51</v>
      </c>
      <c r="T214" t="s">
        <v>105</v>
      </c>
      <c r="U214">
        <v>4959.9199999999992</v>
      </c>
      <c r="V214">
        <v>880.452</v>
      </c>
    </row>
    <row r="215" spans="1:22" x14ac:dyDescent="0.3">
      <c r="A215" t="s">
        <v>507</v>
      </c>
      <c r="B215" t="s">
        <v>70</v>
      </c>
      <c r="C215" t="s">
        <v>127</v>
      </c>
      <c r="D215">
        <v>16</v>
      </c>
      <c r="E215">
        <v>426.65</v>
      </c>
      <c r="F215" t="s">
        <v>84</v>
      </c>
      <c r="G215" t="s">
        <v>37</v>
      </c>
      <c r="H215">
        <v>0.1</v>
      </c>
      <c r="I215" t="s">
        <v>78</v>
      </c>
      <c r="J215">
        <v>6143.76</v>
      </c>
      <c r="K215" t="s">
        <v>57</v>
      </c>
      <c r="L215" t="s">
        <v>48</v>
      </c>
      <c r="M215">
        <v>0</v>
      </c>
      <c r="N215" t="s">
        <v>1327</v>
      </c>
      <c r="O215" t="s">
        <v>1328</v>
      </c>
      <c r="P215">
        <v>10.199999999999999</v>
      </c>
      <c r="Q215" s="2">
        <v>45813</v>
      </c>
      <c r="R215" t="s">
        <v>1329</v>
      </c>
      <c r="S215" t="s">
        <v>75</v>
      </c>
      <c r="T215" t="s">
        <v>105</v>
      </c>
      <c r="U215">
        <v>6133.56</v>
      </c>
      <c r="V215">
        <v>682.64</v>
      </c>
    </row>
    <row r="216" spans="1:22" x14ac:dyDescent="0.3">
      <c r="A216" t="s">
        <v>799</v>
      </c>
      <c r="B216" t="s">
        <v>21</v>
      </c>
      <c r="C216" t="s">
        <v>22</v>
      </c>
      <c r="D216">
        <v>19</v>
      </c>
      <c r="E216">
        <v>25.61</v>
      </c>
      <c r="F216" t="s">
        <v>23</v>
      </c>
      <c r="G216" t="s">
        <v>37</v>
      </c>
      <c r="H216">
        <v>0</v>
      </c>
      <c r="I216" t="s">
        <v>94</v>
      </c>
      <c r="J216">
        <v>486.59</v>
      </c>
      <c r="K216" t="s">
        <v>57</v>
      </c>
      <c r="L216" t="s">
        <v>48</v>
      </c>
      <c r="M216">
        <v>0</v>
      </c>
      <c r="N216" t="s">
        <v>1333</v>
      </c>
      <c r="O216" t="s">
        <v>1334</v>
      </c>
      <c r="P216">
        <v>30.32</v>
      </c>
      <c r="Q216" s="2">
        <v>45361</v>
      </c>
      <c r="R216" t="s">
        <v>699</v>
      </c>
      <c r="S216" t="s">
        <v>31</v>
      </c>
      <c r="T216" t="s">
        <v>98</v>
      </c>
      <c r="U216">
        <v>456.27</v>
      </c>
      <c r="V216">
        <v>0</v>
      </c>
    </row>
    <row r="217" spans="1:22" x14ac:dyDescent="0.3">
      <c r="A217" t="s">
        <v>1340</v>
      </c>
      <c r="B217" t="s">
        <v>34</v>
      </c>
      <c r="C217" t="s">
        <v>71</v>
      </c>
      <c r="D217">
        <v>10</v>
      </c>
      <c r="E217">
        <v>522.73</v>
      </c>
      <c r="F217" t="s">
        <v>36</v>
      </c>
      <c r="G217" t="s">
        <v>37</v>
      </c>
      <c r="H217">
        <v>0.1</v>
      </c>
      <c r="I217" t="s">
        <v>94</v>
      </c>
      <c r="J217">
        <v>4704.57</v>
      </c>
      <c r="K217" t="s">
        <v>101</v>
      </c>
      <c r="L217" t="s">
        <v>48</v>
      </c>
      <c r="M217">
        <v>0</v>
      </c>
      <c r="N217" t="s">
        <v>1341</v>
      </c>
      <c r="O217" t="s">
        <v>1342</v>
      </c>
      <c r="P217">
        <v>20.059999999999999</v>
      </c>
      <c r="Q217" s="2">
        <v>45543</v>
      </c>
      <c r="R217" t="s">
        <v>449</v>
      </c>
      <c r="S217" t="s">
        <v>42</v>
      </c>
      <c r="T217" t="s">
        <v>52</v>
      </c>
      <c r="U217">
        <v>4684.5099999999993</v>
      </c>
      <c r="V217">
        <v>522.73</v>
      </c>
    </row>
    <row r="218" spans="1:22" x14ac:dyDescent="0.3">
      <c r="A218" t="s">
        <v>333</v>
      </c>
      <c r="B218" t="s">
        <v>21</v>
      </c>
      <c r="C218" t="s">
        <v>109</v>
      </c>
      <c r="D218">
        <v>18</v>
      </c>
      <c r="E218">
        <v>448.03</v>
      </c>
      <c r="F218" t="s">
        <v>23</v>
      </c>
      <c r="G218" t="s">
        <v>37</v>
      </c>
      <c r="H218">
        <v>0.15</v>
      </c>
      <c r="I218" t="s">
        <v>56</v>
      </c>
      <c r="J218">
        <v>6854.86</v>
      </c>
      <c r="K218" t="s">
        <v>47</v>
      </c>
      <c r="L218" t="s">
        <v>27</v>
      </c>
      <c r="M218">
        <v>1</v>
      </c>
      <c r="N218" t="s">
        <v>1343</v>
      </c>
      <c r="O218" t="s">
        <v>1344</v>
      </c>
      <c r="P218">
        <v>13.23</v>
      </c>
      <c r="Q218" s="2">
        <v>45511</v>
      </c>
      <c r="R218" t="s">
        <v>220</v>
      </c>
      <c r="S218" t="s">
        <v>31</v>
      </c>
      <c r="T218" t="s">
        <v>82</v>
      </c>
      <c r="U218">
        <v>6841.63</v>
      </c>
      <c r="V218">
        <v>1209.6809999999998</v>
      </c>
    </row>
    <row r="219" spans="1:22" x14ac:dyDescent="0.3">
      <c r="A219" t="s">
        <v>1348</v>
      </c>
      <c r="B219" t="s">
        <v>54</v>
      </c>
      <c r="C219" t="s">
        <v>22</v>
      </c>
      <c r="D219">
        <v>17</v>
      </c>
      <c r="E219">
        <v>460.31</v>
      </c>
      <c r="F219" t="s">
        <v>84</v>
      </c>
      <c r="G219" t="s">
        <v>37</v>
      </c>
      <c r="H219">
        <v>0.15</v>
      </c>
      <c r="I219" t="s">
        <v>78</v>
      </c>
      <c r="J219">
        <v>6651.48</v>
      </c>
      <c r="K219" t="s">
        <v>26</v>
      </c>
      <c r="L219" t="s">
        <v>27</v>
      </c>
      <c r="M219">
        <v>0</v>
      </c>
      <c r="N219" t="s">
        <v>1349</v>
      </c>
      <c r="O219" t="s">
        <v>1350</v>
      </c>
      <c r="P219">
        <v>40.18</v>
      </c>
      <c r="Q219" s="2">
        <v>45119</v>
      </c>
      <c r="R219" t="s">
        <v>1351</v>
      </c>
      <c r="S219" t="s">
        <v>62</v>
      </c>
      <c r="T219" t="s">
        <v>117</v>
      </c>
      <c r="U219">
        <v>6611.2999999999993</v>
      </c>
      <c r="V219">
        <v>1173.7905000000001</v>
      </c>
    </row>
    <row r="220" spans="1:22" x14ac:dyDescent="0.3">
      <c r="A220" t="s">
        <v>763</v>
      </c>
      <c r="B220" t="s">
        <v>54</v>
      </c>
      <c r="C220" t="s">
        <v>22</v>
      </c>
      <c r="D220">
        <v>6</v>
      </c>
      <c r="E220">
        <v>287.72000000000003</v>
      </c>
      <c r="F220" t="s">
        <v>84</v>
      </c>
      <c r="G220" t="s">
        <v>37</v>
      </c>
      <c r="H220">
        <v>0.05</v>
      </c>
      <c r="I220" t="s">
        <v>94</v>
      </c>
      <c r="J220">
        <v>1640</v>
      </c>
      <c r="K220" t="s">
        <v>38</v>
      </c>
      <c r="L220" t="s">
        <v>27</v>
      </c>
      <c r="M220">
        <v>0</v>
      </c>
      <c r="N220" t="s">
        <v>1352</v>
      </c>
      <c r="O220" t="s">
        <v>1353</v>
      </c>
      <c r="P220">
        <v>17.14</v>
      </c>
      <c r="Q220" s="2">
        <v>45176</v>
      </c>
      <c r="R220" t="s">
        <v>1354</v>
      </c>
      <c r="S220" t="s">
        <v>62</v>
      </c>
      <c r="T220" t="s">
        <v>52</v>
      </c>
      <c r="U220">
        <v>1622.86</v>
      </c>
      <c r="V220">
        <v>86.316000000000017</v>
      </c>
    </row>
    <row r="221" spans="1:22" x14ac:dyDescent="0.3">
      <c r="A221" t="s">
        <v>900</v>
      </c>
      <c r="B221" t="s">
        <v>21</v>
      </c>
      <c r="C221" t="s">
        <v>109</v>
      </c>
      <c r="D221">
        <v>10</v>
      </c>
      <c r="E221">
        <v>396.73</v>
      </c>
      <c r="F221" t="s">
        <v>23</v>
      </c>
      <c r="G221" t="s">
        <v>37</v>
      </c>
      <c r="H221">
        <v>0.1</v>
      </c>
      <c r="I221" t="s">
        <v>65</v>
      </c>
      <c r="J221">
        <v>3570.57</v>
      </c>
      <c r="K221" t="s">
        <v>26</v>
      </c>
      <c r="L221" t="s">
        <v>85</v>
      </c>
      <c r="M221">
        <v>0</v>
      </c>
      <c r="N221" t="s">
        <v>1355</v>
      </c>
      <c r="O221" t="s">
        <v>1356</v>
      </c>
      <c r="P221">
        <v>18.13</v>
      </c>
      <c r="Q221" s="2">
        <v>45871</v>
      </c>
      <c r="R221" t="s">
        <v>780</v>
      </c>
      <c r="S221" t="s">
        <v>31</v>
      </c>
      <c r="T221" t="s">
        <v>82</v>
      </c>
      <c r="U221">
        <v>3552.44</v>
      </c>
      <c r="V221">
        <v>396.73</v>
      </c>
    </row>
    <row r="222" spans="1:22" x14ac:dyDescent="0.3">
      <c r="A222" t="s">
        <v>89</v>
      </c>
      <c r="B222" t="s">
        <v>70</v>
      </c>
      <c r="C222" t="s">
        <v>100</v>
      </c>
      <c r="D222">
        <v>1</v>
      </c>
      <c r="E222">
        <v>299.66000000000003</v>
      </c>
      <c r="F222" t="s">
        <v>84</v>
      </c>
      <c r="G222" t="s">
        <v>37</v>
      </c>
      <c r="H222">
        <v>0.1</v>
      </c>
      <c r="I222" t="s">
        <v>78</v>
      </c>
      <c r="J222">
        <v>269.69</v>
      </c>
      <c r="K222" t="s">
        <v>47</v>
      </c>
      <c r="L222" t="s">
        <v>58</v>
      </c>
      <c r="M222">
        <v>0</v>
      </c>
      <c r="N222" t="s">
        <v>1357</v>
      </c>
      <c r="O222" t="s">
        <v>1358</v>
      </c>
      <c r="P222">
        <v>38.94</v>
      </c>
      <c r="Q222" s="2">
        <v>45783</v>
      </c>
      <c r="R222" t="s">
        <v>915</v>
      </c>
      <c r="S222" t="s">
        <v>75</v>
      </c>
      <c r="T222" t="s">
        <v>63</v>
      </c>
      <c r="U222">
        <v>230.75</v>
      </c>
      <c r="V222">
        <v>29.966000000000005</v>
      </c>
    </row>
    <row r="223" spans="1:22" x14ac:dyDescent="0.3">
      <c r="A223" t="s">
        <v>1363</v>
      </c>
      <c r="B223" t="s">
        <v>21</v>
      </c>
      <c r="C223" t="s">
        <v>22</v>
      </c>
      <c r="D223">
        <v>13</v>
      </c>
      <c r="E223">
        <v>492.66</v>
      </c>
      <c r="F223" t="s">
        <v>23</v>
      </c>
      <c r="G223" t="s">
        <v>37</v>
      </c>
      <c r="H223">
        <v>0.1</v>
      </c>
      <c r="I223" t="s">
        <v>56</v>
      </c>
      <c r="J223">
        <v>5764.12</v>
      </c>
      <c r="K223" t="s">
        <v>57</v>
      </c>
      <c r="L223" t="s">
        <v>85</v>
      </c>
      <c r="M223">
        <v>0</v>
      </c>
      <c r="N223" t="s">
        <v>1364</v>
      </c>
      <c r="O223" t="s">
        <v>1365</v>
      </c>
      <c r="P223">
        <v>46.21</v>
      </c>
      <c r="Q223" s="2">
        <v>45902</v>
      </c>
      <c r="R223" t="s">
        <v>1044</v>
      </c>
      <c r="S223" t="s">
        <v>31</v>
      </c>
      <c r="T223" t="s">
        <v>52</v>
      </c>
      <c r="U223">
        <v>5717.91</v>
      </c>
      <c r="V223">
        <v>640.45800000000008</v>
      </c>
    </row>
    <row r="224" spans="1:22" x14ac:dyDescent="0.3">
      <c r="A224" t="s">
        <v>217</v>
      </c>
      <c r="B224" t="s">
        <v>21</v>
      </c>
      <c r="C224" t="s">
        <v>109</v>
      </c>
      <c r="D224">
        <v>15</v>
      </c>
      <c r="E224">
        <v>576.12</v>
      </c>
      <c r="F224" t="s">
        <v>55</v>
      </c>
      <c r="G224" t="s">
        <v>37</v>
      </c>
      <c r="H224">
        <v>0.1</v>
      </c>
      <c r="I224" t="s">
        <v>25</v>
      </c>
      <c r="J224">
        <v>7777.62</v>
      </c>
      <c r="K224" t="s">
        <v>26</v>
      </c>
      <c r="L224" t="s">
        <v>27</v>
      </c>
      <c r="M224">
        <v>0</v>
      </c>
      <c r="N224" t="s">
        <v>1371</v>
      </c>
      <c r="O224" t="s">
        <v>1372</v>
      </c>
      <c r="P224">
        <v>29.31</v>
      </c>
      <c r="Q224" s="2">
        <v>45480</v>
      </c>
      <c r="R224" t="s">
        <v>301</v>
      </c>
      <c r="S224" t="s">
        <v>31</v>
      </c>
      <c r="T224" t="s">
        <v>117</v>
      </c>
      <c r="U224">
        <v>7748.3099999999995</v>
      </c>
      <c r="V224">
        <v>864.18</v>
      </c>
    </row>
    <row r="225" spans="1:22" x14ac:dyDescent="0.3">
      <c r="A225" t="s">
        <v>383</v>
      </c>
      <c r="B225" t="s">
        <v>54</v>
      </c>
      <c r="C225" t="s">
        <v>71</v>
      </c>
      <c r="D225">
        <v>12</v>
      </c>
      <c r="E225">
        <v>535.41</v>
      </c>
      <c r="F225" t="s">
        <v>36</v>
      </c>
      <c r="G225" t="s">
        <v>37</v>
      </c>
      <c r="H225">
        <v>0.1</v>
      </c>
      <c r="I225" t="s">
        <v>56</v>
      </c>
      <c r="J225">
        <v>5782.43</v>
      </c>
      <c r="K225" t="s">
        <v>57</v>
      </c>
      <c r="L225" t="s">
        <v>48</v>
      </c>
      <c r="M225">
        <v>0</v>
      </c>
      <c r="N225" t="s">
        <v>1385</v>
      </c>
      <c r="O225" t="s">
        <v>1386</v>
      </c>
      <c r="P225">
        <v>27.82</v>
      </c>
      <c r="Q225" s="2">
        <v>45422</v>
      </c>
      <c r="R225" t="s">
        <v>482</v>
      </c>
      <c r="S225" t="s">
        <v>62</v>
      </c>
      <c r="T225" t="s">
        <v>63</v>
      </c>
      <c r="U225">
        <v>5754.6100000000006</v>
      </c>
      <c r="V225">
        <v>642.49200000000008</v>
      </c>
    </row>
    <row r="226" spans="1:22" x14ac:dyDescent="0.3">
      <c r="A226" t="s">
        <v>1225</v>
      </c>
      <c r="B226" t="s">
        <v>54</v>
      </c>
      <c r="C226" t="s">
        <v>109</v>
      </c>
      <c r="D226">
        <v>11</v>
      </c>
      <c r="E226">
        <v>97.84</v>
      </c>
      <c r="F226" t="s">
        <v>23</v>
      </c>
      <c r="G226" t="s">
        <v>37</v>
      </c>
      <c r="H226">
        <v>0.05</v>
      </c>
      <c r="I226" t="s">
        <v>25</v>
      </c>
      <c r="J226">
        <v>1022.43</v>
      </c>
      <c r="K226" t="s">
        <v>38</v>
      </c>
      <c r="L226" t="s">
        <v>58</v>
      </c>
      <c r="M226">
        <v>1</v>
      </c>
      <c r="N226" t="s">
        <v>1389</v>
      </c>
      <c r="O226" t="s">
        <v>1390</v>
      </c>
      <c r="P226">
        <v>45.97</v>
      </c>
      <c r="Q226" s="2">
        <v>45385</v>
      </c>
      <c r="R226" t="s">
        <v>191</v>
      </c>
      <c r="S226" t="s">
        <v>62</v>
      </c>
      <c r="T226" t="s">
        <v>147</v>
      </c>
      <c r="U226">
        <v>976.45999999999992</v>
      </c>
      <c r="V226">
        <v>53.812000000000005</v>
      </c>
    </row>
    <row r="227" spans="1:22" x14ac:dyDescent="0.3">
      <c r="A227" t="s">
        <v>1393</v>
      </c>
      <c r="B227" t="s">
        <v>54</v>
      </c>
      <c r="C227" t="s">
        <v>109</v>
      </c>
      <c r="D227">
        <v>9</v>
      </c>
      <c r="E227">
        <v>228.98</v>
      </c>
      <c r="F227" t="s">
        <v>55</v>
      </c>
      <c r="G227" t="s">
        <v>37</v>
      </c>
      <c r="H227">
        <v>0.15</v>
      </c>
      <c r="I227" t="s">
        <v>56</v>
      </c>
      <c r="J227">
        <v>1751.7</v>
      </c>
      <c r="K227" t="s">
        <v>26</v>
      </c>
      <c r="L227" t="s">
        <v>27</v>
      </c>
      <c r="M227">
        <v>0</v>
      </c>
      <c r="N227" t="s">
        <v>1394</v>
      </c>
      <c r="O227" t="s">
        <v>1395</v>
      </c>
      <c r="P227">
        <v>45.79</v>
      </c>
      <c r="Q227" s="2">
        <v>45391</v>
      </c>
      <c r="R227" t="s">
        <v>1396</v>
      </c>
      <c r="S227" t="s">
        <v>62</v>
      </c>
      <c r="T227" t="s">
        <v>147</v>
      </c>
      <c r="U227">
        <v>1705.91</v>
      </c>
      <c r="V227">
        <v>309.12299999999993</v>
      </c>
    </row>
    <row r="228" spans="1:22" x14ac:dyDescent="0.3">
      <c r="A228" t="s">
        <v>647</v>
      </c>
      <c r="B228" t="s">
        <v>34</v>
      </c>
      <c r="C228" t="s">
        <v>71</v>
      </c>
      <c r="D228">
        <v>13</v>
      </c>
      <c r="E228">
        <v>55.46</v>
      </c>
      <c r="F228" t="s">
        <v>84</v>
      </c>
      <c r="G228" t="s">
        <v>37</v>
      </c>
      <c r="H228">
        <v>0.05</v>
      </c>
      <c r="I228" t="s">
        <v>94</v>
      </c>
      <c r="J228">
        <v>684.93</v>
      </c>
      <c r="K228" t="s">
        <v>101</v>
      </c>
      <c r="L228" t="s">
        <v>85</v>
      </c>
      <c r="M228">
        <v>1</v>
      </c>
      <c r="N228" t="s">
        <v>1412</v>
      </c>
      <c r="O228" t="s">
        <v>1413</v>
      </c>
      <c r="P228">
        <v>18.010000000000002</v>
      </c>
      <c r="Q228" s="2">
        <v>45453</v>
      </c>
      <c r="R228" t="s">
        <v>386</v>
      </c>
      <c r="S228" t="s">
        <v>42</v>
      </c>
      <c r="T228" t="s">
        <v>105</v>
      </c>
      <c r="U228">
        <v>666.92</v>
      </c>
      <c r="V228">
        <v>36.048999999999999</v>
      </c>
    </row>
    <row r="229" spans="1:22" x14ac:dyDescent="0.3">
      <c r="A229" t="s">
        <v>1421</v>
      </c>
      <c r="B229" t="s">
        <v>21</v>
      </c>
      <c r="C229" t="s">
        <v>71</v>
      </c>
      <c r="D229">
        <v>12</v>
      </c>
      <c r="E229">
        <v>11.95</v>
      </c>
      <c r="F229" t="s">
        <v>84</v>
      </c>
      <c r="G229" t="s">
        <v>37</v>
      </c>
      <c r="H229">
        <v>0.05</v>
      </c>
      <c r="I229" t="s">
        <v>46</v>
      </c>
      <c r="J229">
        <v>136.22999999999999</v>
      </c>
      <c r="K229" t="s">
        <v>26</v>
      </c>
      <c r="L229" t="s">
        <v>48</v>
      </c>
      <c r="M229">
        <v>0</v>
      </c>
      <c r="N229" t="s">
        <v>1422</v>
      </c>
      <c r="O229" t="s">
        <v>1423</v>
      </c>
      <c r="P229">
        <v>26.66</v>
      </c>
      <c r="Q229" s="2">
        <v>45087</v>
      </c>
      <c r="R229" t="s">
        <v>787</v>
      </c>
      <c r="S229" t="s">
        <v>31</v>
      </c>
      <c r="T229" t="s">
        <v>105</v>
      </c>
      <c r="U229">
        <v>109.57</v>
      </c>
      <c r="V229">
        <v>7.169999999999999</v>
      </c>
    </row>
    <row r="230" spans="1:22" x14ac:dyDescent="0.3">
      <c r="A230" t="s">
        <v>383</v>
      </c>
      <c r="B230" t="s">
        <v>70</v>
      </c>
      <c r="C230" t="s">
        <v>71</v>
      </c>
      <c r="D230">
        <v>6</v>
      </c>
      <c r="E230">
        <v>272.26</v>
      </c>
      <c r="F230" t="s">
        <v>84</v>
      </c>
      <c r="G230" t="s">
        <v>37</v>
      </c>
      <c r="H230">
        <v>0.1</v>
      </c>
      <c r="I230" t="s">
        <v>46</v>
      </c>
      <c r="J230">
        <v>1470.2</v>
      </c>
      <c r="K230" t="s">
        <v>38</v>
      </c>
      <c r="L230" t="s">
        <v>58</v>
      </c>
      <c r="M230">
        <v>0</v>
      </c>
      <c r="N230" t="s">
        <v>1427</v>
      </c>
      <c r="O230" t="s">
        <v>1428</v>
      </c>
      <c r="P230">
        <v>43.67</v>
      </c>
      <c r="Q230" s="2">
        <v>45422</v>
      </c>
      <c r="R230" t="s">
        <v>955</v>
      </c>
      <c r="S230" t="s">
        <v>75</v>
      </c>
      <c r="T230" t="s">
        <v>63</v>
      </c>
      <c r="U230">
        <v>1426.53</v>
      </c>
      <c r="V230">
        <v>163.35599999999999</v>
      </c>
    </row>
    <row r="231" spans="1:22" x14ac:dyDescent="0.3">
      <c r="A231" t="s">
        <v>751</v>
      </c>
      <c r="B231" t="s">
        <v>54</v>
      </c>
      <c r="C231" t="s">
        <v>109</v>
      </c>
      <c r="D231">
        <v>17</v>
      </c>
      <c r="E231">
        <v>129.62</v>
      </c>
      <c r="F231" t="s">
        <v>55</v>
      </c>
      <c r="G231" t="s">
        <v>37</v>
      </c>
      <c r="H231">
        <v>0.15</v>
      </c>
      <c r="I231" t="s">
        <v>65</v>
      </c>
      <c r="J231">
        <v>1873.01</v>
      </c>
      <c r="K231" t="s">
        <v>26</v>
      </c>
      <c r="L231" t="s">
        <v>85</v>
      </c>
      <c r="M231">
        <v>0</v>
      </c>
      <c r="N231" t="s">
        <v>1429</v>
      </c>
      <c r="O231" t="s">
        <v>1430</v>
      </c>
      <c r="P231">
        <v>24.28</v>
      </c>
      <c r="Q231" s="2">
        <v>45809</v>
      </c>
      <c r="R231" t="s">
        <v>548</v>
      </c>
      <c r="S231" t="s">
        <v>62</v>
      </c>
      <c r="T231" t="s">
        <v>105</v>
      </c>
      <c r="U231">
        <v>1848.73</v>
      </c>
      <c r="V231">
        <v>330.53100000000001</v>
      </c>
    </row>
    <row r="232" spans="1:22" x14ac:dyDescent="0.3">
      <c r="A232" t="s">
        <v>285</v>
      </c>
      <c r="B232" t="s">
        <v>54</v>
      </c>
      <c r="C232" t="s">
        <v>22</v>
      </c>
      <c r="D232">
        <v>2</v>
      </c>
      <c r="E232">
        <v>438.06</v>
      </c>
      <c r="F232" t="s">
        <v>23</v>
      </c>
      <c r="G232" t="s">
        <v>37</v>
      </c>
      <c r="H232">
        <v>0</v>
      </c>
      <c r="I232" t="s">
        <v>56</v>
      </c>
      <c r="J232">
        <v>876.12</v>
      </c>
      <c r="K232" t="s">
        <v>26</v>
      </c>
      <c r="L232" t="s">
        <v>85</v>
      </c>
      <c r="M232">
        <v>1</v>
      </c>
      <c r="N232" t="s">
        <v>1439</v>
      </c>
      <c r="O232" t="s">
        <v>1440</v>
      </c>
      <c r="P232">
        <v>12.9</v>
      </c>
      <c r="Q232" s="2">
        <v>44987</v>
      </c>
      <c r="R232" t="s">
        <v>557</v>
      </c>
      <c r="S232" t="s">
        <v>62</v>
      </c>
      <c r="T232" t="s">
        <v>98</v>
      </c>
      <c r="U232">
        <v>863.22</v>
      </c>
      <c r="V232">
        <v>0</v>
      </c>
    </row>
    <row r="233" spans="1:22" x14ac:dyDescent="0.3">
      <c r="A233" t="s">
        <v>1071</v>
      </c>
      <c r="B233" t="s">
        <v>34</v>
      </c>
      <c r="C233" t="s">
        <v>100</v>
      </c>
      <c r="D233">
        <v>11</v>
      </c>
      <c r="E233">
        <v>66.97</v>
      </c>
      <c r="F233" t="s">
        <v>84</v>
      </c>
      <c r="G233" t="s">
        <v>37</v>
      </c>
      <c r="H233">
        <v>0.15</v>
      </c>
      <c r="I233" t="s">
        <v>94</v>
      </c>
      <c r="J233">
        <v>626.16999999999996</v>
      </c>
      <c r="K233" t="s">
        <v>57</v>
      </c>
      <c r="L233" t="s">
        <v>85</v>
      </c>
      <c r="M233">
        <v>1</v>
      </c>
      <c r="N233" t="s">
        <v>1441</v>
      </c>
      <c r="O233" t="s">
        <v>1442</v>
      </c>
      <c r="P233">
        <v>20.350000000000001</v>
      </c>
      <c r="Q233" s="2">
        <v>44965</v>
      </c>
      <c r="R233" t="s">
        <v>243</v>
      </c>
      <c r="S233" t="s">
        <v>42</v>
      </c>
      <c r="T233" t="s">
        <v>199</v>
      </c>
      <c r="U233">
        <v>605.81999999999994</v>
      </c>
      <c r="V233">
        <v>110.50049999999999</v>
      </c>
    </row>
    <row r="234" spans="1:22" x14ac:dyDescent="0.3">
      <c r="A234" t="s">
        <v>211</v>
      </c>
      <c r="B234" t="s">
        <v>54</v>
      </c>
      <c r="C234" t="s">
        <v>22</v>
      </c>
      <c r="D234">
        <v>4</v>
      </c>
      <c r="E234">
        <v>209.3</v>
      </c>
      <c r="F234" t="s">
        <v>23</v>
      </c>
      <c r="G234" t="s">
        <v>37</v>
      </c>
      <c r="H234">
        <v>0.05</v>
      </c>
      <c r="I234" t="s">
        <v>25</v>
      </c>
      <c r="J234">
        <v>795.34</v>
      </c>
      <c r="K234" t="s">
        <v>57</v>
      </c>
      <c r="L234" t="s">
        <v>48</v>
      </c>
      <c r="M234">
        <v>0</v>
      </c>
      <c r="N234" t="s">
        <v>1449</v>
      </c>
      <c r="O234" t="s">
        <v>1450</v>
      </c>
      <c r="P234">
        <v>6.89</v>
      </c>
      <c r="Q234" s="2">
        <v>45660</v>
      </c>
      <c r="R234" t="s">
        <v>172</v>
      </c>
      <c r="S234" t="s">
        <v>62</v>
      </c>
      <c r="T234" t="s">
        <v>187</v>
      </c>
      <c r="U234">
        <v>788.45</v>
      </c>
      <c r="V234">
        <v>41.860000000000007</v>
      </c>
    </row>
    <row r="235" spans="1:22" x14ac:dyDescent="0.3">
      <c r="A235" t="s">
        <v>33</v>
      </c>
      <c r="B235" t="s">
        <v>70</v>
      </c>
      <c r="C235" t="s">
        <v>127</v>
      </c>
      <c r="D235">
        <v>13</v>
      </c>
      <c r="E235">
        <v>515.41999999999996</v>
      </c>
      <c r="F235" t="s">
        <v>55</v>
      </c>
      <c r="G235" t="s">
        <v>37</v>
      </c>
      <c r="H235">
        <v>0</v>
      </c>
      <c r="I235" t="s">
        <v>94</v>
      </c>
      <c r="J235">
        <v>6700.46</v>
      </c>
      <c r="K235" t="s">
        <v>26</v>
      </c>
      <c r="L235" t="s">
        <v>85</v>
      </c>
      <c r="M235">
        <v>0</v>
      </c>
      <c r="N235" t="s">
        <v>1451</v>
      </c>
      <c r="O235" t="s">
        <v>1452</v>
      </c>
      <c r="P235">
        <v>43.37</v>
      </c>
      <c r="Q235" s="2">
        <v>45231</v>
      </c>
      <c r="R235" t="s">
        <v>456</v>
      </c>
      <c r="S235" t="s">
        <v>75</v>
      </c>
      <c r="T235" t="s">
        <v>43</v>
      </c>
      <c r="U235">
        <v>6657.09</v>
      </c>
      <c r="V235">
        <v>0</v>
      </c>
    </row>
    <row r="236" spans="1:22" x14ac:dyDescent="0.3">
      <c r="A236" t="s">
        <v>1010</v>
      </c>
      <c r="B236" t="s">
        <v>45</v>
      </c>
      <c r="C236" t="s">
        <v>127</v>
      </c>
      <c r="D236">
        <v>17</v>
      </c>
      <c r="E236">
        <v>376.15</v>
      </c>
      <c r="F236" t="s">
        <v>36</v>
      </c>
      <c r="G236" t="s">
        <v>37</v>
      </c>
      <c r="H236">
        <v>0.05</v>
      </c>
      <c r="I236" t="s">
        <v>78</v>
      </c>
      <c r="J236">
        <v>6074.82</v>
      </c>
      <c r="K236" t="s">
        <v>57</v>
      </c>
      <c r="L236" t="s">
        <v>27</v>
      </c>
      <c r="M236">
        <v>1</v>
      </c>
      <c r="N236" t="s">
        <v>1453</v>
      </c>
      <c r="O236" t="s">
        <v>1454</v>
      </c>
      <c r="P236">
        <v>31.96</v>
      </c>
      <c r="Q236" s="2">
        <v>45538</v>
      </c>
      <c r="R236" t="s">
        <v>191</v>
      </c>
      <c r="S236" t="s">
        <v>51</v>
      </c>
      <c r="T236" t="s">
        <v>52</v>
      </c>
      <c r="U236">
        <v>6042.86</v>
      </c>
      <c r="V236">
        <v>319.72749999999996</v>
      </c>
    </row>
    <row r="237" spans="1:22" x14ac:dyDescent="0.3">
      <c r="A237" t="s">
        <v>423</v>
      </c>
      <c r="B237" t="s">
        <v>34</v>
      </c>
      <c r="C237" t="s">
        <v>35</v>
      </c>
      <c r="D237">
        <v>7</v>
      </c>
      <c r="E237">
        <v>562.6</v>
      </c>
      <c r="F237" t="s">
        <v>84</v>
      </c>
      <c r="G237" t="s">
        <v>37</v>
      </c>
      <c r="H237">
        <v>0.15</v>
      </c>
      <c r="I237" t="s">
        <v>65</v>
      </c>
      <c r="J237">
        <v>3347.47</v>
      </c>
      <c r="K237" t="s">
        <v>26</v>
      </c>
      <c r="L237" t="s">
        <v>27</v>
      </c>
      <c r="M237">
        <v>0</v>
      </c>
      <c r="N237" t="s">
        <v>1464</v>
      </c>
      <c r="O237" t="s">
        <v>1465</v>
      </c>
      <c r="P237">
        <v>19.95</v>
      </c>
      <c r="Q237" s="2">
        <v>45505</v>
      </c>
      <c r="R237" t="s">
        <v>739</v>
      </c>
      <c r="S237" t="s">
        <v>42</v>
      </c>
      <c r="T237" t="s">
        <v>82</v>
      </c>
      <c r="U237">
        <v>3327.52</v>
      </c>
      <c r="V237">
        <v>590.73</v>
      </c>
    </row>
    <row r="238" spans="1:22" x14ac:dyDescent="0.3">
      <c r="A238" t="s">
        <v>729</v>
      </c>
      <c r="B238" t="s">
        <v>21</v>
      </c>
      <c r="C238" t="s">
        <v>127</v>
      </c>
      <c r="D238">
        <v>7</v>
      </c>
      <c r="E238">
        <v>14.34</v>
      </c>
      <c r="F238" t="s">
        <v>55</v>
      </c>
      <c r="G238" t="s">
        <v>37</v>
      </c>
      <c r="H238">
        <v>0.05</v>
      </c>
      <c r="I238" t="s">
        <v>25</v>
      </c>
      <c r="J238">
        <v>95.36</v>
      </c>
      <c r="K238" t="s">
        <v>38</v>
      </c>
      <c r="L238" t="s">
        <v>27</v>
      </c>
      <c r="M238">
        <v>0</v>
      </c>
      <c r="N238" t="s">
        <v>1466</v>
      </c>
      <c r="O238" t="s">
        <v>154</v>
      </c>
      <c r="P238">
        <v>19.45</v>
      </c>
      <c r="Q238" s="2">
        <v>45418</v>
      </c>
      <c r="R238" t="s">
        <v>714</v>
      </c>
      <c r="S238" t="s">
        <v>31</v>
      </c>
      <c r="T238" t="s">
        <v>63</v>
      </c>
      <c r="U238">
        <v>75.91</v>
      </c>
      <c r="V238">
        <v>5.0190000000000001</v>
      </c>
    </row>
    <row r="239" spans="1:22" x14ac:dyDescent="0.3">
      <c r="A239" t="s">
        <v>711</v>
      </c>
      <c r="B239" t="s">
        <v>45</v>
      </c>
      <c r="C239" t="s">
        <v>140</v>
      </c>
      <c r="D239">
        <v>18</v>
      </c>
      <c r="E239">
        <v>519.41999999999996</v>
      </c>
      <c r="F239" t="s">
        <v>36</v>
      </c>
      <c r="G239" t="s">
        <v>37</v>
      </c>
      <c r="H239">
        <v>0.15</v>
      </c>
      <c r="I239" t="s">
        <v>65</v>
      </c>
      <c r="J239">
        <v>7947.13</v>
      </c>
      <c r="K239" t="s">
        <v>47</v>
      </c>
      <c r="L239" t="s">
        <v>27</v>
      </c>
      <c r="M239">
        <v>0</v>
      </c>
      <c r="N239" t="s">
        <v>1471</v>
      </c>
      <c r="O239" t="s">
        <v>1472</v>
      </c>
      <c r="P239">
        <v>32.96</v>
      </c>
      <c r="Q239" s="2">
        <v>45328</v>
      </c>
      <c r="R239" t="s">
        <v>143</v>
      </c>
      <c r="S239" t="s">
        <v>51</v>
      </c>
      <c r="T239" t="s">
        <v>199</v>
      </c>
      <c r="U239">
        <v>7914.17</v>
      </c>
      <c r="V239">
        <v>1402.434</v>
      </c>
    </row>
    <row r="240" spans="1:22" x14ac:dyDescent="0.3">
      <c r="A240" t="s">
        <v>608</v>
      </c>
      <c r="B240" t="s">
        <v>21</v>
      </c>
      <c r="C240" t="s">
        <v>140</v>
      </c>
      <c r="D240">
        <v>11</v>
      </c>
      <c r="E240">
        <v>550.86</v>
      </c>
      <c r="F240" t="s">
        <v>36</v>
      </c>
      <c r="G240" t="s">
        <v>37</v>
      </c>
      <c r="H240">
        <v>0.1</v>
      </c>
      <c r="I240" t="s">
        <v>94</v>
      </c>
      <c r="J240">
        <v>5453.51</v>
      </c>
      <c r="K240" t="s">
        <v>26</v>
      </c>
      <c r="L240" t="s">
        <v>85</v>
      </c>
      <c r="M240">
        <v>0</v>
      </c>
      <c r="N240" t="s">
        <v>1479</v>
      </c>
      <c r="O240" t="s">
        <v>1480</v>
      </c>
      <c r="P240">
        <v>21.82</v>
      </c>
      <c r="Q240" s="2">
        <v>45110</v>
      </c>
      <c r="R240" t="s">
        <v>916</v>
      </c>
      <c r="S240" t="s">
        <v>31</v>
      </c>
      <c r="T240" t="s">
        <v>117</v>
      </c>
      <c r="U240">
        <v>5431.6900000000005</v>
      </c>
      <c r="V240">
        <v>605.94600000000003</v>
      </c>
    </row>
    <row r="241" spans="1:22" x14ac:dyDescent="0.3">
      <c r="A241" t="s">
        <v>900</v>
      </c>
      <c r="B241" t="s">
        <v>34</v>
      </c>
      <c r="C241" t="s">
        <v>140</v>
      </c>
      <c r="D241">
        <v>10</v>
      </c>
      <c r="E241">
        <v>67.38</v>
      </c>
      <c r="F241" t="s">
        <v>36</v>
      </c>
      <c r="G241" t="s">
        <v>37</v>
      </c>
      <c r="H241">
        <v>0.1</v>
      </c>
      <c r="I241" t="s">
        <v>78</v>
      </c>
      <c r="J241">
        <v>606.41999999999996</v>
      </c>
      <c r="K241" t="s">
        <v>57</v>
      </c>
      <c r="L241" t="s">
        <v>85</v>
      </c>
      <c r="M241">
        <v>1</v>
      </c>
      <c r="N241" t="s">
        <v>1483</v>
      </c>
      <c r="O241" t="s">
        <v>142</v>
      </c>
      <c r="P241">
        <v>20.58</v>
      </c>
      <c r="Q241" s="2">
        <v>45871</v>
      </c>
      <c r="R241" t="s">
        <v>1484</v>
      </c>
      <c r="S241" t="s">
        <v>42</v>
      </c>
      <c r="T241" t="s">
        <v>82</v>
      </c>
      <c r="U241">
        <v>585.83999999999992</v>
      </c>
      <c r="V241">
        <v>67.38</v>
      </c>
    </row>
    <row r="242" spans="1:22" x14ac:dyDescent="0.3">
      <c r="A242" t="s">
        <v>191</v>
      </c>
      <c r="B242" t="s">
        <v>45</v>
      </c>
      <c r="C242" t="s">
        <v>109</v>
      </c>
      <c r="D242">
        <v>1</v>
      </c>
      <c r="E242">
        <v>534.61</v>
      </c>
      <c r="F242" t="s">
        <v>55</v>
      </c>
      <c r="G242" t="s">
        <v>37</v>
      </c>
      <c r="H242">
        <v>0.05</v>
      </c>
      <c r="I242" t="s">
        <v>56</v>
      </c>
      <c r="J242">
        <v>507.88</v>
      </c>
      <c r="K242" t="s">
        <v>26</v>
      </c>
      <c r="L242" t="s">
        <v>58</v>
      </c>
      <c r="M242">
        <v>0</v>
      </c>
      <c r="N242" t="s">
        <v>1487</v>
      </c>
      <c r="O242" t="s">
        <v>1488</v>
      </c>
      <c r="P242">
        <v>22.68</v>
      </c>
      <c r="Q242" s="2">
        <v>45629</v>
      </c>
      <c r="R242" t="s">
        <v>1489</v>
      </c>
      <c r="S242" t="s">
        <v>51</v>
      </c>
      <c r="T242" t="s">
        <v>76</v>
      </c>
      <c r="U242">
        <v>485.2</v>
      </c>
      <c r="V242">
        <v>26.730500000000003</v>
      </c>
    </row>
    <row r="243" spans="1:22" x14ac:dyDescent="0.3">
      <c r="A243" t="s">
        <v>1490</v>
      </c>
      <c r="B243" t="s">
        <v>70</v>
      </c>
      <c r="C243" t="s">
        <v>71</v>
      </c>
      <c r="D243">
        <v>9</v>
      </c>
      <c r="E243">
        <v>560.04</v>
      </c>
      <c r="F243" t="s">
        <v>55</v>
      </c>
      <c r="G243" t="s">
        <v>37</v>
      </c>
      <c r="H243">
        <v>0.05</v>
      </c>
      <c r="I243" t="s">
        <v>46</v>
      </c>
      <c r="J243">
        <v>4788.34</v>
      </c>
      <c r="K243" t="s">
        <v>57</v>
      </c>
      <c r="L243" t="s">
        <v>27</v>
      </c>
      <c r="M243">
        <v>0</v>
      </c>
      <c r="N243" t="s">
        <v>1491</v>
      </c>
      <c r="O243" t="s">
        <v>1492</v>
      </c>
      <c r="P243">
        <v>22.81</v>
      </c>
      <c r="Q243" s="2">
        <v>45358</v>
      </c>
      <c r="R243" t="s">
        <v>217</v>
      </c>
      <c r="S243" t="s">
        <v>75</v>
      </c>
      <c r="T243" t="s">
        <v>98</v>
      </c>
      <c r="U243">
        <v>4765.53</v>
      </c>
      <c r="V243">
        <v>252.018</v>
      </c>
    </row>
    <row r="244" spans="1:22" x14ac:dyDescent="0.3">
      <c r="A244" t="s">
        <v>1476</v>
      </c>
      <c r="B244" t="s">
        <v>21</v>
      </c>
      <c r="C244" t="s">
        <v>100</v>
      </c>
      <c r="D244">
        <v>8</v>
      </c>
      <c r="E244">
        <v>275.32</v>
      </c>
      <c r="F244" t="s">
        <v>55</v>
      </c>
      <c r="G244" t="s">
        <v>37</v>
      </c>
      <c r="H244">
        <v>0.1</v>
      </c>
      <c r="I244" t="s">
        <v>78</v>
      </c>
      <c r="J244">
        <v>1982.3</v>
      </c>
      <c r="K244" t="s">
        <v>47</v>
      </c>
      <c r="L244" t="s">
        <v>58</v>
      </c>
      <c r="M244">
        <v>0</v>
      </c>
      <c r="N244" t="s">
        <v>1493</v>
      </c>
      <c r="O244" t="s">
        <v>1494</v>
      </c>
      <c r="P244">
        <v>18.260000000000002</v>
      </c>
      <c r="Q244" s="2">
        <v>45778</v>
      </c>
      <c r="R244" t="s">
        <v>837</v>
      </c>
      <c r="S244" t="s">
        <v>31</v>
      </c>
      <c r="T244" t="s">
        <v>63</v>
      </c>
      <c r="U244">
        <v>1964.04</v>
      </c>
      <c r="V244">
        <v>220.256</v>
      </c>
    </row>
    <row r="245" spans="1:22" x14ac:dyDescent="0.3">
      <c r="A245" t="s">
        <v>1236</v>
      </c>
      <c r="B245" t="s">
        <v>45</v>
      </c>
      <c r="C245" t="s">
        <v>109</v>
      </c>
      <c r="D245">
        <v>18</v>
      </c>
      <c r="E245">
        <v>595.53</v>
      </c>
      <c r="F245" t="s">
        <v>23</v>
      </c>
      <c r="G245" t="s">
        <v>37</v>
      </c>
      <c r="H245">
        <v>0</v>
      </c>
      <c r="I245" t="s">
        <v>56</v>
      </c>
      <c r="J245">
        <v>10719.54</v>
      </c>
      <c r="K245" t="s">
        <v>47</v>
      </c>
      <c r="L245" t="s">
        <v>27</v>
      </c>
      <c r="M245">
        <v>0</v>
      </c>
      <c r="N245" t="s">
        <v>1497</v>
      </c>
      <c r="O245" t="s">
        <v>1498</v>
      </c>
      <c r="P245">
        <v>42.91</v>
      </c>
      <c r="Q245" s="2">
        <v>45384</v>
      </c>
      <c r="R245" t="s">
        <v>1499</v>
      </c>
      <c r="S245" t="s">
        <v>51</v>
      </c>
      <c r="T245" t="s">
        <v>147</v>
      </c>
      <c r="U245">
        <v>10676.630000000001</v>
      </c>
      <c r="V245">
        <v>0</v>
      </c>
    </row>
    <row r="246" spans="1:22" x14ac:dyDescent="0.3">
      <c r="A246" t="s">
        <v>1090</v>
      </c>
      <c r="B246" t="s">
        <v>54</v>
      </c>
      <c r="C246" t="s">
        <v>109</v>
      </c>
      <c r="D246">
        <v>19</v>
      </c>
      <c r="E246">
        <v>431.47</v>
      </c>
      <c r="F246" t="s">
        <v>84</v>
      </c>
      <c r="G246" t="s">
        <v>37</v>
      </c>
      <c r="H246">
        <v>0.1</v>
      </c>
      <c r="I246" t="s">
        <v>65</v>
      </c>
      <c r="J246">
        <v>7378.14</v>
      </c>
      <c r="K246" t="s">
        <v>57</v>
      </c>
      <c r="L246" t="s">
        <v>27</v>
      </c>
      <c r="M246">
        <v>0</v>
      </c>
      <c r="N246" t="s">
        <v>1500</v>
      </c>
      <c r="O246" t="s">
        <v>1501</v>
      </c>
      <c r="P246">
        <v>49.23</v>
      </c>
      <c r="Q246" s="2">
        <v>45055</v>
      </c>
      <c r="R246" t="s">
        <v>652</v>
      </c>
      <c r="S246" t="s">
        <v>62</v>
      </c>
      <c r="T246" t="s">
        <v>63</v>
      </c>
      <c r="U246">
        <v>7328.9100000000008</v>
      </c>
      <c r="V246">
        <v>819.79300000000012</v>
      </c>
    </row>
    <row r="247" spans="1:22" x14ac:dyDescent="0.3">
      <c r="A247" t="s">
        <v>1129</v>
      </c>
      <c r="B247" t="s">
        <v>54</v>
      </c>
      <c r="C247" t="s">
        <v>140</v>
      </c>
      <c r="D247">
        <v>19</v>
      </c>
      <c r="E247">
        <v>67.489999999999995</v>
      </c>
      <c r="F247" t="s">
        <v>36</v>
      </c>
      <c r="G247" t="s">
        <v>37</v>
      </c>
      <c r="H247">
        <v>0</v>
      </c>
      <c r="I247" t="s">
        <v>56</v>
      </c>
      <c r="J247">
        <v>1282.31</v>
      </c>
      <c r="K247" t="s">
        <v>38</v>
      </c>
      <c r="L247" t="s">
        <v>58</v>
      </c>
      <c r="M247">
        <v>0</v>
      </c>
      <c r="N247" t="s">
        <v>1502</v>
      </c>
      <c r="O247" t="s">
        <v>1503</v>
      </c>
      <c r="P247">
        <v>32.04</v>
      </c>
      <c r="Q247" s="2">
        <v>44934</v>
      </c>
      <c r="R247" t="s">
        <v>243</v>
      </c>
      <c r="S247" t="s">
        <v>62</v>
      </c>
      <c r="T247" t="s">
        <v>187</v>
      </c>
      <c r="U247">
        <v>1250.27</v>
      </c>
      <c r="V247">
        <v>0</v>
      </c>
    </row>
    <row r="248" spans="1:22" x14ac:dyDescent="0.3">
      <c r="A248" t="s">
        <v>826</v>
      </c>
      <c r="B248" t="s">
        <v>45</v>
      </c>
      <c r="C248" t="s">
        <v>109</v>
      </c>
      <c r="D248">
        <v>11</v>
      </c>
      <c r="E248">
        <v>25.67</v>
      </c>
      <c r="F248" t="s">
        <v>36</v>
      </c>
      <c r="G248" t="s">
        <v>37</v>
      </c>
      <c r="H248">
        <v>0.15</v>
      </c>
      <c r="I248" t="s">
        <v>46</v>
      </c>
      <c r="J248">
        <v>240.01</v>
      </c>
      <c r="K248" t="s">
        <v>101</v>
      </c>
      <c r="L248" t="s">
        <v>58</v>
      </c>
      <c r="M248">
        <v>0</v>
      </c>
      <c r="N248" t="s">
        <v>1504</v>
      </c>
      <c r="O248" t="s">
        <v>1505</v>
      </c>
      <c r="P248">
        <v>30.12</v>
      </c>
      <c r="Q248" s="2">
        <v>45078</v>
      </c>
      <c r="R248" t="s">
        <v>276</v>
      </c>
      <c r="S248" t="s">
        <v>51</v>
      </c>
      <c r="T248" t="s">
        <v>105</v>
      </c>
      <c r="U248">
        <v>209.89</v>
      </c>
      <c r="V248">
        <v>42.355499999999999</v>
      </c>
    </row>
    <row r="249" spans="1:22" x14ac:dyDescent="0.3">
      <c r="A249" t="s">
        <v>693</v>
      </c>
      <c r="B249" t="s">
        <v>45</v>
      </c>
      <c r="C249" t="s">
        <v>35</v>
      </c>
      <c r="D249">
        <v>9</v>
      </c>
      <c r="E249">
        <v>267.60000000000002</v>
      </c>
      <c r="F249" t="s">
        <v>55</v>
      </c>
      <c r="G249" t="s">
        <v>37</v>
      </c>
      <c r="H249">
        <v>0.15</v>
      </c>
      <c r="I249" t="s">
        <v>65</v>
      </c>
      <c r="J249">
        <v>2047.14</v>
      </c>
      <c r="K249" t="s">
        <v>101</v>
      </c>
      <c r="L249" t="s">
        <v>85</v>
      </c>
      <c r="M249">
        <v>0</v>
      </c>
      <c r="N249" t="s">
        <v>1512</v>
      </c>
      <c r="O249" t="s">
        <v>1513</v>
      </c>
      <c r="P249">
        <v>8.48</v>
      </c>
      <c r="Q249" s="2">
        <v>45416</v>
      </c>
      <c r="R249" t="s">
        <v>64</v>
      </c>
      <c r="S249" t="s">
        <v>51</v>
      </c>
      <c r="T249" t="s">
        <v>63</v>
      </c>
      <c r="U249">
        <v>2038.66</v>
      </c>
      <c r="V249">
        <v>361.26</v>
      </c>
    </row>
    <row r="250" spans="1:22" x14ac:dyDescent="0.3">
      <c r="A250" t="s">
        <v>590</v>
      </c>
      <c r="B250" t="s">
        <v>70</v>
      </c>
      <c r="C250" t="s">
        <v>140</v>
      </c>
      <c r="D250">
        <v>11</v>
      </c>
      <c r="E250">
        <v>199.57</v>
      </c>
      <c r="F250" t="s">
        <v>84</v>
      </c>
      <c r="G250" t="s">
        <v>37</v>
      </c>
      <c r="H250">
        <v>0.05</v>
      </c>
      <c r="I250" t="s">
        <v>94</v>
      </c>
      <c r="J250">
        <v>2085.5100000000002</v>
      </c>
      <c r="K250" t="s">
        <v>38</v>
      </c>
      <c r="L250" t="s">
        <v>58</v>
      </c>
      <c r="M250">
        <v>0</v>
      </c>
      <c r="N250" t="s">
        <v>1514</v>
      </c>
      <c r="O250" t="s">
        <v>1486</v>
      </c>
      <c r="P250">
        <v>48.94</v>
      </c>
      <c r="Q250" s="2">
        <v>45271</v>
      </c>
      <c r="R250" t="s">
        <v>1515</v>
      </c>
      <c r="S250" t="s">
        <v>75</v>
      </c>
      <c r="T250" t="s">
        <v>76</v>
      </c>
      <c r="U250">
        <v>2036.5700000000002</v>
      </c>
      <c r="V250">
        <v>109.76350000000001</v>
      </c>
    </row>
    <row r="251" spans="1:22" x14ac:dyDescent="0.3">
      <c r="A251" t="s">
        <v>533</v>
      </c>
      <c r="B251" t="s">
        <v>54</v>
      </c>
      <c r="C251" t="s">
        <v>71</v>
      </c>
      <c r="D251">
        <v>14</v>
      </c>
      <c r="E251">
        <v>142.05000000000001</v>
      </c>
      <c r="F251" t="s">
        <v>55</v>
      </c>
      <c r="G251" t="s">
        <v>37</v>
      </c>
      <c r="H251">
        <v>0.05</v>
      </c>
      <c r="I251" t="s">
        <v>56</v>
      </c>
      <c r="J251">
        <v>1889.27</v>
      </c>
      <c r="K251" t="s">
        <v>57</v>
      </c>
      <c r="L251" t="s">
        <v>58</v>
      </c>
      <c r="M251">
        <v>0</v>
      </c>
      <c r="N251" t="s">
        <v>1522</v>
      </c>
      <c r="O251" t="s">
        <v>1523</v>
      </c>
      <c r="P251">
        <v>33.65</v>
      </c>
      <c r="Q251" s="2">
        <v>45843</v>
      </c>
      <c r="R251" t="s">
        <v>1138</v>
      </c>
      <c r="S251" t="s">
        <v>62</v>
      </c>
      <c r="T251" t="s">
        <v>117</v>
      </c>
      <c r="U251">
        <v>1855.62</v>
      </c>
      <c r="V251">
        <v>99.435000000000016</v>
      </c>
    </row>
    <row r="252" spans="1:22" x14ac:dyDescent="0.3">
      <c r="A252" t="s">
        <v>410</v>
      </c>
      <c r="B252" t="s">
        <v>70</v>
      </c>
      <c r="C252" t="s">
        <v>22</v>
      </c>
      <c r="D252">
        <v>7</v>
      </c>
      <c r="E252">
        <v>122.2</v>
      </c>
      <c r="F252" t="s">
        <v>23</v>
      </c>
      <c r="G252" t="s">
        <v>37</v>
      </c>
      <c r="H252">
        <v>0</v>
      </c>
      <c r="I252" t="s">
        <v>46</v>
      </c>
      <c r="J252">
        <v>855.4</v>
      </c>
      <c r="K252" t="s">
        <v>101</v>
      </c>
      <c r="L252" t="s">
        <v>48</v>
      </c>
      <c r="M252">
        <v>0</v>
      </c>
      <c r="N252" t="s">
        <v>1526</v>
      </c>
      <c r="O252" t="s">
        <v>1527</v>
      </c>
      <c r="P252">
        <v>30.21</v>
      </c>
      <c r="Q252" s="2">
        <v>45663</v>
      </c>
      <c r="R252" t="s">
        <v>413</v>
      </c>
      <c r="S252" t="s">
        <v>75</v>
      </c>
      <c r="T252" t="s">
        <v>187</v>
      </c>
      <c r="U252">
        <v>825.18999999999994</v>
      </c>
      <c r="V252">
        <v>0</v>
      </c>
    </row>
    <row r="253" spans="1:22" x14ac:dyDescent="0.3">
      <c r="A253" t="s">
        <v>1532</v>
      </c>
      <c r="B253" t="s">
        <v>45</v>
      </c>
      <c r="C253" t="s">
        <v>140</v>
      </c>
      <c r="D253">
        <v>13</v>
      </c>
      <c r="E253">
        <v>365.11</v>
      </c>
      <c r="F253" t="s">
        <v>36</v>
      </c>
      <c r="G253" t="s">
        <v>37</v>
      </c>
      <c r="H253">
        <v>0.05</v>
      </c>
      <c r="I253" t="s">
        <v>78</v>
      </c>
      <c r="J253">
        <v>4509.1099999999997</v>
      </c>
      <c r="K253" t="s">
        <v>26</v>
      </c>
      <c r="L253" t="s">
        <v>48</v>
      </c>
      <c r="M253">
        <v>0</v>
      </c>
      <c r="N253" t="s">
        <v>1533</v>
      </c>
      <c r="O253" t="s">
        <v>1534</v>
      </c>
      <c r="P253">
        <v>13.97</v>
      </c>
      <c r="Q253" s="2">
        <v>45484</v>
      </c>
      <c r="R253" t="s">
        <v>308</v>
      </c>
      <c r="S253" t="s">
        <v>51</v>
      </c>
      <c r="T253" t="s">
        <v>117</v>
      </c>
      <c r="U253">
        <v>4495.1399999999994</v>
      </c>
      <c r="V253">
        <v>237.32150000000001</v>
      </c>
    </row>
    <row r="254" spans="1:22" x14ac:dyDescent="0.3">
      <c r="A254" t="s">
        <v>293</v>
      </c>
      <c r="B254" t="s">
        <v>54</v>
      </c>
      <c r="C254" t="s">
        <v>35</v>
      </c>
      <c r="D254">
        <v>6</v>
      </c>
      <c r="E254">
        <v>543.89</v>
      </c>
      <c r="F254" t="s">
        <v>36</v>
      </c>
      <c r="G254" t="s">
        <v>37</v>
      </c>
      <c r="H254">
        <v>0</v>
      </c>
      <c r="I254" t="s">
        <v>94</v>
      </c>
      <c r="J254">
        <v>3263.34</v>
      </c>
      <c r="K254" t="s">
        <v>47</v>
      </c>
      <c r="L254" t="s">
        <v>48</v>
      </c>
      <c r="M254">
        <v>1</v>
      </c>
      <c r="N254" t="s">
        <v>1535</v>
      </c>
      <c r="O254" t="s">
        <v>1536</v>
      </c>
      <c r="P254">
        <v>13.19</v>
      </c>
      <c r="Q254" s="2">
        <v>45203</v>
      </c>
      <c r="R254" t="s">
        <v>332</v>
      </c>
      <c r="S254" t="s">
        <v>62</v>
      </c>
      <c r="T254" t="s">
        <v>32</v>
      </c>
      <c r="U254">
        <v>3250.15</v>
      </c>
      <c r="V254">
        <v>0</v>
      </c>
    </row>
    <row r="255" spans="1:22" x14ac:dyDescent="0.3">
      <c r="A255" t="s">
        <v>1061</v>
      </c>
      <c r="B255" t="s">
        <v>21</v>
      </c>
      <c r="C255" t="s">
        <v>140</v>
      </c>
      <c r="D255">
        <v>19</v>
      </c>
      <c r="E255">
        <v>219.7</v>
      </c>
      <c r="F255" t="s">
        <v>84</v>
      </c>
      <c r="G255" t="s">
        <v>37</v>
      </c>
      <c r="H255">
        <v>0</v>
      </c>
      <c r="I255" t="s">
        <v>25</v>
      </c>
      <c r="J255">
        <v>4174.3</v>
      </c>
      <c r="K255" t="s">
        <v>47</v>
      </c>
      <c r="L255" t="s">
        <v>85</v>
      </c>
      <c r="M255">
        <v>0</v>
      </c>
      <c r="N255" t="s">
        <v>1537</v>
      </c>
      <c r="O255" t="s">
        <v>1538</v>
      </c>
      <c r="P255">
        <v>15.38</v>
      </c>
      <c r="Q255" s="2">
        <v>45566</v>
      </c>
      <c r="R255" t="s">
        <v>903</v>
      </c>
      <c r="S255" t="s">
        <v>31</v>
      </c>
      <c r="T255" t="s">
        <v>32</v>
      </c>
      <c r="U255">
        <v>4158.92</v>
      </c>
      <c r="V255">
        <v>0</v>
      </c>
    </row>
    <row r="256" spans="1:22" x14ac:dyDescent="0.3">
      <c r="A256" t="s">
        <v>579</v>
      </c>
      <c r="B256" t="s">
        <v>54</v>
      </c>
      <c r="C256" t="s">
        <v>22</v>
      </c>
      <c r="D256">
        <v>2</v>
      </c>
      <c r="E256">
        <v>504.82</v>
      </c>
      <c r="F256" t="s">
        <v>55</v>
      </c>
      <c r="G256" t="s">
        <v>37</v>
      </c>
      <c r="H256">
        <v>0</v>
      </c>
      <c r="I256" t="s">
        <v>46</v>
      </c>
      <c r="J256">
        <v>1009.64</v>
      </c>
      <c r="K256" t="s">
        <v>38</v>
      </c>
      <c r="L256" t="s">
        <v>85</v>
      </c>
      <c r="M256">
        <v>0</v>
      </c>
      <c r="N256" t="s">
        <v>1549</v>
      </c>
      <c r="O256" t="s">
        <v>1550</v>
      </c>
      <c r="P256">
        <v>25.54</v>
      </c>
      <c r="Q256" s="2">
        <v>44992</v>
      </c>
      <c r="R256" t="s">
        <v>1551</v>
      </c>
      <c r="S256" t="s">
        <v>62</v>
      </c>
      <c r="T256" t="s">
        <v>98</v>
      </c>
      <c r="U256">
        <v>984.1</v>
      </c>
      <c r="V256">
        <v>0</v>
      </c>
    </row>
    <row r="257" spans="1:22" x14ac:dyDescent="0.3">
      <c r="A257" t="s">
        <v>583</v>
      </c>
      <c r="B257" t="s">
        <v>54</v>
      </c>
      <c r="C257" t="s">
        <v>127</v>
      </c>
      <c r="D257">
        <v>12</v>
      </c>
      <c r="E257">
        <v>312.72000000000003</v>
      </c>
      <c r="F257" t="s">
        <v>36</v>
      </c>
      <c r="G257" t="s">
        <v>37</v>
      </c>
      <c r="H257">
        <v>0</v>
      </c>
      <c r="I257" t="s">
        <v>65</v>
      </c>
      <c r="J257">
        <v>3752.64</v>
      </c>
      <c r="K257" t="s">
        <v>57</v>
      </c>
      <c r="L257" t="s">
        <v>48</v>
      </c>
      <c r="M257">
        <v>0</v>
      </c>
      <c r="N257" t="s">
        <v>1555</v>
      </c>
      <c r="O257" t="s">
        <v>1556</v>
      </c>
      <c r="P257">
        <v>18.46</v>
      </c>
      <c r="Q257" s="2">
        <v>45904</v>
      </c>
      <c r="R257" t="s">
        <v>586</v>
      </c>
      <c r="S257" t="s">
        <v>62</v>
      </c>
      <c r="T257" t="s">
        <v>52</v>
      </c>
      <c r="U257">
        <v>3734.18</v>
      </c>
      <c r="V257">
        <v>0</v>
      </c>
    </row>
    <row r="258" spans="1:22" x14ac:dyDescent="0.3">
      <c r="A258" t="s">
        <v>1099</v>
      </c>
      <c r="B258" t="s">
        <v>34</v>
      </c>
      <c r="C258" t="s">
        <v>109</v>
      </c>
      <c r="D258">
        <v>9</v>
      </c>
      <c r="E258">
        <v>543.57000000000005</v>
      </c>
      <c r="F258" t="s">
        <v>55</v>
      </c>
      <c r="G258" t="s">
        <v>37</v>
      </c>
      <c r="H258">
        <v>0.15</v>
      </c>
      <c r="I258" t="s">
        <v>78</v>
      </c>
      <c r="J258">
        <v>4158.3100000000004</v>
      </c>
      <c r="K258" t="s">
        <v>38</v>
      </c>
      <c r="L258" t="s">
        <v>58</v>
      </c>
      <c r="M258">
        <v>0</v>
      </c>
      <c r="N258" t="s">
        <v>1559</v>
      </c>
      <c r="O258" t="s">
        <v>1560</v>
      </c>
      <c r="P258">
        <v>7.54</v>
      </c>
      <c r="Q258" s="2">
        <v>45812</v>
      </c>
      <c r="R258" t="s">
        <v>1561</v>
      </c>
      <c r="S258" t="s">
        <v>42</v>
      </c>
      <c r="T258" t="s">
        <v>105</v>
      </c>
      <c r="U258">
        <v>4150.7700000000004</v>
      </c>
      <c r="V258">
        <v>733.81949999999995</v>
      </c>
    </row>
    <row r="259" spans="1:22" x14ac:dyDescent="0.3">
      <c r="A259" t="s">
        <v>1567</v>
      </c>
      <c r="B259" t="s">
        <v>21</v>
      </c>
      <c r="C259" t="s">
        <v>71</v>
      </c>
      <c r="D259">
        <v>7</v>
      </c>
      <c r="E259">
        <v>82.91</v>
      </c>
      <c r="F259" t="s">
        <v>84</v>
      </c>
      <c r="G259" t="s">
        <v>37</v>
      </c>
      <c r="H259">
        <v>0.05</v>
      </c>
      <c r="I259" t="s">
        <v>65</v>
      </c>
      <c r="J259">
        <v>551.35</v>
      </c>
      <c r="K259" t="s">
        <v>38</v>
      </c>
      <c r="L259" t="s">
        <v>27</v>
      </c>
      <c r="M259">
        <v>1</v>
      </c>
      <c r="N259" t="s">
        <v>1568</v>
      </c>
      <c r="O259" t="s">
        <v>1569</v>
      </c>
      <c r="P259">
        <v>17.03</v>
      </c>
      <c r="Q259" s="2">
        <v>45112</v>
      </c>
      <c r="R259" t="s">
        <v>112</v>
      </c>
      <c r="S259" t="s">
        <v>31</v>
      </c>
      <c r="T259" t="s">
        <v>117</v>
      </c>
      <c r="U259">
        <v>534.32000000000005</v>
      </c>
      <c r="V259">
        <v>29.018500000000003</v>
      </c>
    </row>
    <row r="260" spans="1:22" x14ac:dyDescent="0.3">
      <c r="A260" t="s">
        <v>182</v>
      </c>
      <c r="B260" t="s">
        <v>21</v>
      </c>
      <c r="C260" t="s">
        <v>71</v>
      </c>
      <c r="D260">
        <v>13</v>
      </c>
      <c r="E260">
        <v>468.16</v>
      </c>
      <c r="F260" t="s">
        <v>23</v>
      </c>
      <c r="G260" t="s">
        <v>37</v>
      </c>
      <c r="H260">
        <v>0.15</v>
      </c>
      <c r="I260" t="s">
        <v>25</v>
      </c>
      <c r="J260">
        <v>5173.17</v>
      </c>
      <c r="K260" t="s">
        <v>47</v>
      </c>
      <c r="L260" t="s">
        <v>58</v>
      </c>
      <c r="M260">
        <v>0</v>
      </c>
      <c r="N260" t="s">
        <v>1570</v>
      </c>
      <c r="O260" t="s">
        <v>1571</v>
      </c>
      <c r="P260">
        <v>29.11</v>
      </c>
      <c r="Q260" s="2">
        <v>45272</v>
      </c>
      <c r="R260" t="s">
        <v>529</v>
      </c>
      <c r="S260" t="s">
        <v>31</v>
      </c>
      <c r="T260" t="s">
        <v>76</v>
      </c>
      <c r="U260">
        <v>5144.0600000000004</v>
      </c>
      <c r="V260">
        <v>912.91199999999992</v>
      </c>
    </row>
    <row r="261" spans="1:22" x14ac:dyDescent="0.3">
      <c r="A261" t="s">
        <v>540</v>
      </c>
      <c r="B261" t="s">
        <v>45</v>
      </c>
      <c r="C261" t="s">
        <v>109</v>
      </c>
      <c r="D261">
        <v>3</v>
      </c>
      <c r="E261">
        <v>11.32</v>
      </c>
      <c r="F261" t="s">
        <v>36</v>
      </c>
      <c r="G261" t="s">
        <v>37</v>
      </c>
      <c r="H261">
        <v>0.05</v>
      </c>
      <c r="I261" t="s">
        <v>65</v>
      </c>
      <c r="J261">
        <v>32.26</v>
      </c>
      <c r="K261" t="s">
        <v>26</v>
      </c>
      <c r="L261" t="s">
        <v>27</v>
      </c>
      <c r="M261">
        <v>0</v>
      </c>
      <c r="N261" t="s">
        <v>1572</v>
      </c>
      <c r="O261" t="s">
        <v>1300</v>
      </c>
      <c r="P261">
        <v>16.39</v>
      </c>
      <c r="Q261" s="2">
        <v>45964</v>
      </c>
      <c r="R261" t="s">
        <v>1573</v>
      </c>
      <c r="S261" t="s">
        <v>51</v>
      </c>
      <c r="T261" t="s">
        <v>43</v>
      </c>
      <c r="U261">
        <v>15.869999999999997</v>
      </c>
      <c r="V261">
        <v>1.6980000000000002</v>
      </c>
    </row>
    <row r="262" spans="1:22" x14ac:dyDescent="0.3">
      <c r="A262" t="s">
        <v>1113</v>
      </c>
      <c r="B262" t="s">
        <v>34</v>
      </c>
      <c r="C262" t="s">
        <v>127</v>
      </c>
      <c r="D262">
        <v>12</v>
      </c>
      <c r="E262">
        <v>383.45</v>
      </c>
      <c r="F262" t="s">
        <v>36</v>
      </c>
      <c r="G262" t="s">
        <v>37</v>
      </c>
      <c r="H262">
        <v>0</v>
      </c>
      <c r="I262" t="s">
        <v>94</v>
      </c>
      <c r="J262">
        <v>4601.3999999999996</v>
      </c>
      <c r="K262" t="s">
        <v>38</v>
      </c>
      <c r="L262" t="s">
        <v>85</v>
      </c>
      <c r="M262">
        <v>0</v>
      </c>
      <c r="N262" t="s">
        <v>1580</v>
      </c>
      <c r="O262" t="s">
        <v>1581</v>
      </c>
      <c r="P262">
        <v>11.62</v>
      </c>
      <c r="Q262" s="2">
        <v>45363</v>
      </c>
      <c r="R262" t="s">
        <v>1582</v>
      </c>
      <c r="S262" t="s">
        <v>42</v>
      </c>
      <c r="T262" t="s">
        <v>98</v>
      </c>
      <c r="U262">
        <v>4589.78</v>
      </c>
      <c r="V262">
        <v>0</v>
      </c>
    </row>
    <row r="263" spans="1:22" x14ac:dyDescent="0.3">
      <c r="A263" t="s">
        <v>450</v>
      </c>
      <c r="B263" t="s">
        <v>70</v>
      </c>
      <c r="C263" t="s">
        <v>109</v>
      </c>
      <c r="D263">
        <v>20</v>
      </c>
      <c r="E263">
        <v>293.94</v>
      </c>
      <c r="F263" t="s">
        <v>23</v>
      </c>
      <c r="G263" t="s">
        <v>37</v>
      </c>
      <c r="H263">
        <v>0.15</v>
      </c>
      <c r="I263" t="s">
        <v>25</v>
      </c>
      <c r="J263">
        <v>4996.9799999999996</v>
      </c>
      <c r="K263" t="s">
        <v>101</v>
      </c>
      <c r="L263" t="s">
        <v>58</v>
      </c>
      <c r="M263">
        <v>0</v>
      </c>
      <c r="N263" t="s">
        <v>1583</v>
      </c>
      <c r="O263" t="s">
        <v>1584</v>
      </c>
      <c r="P263">
        <v>9.2899999999999991</v>
      </c>
      <c r="Q263" s="2">
        <v>45147</v>
      </c>
      <c r="R263" t="s">
        <v>453</v>
      </c>
      <c r="S263" t="s">
        <v>75</v>
      </c>
      <c r="T263" t="s">
        <v>82</v>
      </c>
      <c r="U263">
        <v>4987.6899999999996</v>
      </c>
      <c r="V263">
        <v>881.82</v>
      </c>
    </row>
    <row r="264" spans="1:22" x14ac:dyDescent="0.3">
      <c r="A264" t="s">
        <v>1587</v>
      </c>
      <c r="B264" t="s">
        <v>34</v>
      </c>
      <c r="C264" t="s">
        <v>35</v>
      </c>
      <c r="D264">
        <v>5</v>
      </c>
      <c r="E264">
        <v>163.55000000000001</v>
      </c>
      <c r="F264" t="s">
        <v>55</v>
      </c>
      <c r="G264" t="s">
        <v>37</v>
      </c>
      <c r="H264">
        <v>0.05</v>
      </c>
      <c r="I264" t="s">
        <v>56</v>
      </c>
      <c r="J264">
        <v>776.86</v>
      </c>
      <c r="K264" t="s">
        <v>47</v>
      </c>
      <c r="L264" t="s">
        <v>48</v>
      </c>
      <c r="M264">
        <v>0</v>
      </c>
      <c r="N264" t="s">
        <v>1588</v>
      </c>
      <c r="O264" t="s">
        <v>1589</v>
      </c>
      <c r="P264">
        <v>28.9</v>
      </c>
      <c r="Q264" s="2">
        <v>44993</v>
      </c>
      <c r="R264" t="s">
        <v>139</v>
      </c>
      <c r="S264" t="s">
        <v>42</v>
      </c>
      <c r="T264" t="s">
        <v>98</v>
      </c>
      <c r="U264">
        <v>747.96</v>
      </c>
      <c r="V264">
        <v>40.887500000000003</v>
      </c>
    </row>
    <row r="265" spans="1:22" x14ac:dyDescent="0.3">
      <c r="A265" t="s">
        <v>879</v>
      </c>
      <c r="B265" t="s">
        <v>45</v>
      </c>
      <c r="C265" t="s">
        <v>127</v>
      </c>
      <c r="D265">
        <v>14</v>
      </c>
      <c r="E265">
        <v>463.96</v>
      </c>
      <c r="F265" t="s">
        <v>55</v>
      </c>
      <c r="G265" t="s">
        <v>37</v>
      </c>
      <c r="H265">
        <v>0.15</v>
      </c>
      <c r="I265" t="s">
        <v>78</v>
      </c>
      <c r="J265">
        <v>5521.12</v>
      </c>
      <c r="K265" t="s">
        <v>57</v>
      </c>
      <c r="L265" t="s">
        <v>48</v>
      </c>
      <c r="M265">
        <v>0</v>
      </c>
      <c r="N265" t="s">
        <v>1593</v>
      </c>
      <c r="O265" t="s">
        <v>1594</v>
      </c>
      <c r="P265">
        <v>29.19</v>
      </c>
      <c r="Q265" s="2">
        <v>45414</v>
      </c>
      <c r="R265" t="s">
        <v>805</v>
      </c>
      <c r="S265" t="s">
        <v>51</v>
      </c>
      <c r="T265" t="s">
        <v>63</v>
      </c>
      <c r="U265">
        <v>5491.93</v>
      </c>
      <c r="V265">
        <v>974.31599999999992</v>
      </c>
    </row>
    <row r="266" spans="1:22" x14ac:dyDescent="0.3">
      <c r="A266" t="s">
        <v>1599</v>
      </c>
      <c r="B266" t="s">
        <v>54</v>
      </c>
      <c r="C266" t="s">
        <v>109</v>
      </c>
      <c r="D266">
        <v>7</v>
      </c>
      <c r="E266">
        <v>180.25</v>
      </c>
      <c r="F266" t="s">
        <v>55</v>
      </c>
      <c r="G266" t="s">
        <v>37</v>
      </c>
      <c r="H266">
        <v>0.1</v>
      </c>
      <c r="I266" t="s">
        <v>78</v>
      </c>
      <c r="J266">
        <v>1135.58</v>
      </c>
      <c r="K266" t="s">
        <v>57</v>
      </c>
      <c r="L266" t="s">
        <v>27</v>
      </c>
      <c r="M266">
        <v>0</v>
      </c>
      <c r="N266" t="s">
        <v>1600</v>
      </c>
      <c r="O266" t="s">
        <v>1601</v>
      </c>
      <c r="P266">
        <v>36.79</v>
      </c>
      <c r="Q266" s="2">
        <v>45359</v>
      </c>
      <c r="R266" t="s">
        <v>362</v>
      </c>
      <c r="S266" t="s">
        <v>62</v>
      </c>
      <c r="T266" t="s">
        <v>98</v>
      </c>
      <c r="U266">
        <v>1098.79</v>
      </c>
      <c r="V266">
        <v>126.17500000000001</v>
      </c>
    </row>
    <row r="267" spans="1:22" x14ac:dyDescent="0.3">
      <c r="A267" t="s">
        <v>904</v>
      </c>
      <c r="B267" t="s">
        <v>21</v>
      </c>
      <c r="C267" t="s">
        <v>127</v>
      </c>
      <c r="D267">
        <v>1</v>
      </c>
      <c r="E267">
        <v>21.75</v>
      </c>
      <c r="F267" t="s">
        <v>36</v>
      </c>
      <c r="G267" t="s">
        <v>37</v>
      </c>
      <c r="H267">
        <v>0</v>
      </c>
      <c r="I267" t="s">
        <v>25</v>
      </c>
      <c r="J267">
        <v>21.75</v>
      </c>
      <c r="K267" t="s">
        <v>47</v>
      </c>
      <c r="L267" t="s">
        <v>85</v>
      </c>
      <c r="M267">
        <v>0</v>
      </c>
      <c r="N267" t="s">
        <v>1602</v>
      </c>
      <c r="O267" t="s">
        <v>1603</v>
      </c>
      <c r="P267">
        <v>7.35</v>
      </c>
      <c r="Q267" s="2">
        <v>45782</v>
      </c>
      <c r="R267" t="s">
        <v>907</v>
      </c>
      <c r="S267" t="s">
        <v>31</v>
      </c>
      <c r="T267" t="s">
        <v>63</v>
      </c>
      <c r="U267">
        <v>14.4</v>
      </c>
      <c r="V267">
        <v>0</v>
      </c>
    </row>
    <row r="268" spans="1:22" x14ac:dyDescent="0.3">
      <c r="A268" t="s">
        <v>320</v>
      </c>
      <c r="B268" t="s">
        <v>54</v>
      </c>
      <c r="C268" t="s">
        <v>109</v>
      </c>
      <c r="D268">
        <v>13</v>
      </c>
      <c r="E268">
        <v>149.16</v>
      </c>
      <c r="F268" t="s">
        <v>36</v>
      </c>
      <c r="G268" t="s">
        <v>37</v>
      </c>
      <c r="H268">
        <v>0.1</v>
      </c>
      <c r="I268" t="s">
        <v>65</v>
      </c>
      <c r="J268">
        <v>1745.17</v>
      </c>
      <c r="K268" t="s">
        <v>47</v>
      </c>
      <c r="L268" t="s">
        <v>48</v>
      </c>
      <c r="M268">
        <v>1</v>
      </c>
      <c r="N268" t="s">
        <v>1604</v>
      </c>
      <c r="O268" t="s">
        <v>1605</v>
      </c>
      <c r="P268">
        <v>20.9</v>
      </c>
      <c r="Q268" s="2">
        <v>45140</v>
      </c>
      <c r="R268" t="s">
        <v>323</v>
      </c>
      <c r="S268" t="s">
        <v>62</v>
      </c>
      <c r="T268" t="s">
        <v>82</v>
      </c>
      <c r="U268">
        <v>1724.27</v>
      </c>
      <c r="V268">
        <v>193.90800000000002</v>
      </c>
    </row>
    <row r="269" spans="1:22" x14ac:dyDescent="0.3">
      <c r="A269" t="s">
        <v>751</v>
      </c>
      <c r="B269" t="s">
        <v>21</v>
      </c>
      <c r="C269" t="s">
        <v>127</v>
      </c>
      <c r="D269">
        <v>20</v>
      </c>
      <c r="E269">
        <v>440.32</v>
      </c>
      <c r="F269" t="s">
        <v>36</v>
      </c>
      <c r="G269" t="s">
        <v>37</v>
      </c>
      <c r="H269">
        <v>0.05</v>
      </c>
      <c r="I269" t="s">
        <v>25</v>
      </c>
      <c r="J269">
        <v>8366.08</v>
      </c>
      <c r="K269" t="s">
        <v>38</v>
      </c>
      <c r="L269" t="s">
        <v>58</v>
      </c>
      <c r="M269">
        <v>1</v>
      </c>
      <c r="N269" t="s">
        <v>1606</v>
      </c>
      <c r="O269" t="s">
        <v>1607</v>
      </c>
      <c r="P269">
        <v>6.17</v>
      </c>
      <c r="Q269" s="2">
        <v>45809</v>
      </c>
      <c r="R269" t="s">
        <v>1040</v>
      </c>
      <c r="S269" t="s">
        <v>31</v>
      </c>
      <c r="T269" t="s">
        <v>105</v>
      </c>
      <c r="U269">
        <v>8359.91</v>
      </c>
      <c r="V269">
        <v>440.32</v>
      </c>
    </row>
    <row r="270" spans="1:22" x14ac:dyDescent="0.3">
      <c r="A270" t="s">
        <v>1205</v>
      </c>
      <c r="B270" t="s">
        <v>34</v>
      </c>
      <c r="C270" t="s">
        <v>71</v>
      </c>
      <c r="D270">
        <v>17</v>
      </c>
      <c r="E270">
        <v>311.61</v>
      </c>
      <c r="F270" t="s">
        <v>84</v>
      </c>
      <c r="G270" t="s">
        <v>37</v>
      </c>
      <c r="H270">
        <v>0.05</v>
      </c>
      <c r="I270" t="s">
        <v>65</v>
      </c>
      <c r="J270">
        <v>5032.5</v>
      </c>
      <c r="K270" t="s">
        <v>26</v>
      </c>
      <c r="L270" t="s">
        <v>48</v>
      </c>
      <c r="M270">
        <v>1</v>
      </c>
      <c r="N270" t="s">
        <v>1608</v>
      </c>
      <c r="O270" t="s">
        <v>1609</v>
      </c>
      <c r="P270">
        <v>29.9</v>
      </c>
      <c r="Q270" s="2">
        <v>45600</v>
      </c>
      <c r="R270" t="s">
        <v>68</v>
      </c>
      <c r="S270" t="s">
        <v>42</v>
      </c>
      <c r="T270" t="s">
        <v>43</v>
      </c>
      <c r="U270">
        <v>5002.6000000000004</v>
      </c>
      <c r="V270">
        <v>264.86849999999998</v>
      </c>
    </row>
    <row r="271" spans="1:22" x14ac:dyDescent="0.3">
      <c r="A271" t="s">
        <v>751</v>
      </c>
      <c r="B271" t="s">
        <v>21</v>
      </c>
      <c r="C271" t="s">
        <v>140</v>
      </c>
      <c r="D271">
        <v>13</v>
      </c>
      <c r="E271">
        <v>483.63</v>
      </c>
      <c r="F271" t="s">
        <v>84</v>
      </c>
      <c r="G271" t="s">
        <v>37</v>
      </c>
      <c r="H271">
        <v>0.05</v>
      </c>
      <c r="I271" t="s">
        <v>46</v>
      </c>
      <c r="J271">
        <v>5972.83</v>
      </c>
      <c r="K271" t="s">
        <v>47</v>
      </c>
      <c r="L271" t="s">
        <v>85</v>
      </c>
      <c r="M271">
        <v>0</v>
      </c>
      <c r="N271" t="s">
        <v>1610</v>
      </c>
      <c r="O271" t="s">
        <v>1611</v>
      </c>
      <c r="P271">
        <v>18.22</v>
      </c>
      <c r="Q271" s="2">
        <v>45809</v>
      </c>
      <c r="R271" t="s">
        <v>1612</v>
      </c>
      <c r="S271" t="s">
        <v>31</v>
      </c>
      <c r="T271" t="s">
        <v>105</v>
      </c>
      <c r="U271">
        <v>5954.61</v>
      </c>
      <c r="V271">
        <v>314.35950000000003</v>
      </c>
    </row>
    <row r="272" spans="1:22" x14ac:dyDescent="0.3">
      <c r="A272" t="s">
        <v>802</v>
      </c>
      <c r="B272" t="s">
        <v>70</v>
      </c>
      <c r="C272" t="s">
        <v>140</v>
      </c>
      <c r="D272">
        <v>10</v>
      </c>
      <c r="E272">
        <v>452.21</v>
      </c>
      <c r="F272" t="s">
        <v>84</v>
      </c>
      <c r="G272" t="s">
        <v>37</v>
      </c>
      <c r="H272">
        <v>0.1</v>
      </c>
      <c r="I272" t="s">
        <v>65</v>
      </c>
      <c r="J272">
        <v>4069.89</v>
      </c>
      <c r="K272" t="s">
        <v>47</v>
      </c>
      <c r="L272" t="s">
        <v>27</v>
      </c>
      <c r="M272">
        <v>0</v>
      </c>
      <c r="N272" t="s">
        <v>1613</v>
      </c>
      <c r="O272" t="s">
        <v>1614</v>
      </c>
      <c r="P272">
        <v>15.87</v>
      </c>
      <c r="Q272" s="2">
        <v>45475</v>
      </c>
      <c r="R272" t="s">
        <v>1554</v>
      </c>
      <c r="S272" t="s">
        <v>75</v>
      </c>
      <c r="T272" t="s">
        <v>117</v>
      </c>
      <c r="U272">
        <v>4054.02</v>
      </c>
      <c r="V272">
        <v>452.21</v>
      </c>
    </row>
    <row r="273" spans="1:22" x14ac:dyDescent="0.3">
      <c r="A273" t="s">
        <v>1615</v>
      </c>
      <c r="B273" t="s">
        <v>70</v>
      </c>
      <c r="C273" t="s">
        <v>140</v>
      </c>
      <c r="D273">
        <v>4</v>
      </c>
      <c r="E273">
        <v>248.16</v>
      </c>
      <c r="F273" t="s">
        <v>23</v>
      </c>
      <c r="G273" t="s">
        <v>37</v>
      </c>
      <c r="H273">
        <v>0.1</v>
      </c>
      <c r="I273" t="s">
        <v>78</v>
      </c>
      <c r="J273">
        <v>893.38</v>
      </c>
      <c r="K273" t="s">
        <v>101</v>
      </c>
      <c r="L273" t="s">
        <v>48</v>
      </c>
      <c r="M273">
        <v>1</v>
      </c>
      <c r="N273" t="s">
        <v>1616</v>
      </c>
      <c r="O273" t="s">
        <v>1617</v>
      </c>
      <c r="P273">
        <v>45.11</v>
      </c>
      <c r="Q273" s="2">
        <v>44963</v>
      </c>
      <c r="R273" t="s">
        <v>1126</v>
      </c>
      <c r="S273" t="s">
        <v>75</v>
      </c>
      <c r="T273" t="s">
        <v>199</v>
      </c>
      <c r="U273">
        <v>848.27</v>
      </c>
      <c r="V273">
        <v>99.26400000000001</v>
      </c>
    </row>
    <row r="274" spans="1:22" x14ac:dyDescent="0.3">
      <c r="A274" t="s">
        <v>1116</v>
      </c>
      <c r="B274" t="s">
        <v>34</v>
      </c>
      <c r="C274" t="s">
        <v>35</v>
      </c>
      <c r="D274">
        <v>11</v>
      </c>
      <c r="E274">
        <v>571.07000000000005</v>
      </c>
      <c r="F274" t="s">
        <v>84</v>
      </c>
      <c r="G274" t="s">
        <v>37</v>
      </c>
      <c r="H274">
        <v>0</v>
      </c>
      <c r="I274" t="s">
        <v>56</v>
      </c>
      <c r="J274">
        <v>6281.77</v>
      </c>
      <c r="K274" t="s">
        <v>57</v>
      </c>
      <c r="L274" t="s">
        <v>58</v>
      </c>
      <c r="M274">
        <v>0</v>
      </c>
      <c r="N274" t="s">
        <v>1618</v>
      </c>
      <c r="O274" t="s">
        <v>1619</v>
      </c>
      <c r="P274">
        <v>12.6</v>
      </c>
      <c r="Q274" s="2">
        <v>45455</v>
      </c>
      <c r="R274" t="s">
        <v>1620</v>
      </c>
      <c r="S274" t="s">
        <v>42</v>
      </c>
      <c r="T274" t="s">
        <v>105</v>
      </c>
      <c r="U274">
        <v>6269.17</v>
      </c>
      <c r="V274">
        <v>0</v>
      </c>
    </row>
    <row r="275" spans="1:22" x14ac:dyDescent="0.3">
      <c r="A275" t="s">
        <v>240</v>
      </c>
      <c r="B275" t="s">
        <v>70</v>
      </c>
      <c r="C275" t="s">
        <v>109</v>
      </c>
      <c r="D275">
        <v>11</v>
      </c>
      <c r="E275">
        <v>65.569999999999993</v>
      </c>
      <c r="F275" t="s">
        <v>55</v>
      </c>
      <c r="G275" t="s">
        <v>37</v>
      </c>
      <c r="H275">
        <v>0.1</v>
      </c>
      <c r="I275" t="s">
        <v>78</v>
      </c>
      <c r="J275">
        <v>649.14</v>
      </c>
      <c r="K275" t="s">
        <v>38</v>
      </c>
      <c r="L275" t="s">
        <v>58</v>
      </c>
      <c r="M275">
        <v>1</v>
      </c>
      <c r="N275" t="s">
        <v>1621</v>
      </c>
      <c r="O275" t="s">
        <v>1622</v>
      </c>
      <c r="P275">
        <v>30.43</v>
      </c>
      <c r="Q275" s="2">
        <v>45150</v>
      </c>
      <c r="R275" t="s">
        <v>1623</v>
      </c>
      <c r="S275" t="s">
        <v>75</v>
      </c>
      <c r="T275" t="s">
        <v>82</v>
      </c>
      <c r="U275">
        <v>618.71</v>
      </c>
      <c r="V275">
        <v>72.126999999999995</v>
      </c>
    </row>
    <row r="276" spans="1:22" x14ac:dyDescent="0.3">
      <c r="A276" t="s">
        <v>729</v>
      </c>
      <c r="B276" t="s">
        <v>21</v>
      </c>
      <c r="C276" t="s">
        <v>35</v>
      </c>
      <c r="D276">
        <v>5</v>
      </c>
      <c r="E276">
        <v>473.28</v>
      </c>
      <c r="F276" t="s">
        <v>84</v>
      </c>
      <c r="G276" t="s">
        <v>37</v>
      </c>
      <c r="H276">
        <v>0</v>
      </c>
      <c r="I276" t="s">
        <v>78</v>
      </c>
      <c r="J276">
        <v>2366.4</v>
      </c>
      <c r="K276" t="s">
        <v>101</v>
      </c>
      <c r="L276" t="s">
        <v>58</v>
      </c>
      <c r="M276">
        <v>1</v>
      </c>
      <c r="N276" t="s">
        <v>1633</v>
      </c>
      <c r="O276" t="s">
        <v>1634</v>
      </c>
      <c r="P276">
        <v>30.69</v>
      </c>
      <c r="Q276" s="2">
        <v>45418</v>
      </c>
      <c r="R276" t="s">
        <v>1313</v>
      </c>
      <c r="S276" t="s">
        <v>31</v>
      </c>
      <c r="T276" t="s">
        <v>63</v>
      </c>
      <c r="U276">
        <v>2335.71</v>
      </c>
      <c r="V276">
        <v>0</v>
      </c>
    </row>
    <row r="277" spans="1:22" x14ac:dyDescent="0.3">
      <c r="A277" t="s">
        <v>715</v>
      </c>
      <c r="B277" t="s">
        <v>21</v>
      </c>
      <c r="C277" t="s">
        <v>35</v>
      </c>
      <c r="D277">
        <v>16</v>
      </c>
      <c r="E277">
        <v>401.83</v>
      </c>
      <c r="F277" t="s">
        <v>23</v>
      </c>
      <c r="G277" t="s">
        <v>37</v>
      </c>
      <c r="H277">
        <v>0</v>
      </c>
      <c r="I277" t="s">
        <v>65</v>
      </c>
      <c r="J277">
        <v>6429.28</v>
      </c>
      <c r="K277" t="s">
        <v>47</v>
      </c>
      <c r="L277" t="s">
        <v>85</v>
      </c>
      <c r="M277">
        <v>0</v>
      </c>
      <c r="N277" t="s">
        <v>1635</v>
      </c>
      <c r="O277" t="s">
        <v>839</v>
      </c>
      <c r="P277">
        <v>21.54</v>
      </c>
      <c r="Q277" s="2">
        <v>45300</v>
      </c>
      <c r="R277" t="s">
        <v>718</v>
      </c>
      <c r="S277" t="s">
        <v>31</v>
      </c>
      <c r="T277" t="s">
        <v>187</v>
      </c>
      <c r="U277">
        <v>6407.74</v>
      </c>
      <c r="V277">
        <v>0</v>
      </c>
    </row>
    <row r="278" spans="1:22" x14ac:dyDescent="0.3">
      <c r="A278" t="s">
        <v>719</v>
      </c>
      <c r="B278" t="s">
        <v>21</v>
      </c>
      <c r="C278" t="s">
        <v>22</v>
      </c>
      <c r="D278">
        <v>4</v>
      </c>
      <c r="E278">
        <v>323.02</v>
      </c>
      <c r="F278" t="s">
        <v>36</v>
      </c>
      <c r="G278" t="s">
        <v>37</v>
      </c>
      <c r="H278">
        <v>0.05</v>
      </c>
      <c r="I278" t="s">
        <v>78</v>
      </c>
      <c r="J278">
        <v>1227.48</v>
      </c>
      <c r="K278" t="s">
        <v>47</v>
      </c>
      <c r="L278" t="s">
        <v>48</v>
      </c>
      <c r="M278">
        <v>0</v>
      </c>
      <c r="N278" t="s">
        <v>1636</v>
      </c>
      <c r="O278" t="s">
        <v>1637</v>
      </c>
      <c r="P278">
        <v>19.53</v>
      </c>
      <c r="Q278" s="2">
        <v>45962</v>
      </c>
      <c r="R278" t="s">
        <v>1040</v>
      </c>
      <c r="S278" t="s">
        <v>31</v>
      </c>
      <c r="T278" t="s">
        <v>43</v>
      </c>
      <c r="U278">
        <v>1207.95</v>
      </c>
      <c r="V278">
        <v>64.603999999999999</v>
      </c>
    </row>
    <row r="279" spans="1:22" x14ac:dyDescent="0.3">
      <c r="A279" t="s">
        <v>1638</v>
      </c>
      <c r="B279" t="s">
        <v>54</v>
      </c>
      <c r="C279" t="s">
        <v>127</v>
      </c>
      <c r="D279">
        <v>15</v>
      </c>
      <c r="E279">
        <v>439.89</v>
      </c>
      <c r="F279" t="s">
        <v>55</v>
      </c>
      <c r="G279" t="s">
        <v>37</v>
      </c>
      <c r="H279">
        <v>0.15</v>
      </c>
      <c r="I279" t="s">
        <v>78</v>
      </c>
      <c r="J279">
        <v>5608.6</v>
      </c>
      <c r="K279" t="s">
        <v>26</v>
      </c>
      <c r="L279" t="s">
        <v>85</v>
      </c>
      <c r="M279">
        <v>0</v>
      </c>
      <c r="N279" t="s">
        <v>1639</v>
      </c>
      <c r="O279" t="s">
        <v>1640</v>
      </c>
      <c r="P279">
        <v>49.71</v>
      </c>
      <c r="Q279" s="2">
        <v>45017</v>
      </c>
      <c r="R279" t="s">
        <v>276</v>
      </c>
      <c r="S279" t="s">
        <v>62</v>
      </c>
      <c r="T279" t="s">
        <v>147</v>
      </c>
      <c r="U279">
        <v>5558.89</v>
      </c>
      <c r="V279">
        <v>989.75249999999983</v>
      </c>
    </row>
    <row r="280" spans="1:22" x14ac:dyDescent="0.3">
      <c r="A280" t="s">
        <v>763</v>
      </c>
      <c r="B280" t="s">
        <v>70</v>
      </c>
      <c r="C280" t="s">
        <v>71</v>
      </c>
      <c r="D280">
        <v>13</v>
      </c>
      <c r="E280">
        <v>27.39</v>
      </c>
      <c r="F280" t="s">
        <v>23</v>
      </c>
      <c r="G280" t="s">
        <v>37</v>
      </c>
      <c r="H280">
        <v>0.15</v>
      </c>
      <c r="I280" t="s">
        <v>56</v>
      </c>
      <c r="J280">
        <v>302.66000000000003</v>
      </c>
      <c r="K280" t="s">
        <v>47</v>
      </c>
      <c r="L280" t="s">
        <v>48</v>
      </c>
      <c r="M280">
        <v>0</v>
      </c>
      <c r="N280" t="s">
        <v>1642</v>
      </c>
      <c r="O280" t="s">
        <v>1643</v>
      </c>
      <c r="P280">
        <v>22.95</v>
      </c>
      <c r="Q280" s="2">
        <v>45176</v>
      </c>
      <c r="R280" t="s">
        <v>1354</v>
      </c>
      <c r="S280" t="s">
        <v>75</v>
      </c>
      <c r="T280" t="s">
        <v>52</v>
      </c>
      <c r="U280">
        <v>279.71000000000004</v>
      </c>
      <c r="V280">
        <v>53.410499999999999</v>
      </c>
    </row>
    <row r="281" spans="1:22" x14ac:dyDescent="0.3">
      <c r="A281" t="s">
        <v>148</v>
      </c>
      <c r="B281" t="s">
        <v>70</v>
      </c>
      <c r="C281" t="s">
        <v>71</v>
      </c>
      <c r="D281">
        <v>10</v>
      </c>
      <c r="E281">
        <v>407.99</v>
      </c>
      <c r="F281" t="s">
        <v>36</v>
      </c>
      <c r="G281" t="s">
        <v>37</v>
      </c>
      <c r="H281">
        <v>0.15</v>
      </c>
      <c r="I281" t="s">
        <v>65</v>
      </c>
      <c r="J281">
        <v>3467.92</v>
      </c>
      <c r="K281" t="s">
        <v>47</v>
      </c>
      <c r="L281" t="s">
        <v>48</v>
      </c>
      <c r="M281">
        <v>0</v>
      </c>
      <c r="N281" t="s">
        <v>1644</v>
      </c>
      <c r="O281" t="s">
        <v>1645</v>
      </c>
      <c r="P281">
        <v>49.59</v>
      </c>
      <c r="Q281" s="2">
        <v>45718</v>
      </c>
      <c r="R281" t="s">
        <v>900</v>
      </c>
      <c r="S281" t="s">
        <v>75</v>
      </c>
      <c r="T281" t="s">
        <v>98</v>
      </c>
      <c r="U281">
        <v>3418.33</v>
      </c>
      <c r="V281">
        <v>611.98500000000001</v>
      </c>
    </row>
    <row r="282" spans="1:22" x14ac:dyDescent="0.3">
      <c r="A282" t="s">
        <v>389</v>
      </c>
      <c r="B282" t="s">
        <v>70</v>
      </c>
      <c r="C282" t="s">
        <v>109</v>
      </c>
      <c r="D282">
        <v>15</v>
      </c>
      <c r="E282">
        <v>274.77</v>
      </c>
      <c r="F282" t="s">
        <v>55</v>
      </c>
      <c r="G282" t="s">
        <v>37</v>
      </c>
      <c r="H282">
        <v>0</v>
      </c>
      <c r="I282" t="s">
        <v>65</v>
      </c>
      <c r="J282">
        <v>4121.55</v>
      </c>
      <c r="K282" t="s">
        <v>47</v>
      </c>
      <c r="L282" t="s">
        <v>48</v>
      </c>
      <c r="M282">
        <v>1</v>
      </c>
      <c r="N282" t="s">
        <v>1646</v>
      </c>
      <c r="O282" t="s">
        <v>1647</v>
      </c>
      <c r="P282">
        <v>19.37</v>
      </c>
      <c r="Q282" s="2">
        <v>45241</v>
      </c>
      <c r="R282" t="s">
        <v>1648</v>
      </c>
      <c r="S282" t="s">
        <v>75</v>
      </c>
      <c r="T282" t="s">
        <v>43</v>
      </c>
      <c r="U282">
        <v>4102.18</v>
      </c>
      <c r="V282">
        <v>0</v>
      </c>
    </row>
    <row r="283" spans="1:22" x14ac:dyDescent="0.3">
      <c r="A283" t="s">
        <v>948</v>
      </c>
      <c r="B283" t="s">
        <v>45</v>
      </c>
      <c r="C283" t="s">
        <v>109</v>
      </c>
      <c r="D283">
        <v>19</v>
      </c>
      <c r="E283">
        <v>350.12</v>
      </c>
      <c r="F283" t="s">
        <v>55</v>
      </c>
      <c r="G283" t="s">
        <v>37</v>
      </c>
      <c r="H283">
        <v>0.05</v>
      </c>
      <c r="I283" t="s">
        <v>25</v>
      </c>
      <c r="J283">
        <v>6319.67</v>
      </c>
      <c r="K283" t="s">
        <v>101</v>
      </c>
      <c r="L283" t="s">
        <v>85</v>
      </c>
      <c r="M283">
        <v>0</v>
      </c>
      <c r="N283" t="s">
        <v>1652</v>
      </c>
      <c r="O283" t="s">
        <v>1653</v>
      </c>
      <c r="P283">
        <v>48.98</v>
      </c>
      <c r="Q283" s="2">
        <v>45781</v>
      </c>
      <c r="R283" t="s">
        <v>1007</v>
      </c>
      <c r="S283" t="s">
        <v>51</v>
      </c>
      <c r="T283" t="s">
        <v>63</v>
      </c>
      <c r="U283">
        <v>6270.6900000000005</v>
      </c>
      <c r="V283">
        <v>332.61400000000003</v>
      </c>
    </row>
    <row r="284" spans="1:22" x14ac:dyDescent="0.3">
      <c r="A284" t="s">
        <v>533</v>
      </c>
      <c r="B284" t="s">
        <v>70</v>
      </c>
      <c r="C284" t="s">
        <v>100</v>
      </c>
      <c r="D284">
        <v>1</v>
      </c>
      <c r="E284">
        <v>421.26</v>
      </c>
      <c r="F284" t="s">
        <v>55</v>
      </c>
      <c r="G284" t="s">
        <v>37</v>
      </c>
      <c r="H284">
        <v>0.1</v>
      </c>
      <c r="I284" t="s">
        <v>65</v>
      </c>
      <c r="J284">
        <v>379.13</v>
      </c>
      <c r="K284" t="s">
        <v>38</v>
      </c>
      <c r="L284" t="s">
        <v>85</v>
      </c>
      <c r="M284">
        <v>0</v>
      </c>
      <c r="N284" t="s">
        <v>1656</v>
      </c>
      <c r="O284" t="s">
        <v>1657</v>
      </c>
      <c r="P284">
        <v>36.340000000000003</v>
      </c>
      <c r="Q284" s="2">
        <v>45843</v>
      </c>
      <c r="R284" t="s">
        <v>1329</v>
      </c>
      <c r="S284" t="s">
        <v>75</v>
      </c>
      <c r="T284" t="s">
        <v>117</v>
      </c>
      <c r="U284">
        <v>342.78999999999996</v>
      </c>
      <c r="V284">
        <v>42.126000000000005</v>
      </c>
    </row>
    <row r="285" spans="1:22" x14ac:dyDescent="0.3">
      <c r="A285" t="s">
        <v>776</v>
      </c>
      <c r="B285" t="s">
        <v>21</v>
      </c>
      <c r="C285" t="s">
        <v>140</v>
      </c>
      <c r="D285">
        <v>16</v>
      </c>
      <c r="E285">
        <v>438.71</v>
      </c>
      <c r="F285" t="s">
        <v>36</v>
      </c>
      <c r="G285" t="s">
        <v>37</v>
      </c>
      <c r="H285">
        <v>0</v>
      </c>
      <c r="I285" t="s">
        <v>25</v>
      </c>
      <c r="J285">
        <v>7019.36</v>
      </c>
      <c r="K285" t="s">
        <v>26</v>
      </c>
      <c r="L285" t="s">
        <v>48</v>
      </c>
      <c r="M285">
        <v>0</v>
      </c>
      <c r="N285" t="s">
        <v>1664</v>
      </c>
      <c r="O285" t="s">
        <v>1665</v>
      </c>
      <c r="P285">
        <v>6.53</v>
      </c>
      <c r="Q285" s="2">
        <v>45242</v>
      </c>
      <c r="R285" t="s">
        <v>529</v>
      </c>
      <c r="S285" t="s">
        <v>31</v>
      </c>
      <c r="T285" t="s">
        <v>43</v>
      </c>
      <c r="U285">
        <v>7012.83</v>
      </c>
      <c r="V285">
        <v>0</v>
      </c>
    </row>
    <row r="286" spans="1:22" x14ac:dyDescent="0.3">
      <c r="A286" t="s">
        <v>428</v>
      </c>
      <c r="B286" t="s">
        <v>45</v>
      </c>
      <c r="C286" t="s">
        <v>100</v>
      </c>
      <c r="D286">
        <v>14</v>
      </c>
      <c r="E286">
        <v>306.39</v>
      </c>
      <c r="F286" t="s">
        <v>84</v>
      </c>
      <c r="G286" t="s">
        <v>37</v>
      </c>
      <c r="H286">
        <v>0.1</v>
      </c>
      <c r="I286" t="s">
        <v>65</v>
      </c>
      <c r="J286">
        <v>3860.51</v>
      </c>
      <c r="K286" t="s">
        <v>47</v>
      </c>
      <c r="L286" t="s">
        <v>27</v>
      </c>
      <c r="M286">
        <v>0</v>
      </c>
      <c r="N286" t="s">
        <v>1668</v>
      </c>
      <c r="O286" t="s">
        <v>1669</v>
      </c>
      <c r="P286">
        <v>38.729999999999997</v>
      </c>
      <c r="Q286" s="2">
        <v>45109</v>
      </c>
      <c r="R286" t="s">
        <v>557</v>
      </c>
      <c r="S286" t="s">
        <v>51</v>
      </c>
      <c r="T286" t="s">
        <v>117</v>
      </c>
      <c r="U286">
        <v>3821.78</v>
      </c>
      <c r="V286">
        <v>428.94600000000003</v>
      </c>
    </row>
    <row r="287" spans="1:22" x14ac:dyDescent="0.3">
      <c r="A287" t="s">
        <v>457</v>
      </c>
      <c r="B287" t="s">
        <v>70</v>
      </c>
      <c r="C287" t="s">
        <v>71</v>
      </c>
      <c r="D287">
        <v>6</v>
      </c>
      <c r="E287">
        <v>346.86</v>
      </c>
      <c r="F287" t="s">
        <v>36</v>
      </c>
      <c r="G287" t="s">
        <v>37</v>
      </c>
      <c r="H287">
        <v>0.05</v>
      </c>
      <c r="I287" t="s">
        <v>65</v>
      </c>
      <c r="J287">
        <v>1977.1</v>
      </c>
      <c r="K287" t="s">
        <v>57</v>
      </c>
      <c r="L287" t="s">
        <v>85</v>
      </c>
      <c r="M287">
        <v>0</v>
      </c>
      <c r="N287" t="s">
        <v>1670</v>
      </c>
      <c r="O287" t="s">
        <v>1671</v>
      </c>
      <c r="P287">
        <v>29.18</v>
      </c>
      <c r="Q287" s="2">
        <v>45023</v>
      </c>
      <c r="R287" t="s">
        <v>941</v>
      </c>
      <c r="S287" t="s">
        <v>75</v>
      </c>
      <c r="T287" t="s">
        <v>147</v>
      </c>
      <c r="U287">
        <v>1947.9199999999998</v>
      </c>
      <c r="V287">
        <v>104.05799999999999</v>
      </c>
    </row>
    <row r="288" spans="1:22" x14ac:dyDescent="0.3">
      <c r="A288" t="s">
        <v>889</v>
      </c>
      <c r="B288" t="s">
        <v>70</v>
      </c>
      <c r="C288" t="s">
        <v>109</v>
      </c>
      <c r="D288">
        <v>11</v>
      </c>
      <c r="E288">
        <v>185.59</v>
      </c>
      <c r="F288" t="s">
        <v>23</v>
      </c>
      <c r="G288" t="s">
        <v>37</v>
      </c>
      <c r="H288">
        <v>0.1</v>
      </c>
      <c r="I288" t="s">
        <v>46</v>
      </c>
      <c r="J288">
        <v>1837.34</v>
      </c>
      <c r="K288" t="s">
        <v>57</v>
      </c>
      <c r="L288" t="s">
        <v>48</v>
      </c>
      <c r="M288">
        <v>0</v>
      </c>
      <c r="N288" t="s">
        <v>1678</v>
      </c>
      <c r="O288" t="s">
        <v>1679</v>
      </c>
      <c r="P288">
        <v>45.19</v>
      </c>
      <c r="Q288" s="2">
        <v>45541</v>
      </c>
      <c r="R288" t="s">
        <v>1303</v>
      </c>
      <c r="S288" t="s">
        <v>75</v>
      </c>
      <c r="T288" t="s">
        <v>52</v>
      </c>
      <c r="U288">
        <v>1792.1499999999999</v>
      </c>
      <c r="V288">
        <v>204.149</v>
      </c>
    </row>
    <row r="289" spans="1:22" x14ac:dyDescent="0.3">
      <c r="A289" t="s">
        <v>1688</v>
      </c>
      <c r="B289" t="s">
        <v>34</v>
      </c>
      <c r="C289" t="s">
        <v>100</v>
      </c>
      <c r="D289">
        <v>7</v>
      </c>
      <c r="E289">
        <v>61.47</v>
      </c>
      <c r="F289" t="s">
        <v>36</v>
      </c>
      <c r="G289" t="s">
        <v>37</v>
      </c>
      <c r="H289">
        <v>0.15</v>
      </c>
      <c r="I289" t="s">
        <v>65</v>
      </c>
      <c r="J289">
        <v>365.75</v>
      </c>
      <c r="K289" t="s">
        <v>26</v>
      </c>
      <c r="L289" t="s">
        <v>85</v>
      </c>
      <c r="M289">
        <v>0</v>
      </c>
      <c r="N289" t="s">
        <v>1689</v>
      </c>
      <c r="O289" t="s">
        <v>1690</v>
      </c>
      <c r="P289">
        <v>14.44</v>
      </c>
      <c r="Q289" s="2">
        <v>44958</v>
      </c>
      <c r="R289" t="s">
        <v>1691</v>
      </c>
      <c r="S289" t="s">
        <v>42</v>
      </c>
      <c r="T289" t="s">
        <v>199</v>
      </c>
      <c r="U289">
        <v>351.31</v>
      </c>
      <c r="V289">
        <v>64.543499999999995</v>
      </c>
    </row>
    <row r="290" spans="1:22" x14ac:dyDescent="0.3">
      <c r="A290" t="s">
        <v>544</v>
      </c>
      <c r="B290" t="s">
        <v>34</v>
      </c>
      <c r="C290" t="s">
        <v>109</v>
      </c>
      <c r="D290">
        <v>9</v>
      </c>
      <c r="E290">
        <v>238.32</v>
      </c>
      <c r="F290" t="s">
        <v>36</v>
      </c>
      <c r="G290" t="s">
        <v>37</v>
      </c>
      <c r="H290">
        <v>0</v>
      </c>
      <c r="I290" t="s">
        <v>78</v>
      </c>
      <c r="J290">
        <v>2144.88</v>
      </c>
      <c r="K290" t="s">
        <v>47</v>
      </c>
      <c r="L290" t="s">
        <v>27</v>
      </c>
      <c r="M290">
        <v>1</v>
      </c>
      <c r="N290" t="s">
        <v>1700</v>
      </c>
      <c r="O290" t="s">
        <v>1643</v>
      </c>
      <c r="P290">
        <v>8.5</v>
      </c>
      <c r="Q290" s="2">
        <v>45605</v>
      </c>
      <c r="R290" t="s">
        <v>1701</v>
      </c>
      <c r="S290" t="s">
        <v>42</v>
      </c>
      <c r="T290" t="s">
        <v>43</v>
      </c>
      <c r="U290">
        <v>2136.38</v>
      </c>
      <c r="V290">
        <v>0</v>
      </c>
    </row>
    <row r="291" spans="1:22" x14ac:dyDescent="0.3">
      <c r="A291" t="s">
        <v>1490</v>
      </c>
      <c r="B291" t="s">
        <v>70</v>
      </c>
      <c r="C291" t="s">
        <v>127</v>
      </c>
      <c r="D291">
        <v>2</v>
      </c>
      <c r="E291">
        <v>373.07</v>
      </c>
      <c r="F291" t="s">
        <v>84</v>
      </c>
      <c r="G291" t="s">
        <v>37</v>
      </c>
      <c r="H291">
        <v>0.05</v>
      </c>
      <c r="I291" t="s">
        <v>78</v>
      </c>
      <c r="J291">
        <v>708.83</v>
      </c>
      <c r="K291" t="s">
        <v>101</v>
      </c>
      <c r="L291" t="s">
        <v>85</v>
      </c>
      <c r="M291">
        <v>0</v>
      </c>
      <c r="N291" t="s">
        <v>1704</v>
      </c>
      <c r="O291" t="s">
        <v>1705</v>
      </c>
      <c r="P291">
        <v>26.9</v>
      </c>
      <c r="Q291" s="2">
        <v>45358</v>
      </c>
      <c r="R291" t="s">
        <v>217</v>
      </c>
      <c r="S291" t="s">
        <v>75</v>
      </c>
      <c r="T291" t="s">
        <v>98</v>
      </c>
      <c r="U291">
        <v>681.93000000000006</v>
      </c>
      <c r="V291">
        <v>37.307000000000002</v>
      </c>
    </row>
    <row r="292" spans="1:22" x14ac:dyDescent="0.3">
      <c r="A292" t="s">
        <v>1113</v>
      </c>
      <c r="B292" t="s">
        <v>45</v>
      </c>
      <c r="C292" t="s">
        <v>127</v>
      </c>
      <c r="D292">
        <v>14</v>
      </c>
      <c r="E292">
        <v>262.67</v>
      </c>
      <c r="F292" t="s">
        <v>84</v>
      </c>
      <c r="G292" t="s">
        <v>37</v>
      </c>
      <c r="H292">
        <v>0.05</v>
      </c>
      <c r="I292" t="s">
        <v>46</v>
      </c>
      <c r="J292">
        <v>3493.51</v>
      </c>
      <c r="K292" t="s">
        <v>57</v>
      </c>
      <c r="L292" t="s">
        <v>58</v>
      </c>
      <c r="M292">
        <v>0</v>
      </c>
      <c r="N292" t="s">
        <v>1709</v>
      </c>
      <c r="O292" t="s">
        <v>1710</v>
      </c>
      <c r="P292">
        <v>24.53</v>
      </c>
      <c r="Q292" s="2">
        <v>45363</v>
      </c>
      <c r="R292" t="s">
        <v>767</v>
      </c>
      <c r="S292" t="s">
        <v>51</v>
      </c>
      <c r="T292" t="s">
        <v>98</v>
      </c>
      <c r="U292">
        <v>3468.98</v>
      </c>
      <c r="V292">
        <v>183.86900000000003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64D70-9CA6-43D3-AA68-1DC749CB2A7E}">
  <dimension ref="A1:V582"/>
  <sheetViews>
    <sheetView workbookViewId="0"/>
  </sheetViews>
  <sheetFormatPr defaultRowHeight="14.4" x14ac:dyDescent="0.3"/>
  <cols>
    <col min="1" max="1" width="10.33203125" bestFit="1" customWidth="1"/>
    <col min="2" max="2" width="8.77734375" bestFit="1" customWidth="1"/>
    <col min="3" max="3" width="9.77734375" bestFit="1" customWidth="1"/>
    <col min="4" max="4" width="10.33203125" bestFit="1" customWidth="1"/>
    <col min="5" max="5" width="11" style="4" bestFit="1" customWidth="1"/>
    <col min="6" max="6" width="14.77734375" bestFit="1" customWidth="1"/>
    <col min="7" max="7" width="15.33203125" bestFit="1" customWidth="1"/>
    <col min="8" max="8" width="10.5546875" bestFit="1" customWidth="1"/>
    <col min="9" max="9" width="13.44140625" bestFit="1" customWidth="1"/>
    <col min="10" max="10" width="11.6640625" style="4" bestFit="1" customWidth="1"/>
    <col min="11" max="11" width="16.88671875" bestFit="1" customWidth="1"/>
    <col min="12" max="12" width="11.88671875" bestFit="1" customWidth="1"/>
    <col min="13" max="13" width="10.77734375" bestFit="1" customWidth="1"/>
    <col min="14" max="14" width="10.44140625" bestFit="1" customWidth="1"/>
    <col min="15" max="15" width="16.44140625" bestFit="1" customWidth="1"/>
    <col min="16" max="16" width="14.33203125" style="4" bestFit="1" customWidth="1"/>
    <col min="17" max="17" width="11.88671875" bestFit="1" customWidth="1"/>
    <col min="18" max="18" width="13.88671875" bestFit="1" customWidth="1"/>
    <col min="19" max="19" width="15.88671875" bestFit="1" customWidth="1"/>
    <col min="20" max="20" width="13.44140625" bestFit="1" customWidth="1"/>
    <col min="21" max="21" width="10.21875" bestFit="1" customWidth="1"/>
    <col min="22" max="22" width="10.21875" customWidth="1"/>
  </cols>
  <sheetData>
    <row r="1" spans="1:22" x14ac:dyDescent="0.3">
      <c r="A1" t="s">
        <v>0</v>
      </c>
      <c r="B1" t="s">
        <v>1</v>
      </c>
      <c r="C1" t="s">
        <v>2</v>
      </c>
      <c r="D1" t="s">
        <v>3</v>
      </c>
      <c r="E1" s="4" t="s">
        <v>4</v>
      </c>
      <c r="F1" t="s">
        <v>5</v>
      </c>
      <c r="G1" t="s">
        <v>6</v>
      </c>
      <c r="H1" t="s">
        <v>7</v>
      </c>
      <c r="I1" t="s">
        <v>8</v>
      </c>
      <c r="J1" s="4" t="s">
        <v>9</v>
      </c>
      <c r="K1" t="s">
        <v>10</v>
      </c>
      <c r="L1" t="s">
        <v>11</v>
      </c>
      <c r="M1" t="s">
        <v>12</v>
      </c>
      <c r="N1" t="s">
        <v>13</v>
      </c>
      <c r="O1" t="s">
        <v>14</v>
      </c>
      <c r="P1" s="4" t="s">
        <v>15</v>
      </c>
      <c r="Q1" t="s">
        <v>16</v>
      </c>
      <c r="R1" t="s">
        <v>17</v>
      </c>
      <c r="S1" t="s">
        <v>18</v>
      </c>
      <c r="T1" t="s">
        <v>19</v>
      </c>
      <c r="U1" t="s">
        <v>1713</v>
      </c>
      <c r="V1" t="s">
        <v>1714</v>
      </c>
    </row>
    <row r="2" spans="1:22" x14ac:dyDescent="0.3">
      <c r="A2" s="1" t="s">
        <v>20</v>
      </c>
      <c r="B2" s="1" t="s">
        <v>21</v>
      </c>
      <c r="C2" s="1" t="s">
        <v>22</v>
      </c>
      <c r="D2">
        <v>14</v>
      </c>
      <c r="E2" s="4">
        <v>346.18</v>
      </c>
      <c r="F2" s="1" t="s">
        <v>23</v>
      </c>
      <c r="G2" s="1" t="s">
        <v>24</v>
      </c>
      <c r="H2">
        <v>0.1</v>
      </c>
      <c r="I2" s="1" t="s">
        <v>25</v>
      </c>
      <c r="J2" s="4">
        <v>4361.87</v>
      </c>
      <c r="K2" s="1" t="s">
        <v>26</v>
      </c>
      <c r="L2" s="1" t="s">
        <v>27</v>
      </c>
      <c r="M2">
        <v>0</v>
      </c>
      <c r="N2" s="1" t="s">
        <v>28</v>
      </c>
      <c r="O2" s="1" t="s">
        <v>29</v>
      </c>
      <c r="P2" s="4">
        <v>20.46</v>
      </c>
      <c r="Q2" s="2">
        <v>45204</v>
      </c>
      <c r="R2" s="1" t="s">
        <v>30</v>
      </c>
      <c r="S2" s="1" t="s">
        <v>31</v>
      </c>
      <c r="T2" s="1" t="s">
        <v>32</v>
      </c>
      <c r="U2" s="5">
        <f>product_sales_data__1[[#This Row],[TotalPrice]]-product_sales_data__1[[#This Row],[ShippingCost]]</f>
        <v>4341.41</v>
      </c>
      <c r="V2" s="5">
        <f>product_sales_data__1[[#This Row],[Quantity]]*product_sales_data__1[[#This Row],[UnitPrice]]*product_sales_data__1[[#This Row],[Discount]]</f>
        <v>484.65200000000004</v>
      </c>
    </row>
    <row r="3" spans="1:22" x14ac:dyDescent="0.3">
      <c r="A3" s="1" t="s">
        <v>33</v>
      </c>
      <c r="B3" s="1" t="s">
        <v>34</v>
      </c>
      <c r="C3" s="1" t="s">
        <v>35</v>
      </c>
      <c r="D3">
        <v>7</v>
      </c>
      <c r="E3" s="4">
        <v>17.5</v>
      </c>
      <c r="F3" s="1" t="s">
        <v>36</v>
      </c>
      <c r="G3" s="1" t="s">
        <v>37</v>
      </c>
      <c r="H3">
        <v>0.1</v>
      </c>
      <c r="I3" s="1" t="s">
        <v>25</v>
      </c>
      <c r="J3" s="4">
        <v>110.25</v>
      </c>
      <c r="K3" s="1" t="s">
        <v>38</v>
      </c>
      <c r="L3" s="1" t="s">
        <v>27</v>
      </c>
      <c r="M3">
        <v>0</v>
      </c>
      <c r="N3" s="1" t="s">
        <v>39</v>
      </c>
      <c r="O3" s="1" t="s">
        <v>40</v>
      </c>
      <c r="P3" s="4">
        <v>5.0199999999999996</v>
      </c>
      <c r="Q3" s="2">
        <v>45231</v>
      </c>
      <c r="R3" s="1" t="s">
        <v>41</v>
      </c>
      <c r="S3" s="1" t="s">
        <v>42</v>
      </c>
      <c r="T3" s="1" t="s">
        <v>43</v>
      </c>
      <c r="U3" s="5">
        <f>product_sales_data__1[[#This Row],[TotalPrice]]-product_sales_data__1[[#This Row],[ShippingCost]]</f>
        <v>105.23</v>
      </c>
      <c r="V3" s="5">
        <f>product_sales_data__1[[#This Row],[Quantity]]*product_sales_data__1[[#This Row],[UnitPrice]]*product_sales_data__1[[#This Row],[Discount]]</f>
        <v>12.25</v>
      </c>
    </row>
    <row r="4" spans="1:22" x14ac:dyDescent="0.3">
      <c r="A4" s="1" t="s">
        <v>44</v>
      </c>
      <c r="B4" s="1" t="s">
        <v>45</v>
      </c>
      <c r="C4" s="1" t="s">
        <v>35</v>
      </c>
      <c r="D4">
        <v>3</v>
      </c>
      <c r="E4" s="4">
        <v>330.22</v>
      </c>
      <c r="F4" s="1" t="s">
        <v>36</v>
      </c>
      <c r="G4" s="1" t="s">
        <v>24</v>
      </c>
      <c r="H4">
        <v>0.15</v>
      </c>
      <c r="I4" s="1" t="s">
        <v>46</v>
      </c>
      <c r="J4" s="4">
        <v>842.06</v>
      </c>
      <c r="K4" s="1" t="s">
        <v>47</v>
      </c>
      <c r="L4" s="1" t="s">
        <v>48</v>
      </c>
      <c r="M4">
        <v>0</v>
      </c>
      <c r="N4" s="1" t="s">
        <v>49</v>
      </c>
      <c r="O4" s="1" t="s">
        <v>50</v>
      </c>
      <c r="P4" s="4">
        <v>48.01</v>
      </c>
      <c r="Q4" s="2">
        <v>45170</v>
      </c>
      <c r="R4" s="1" t="s">
        <v>33</v>
      </c>
      <c r="S4" s="1" t="s">
        <v>51</v>
      </c>
      <c r="T4" s="1" t="s">
        <v>52</v>
      </c>
      <c r="U4" s="5">
        <f>product_sales_data__1[[#This Row],[TotalPrice]]-product_sales_data__1[[#This Row],[ShippingCost]]</f>
        <v>794.05</v>
      </c>
      <c r="V4" s="5">
        <f>product_sales_data__1[[#This Row],[Quantity]]*product_sales_data__1[[#This Row],[UnitPrice]]*product_sales_data__1[[#This Row],[Discount]]</f>
        <v>148.59900000000002</v>
      </c>
    </row>
    <row r="5" spans="1:22" x14ac:dyDescent="0.3">
      <c r="A5" s="1" t="s">
        <v>53</v>
      </c>
      <c r="B5" s="1" t="s">
        <v>54</v>
      </c>
      <c r="C5" s="1" t="s">
        <v>22</v>
      </c>
      <c r="D5">
        <v>5</v>
      </c>
      <c r="E5" s="4">
        <v>323.27999999999997</v>
      </c>
      <c r="F5" s="1" t="s">
        <v>55</v>
      </c>
      <c r="G5" s="1" t="s">
        <v>37</v>
      </c>
      <c r="H5">
        <v>0.1</v>
      </c>
      <c r="I5" s="1" t="s">
        <v>56</v>
      </c>
      <c r="J5" s="4">
        <v>1454.76</v>
      </c>
      <c r="K5" s="1" t="s">
        <v>57</v>
      </c>
      <c r="L5" s="1" t="s">
        <v>58</v>
      </c>
      <c r="M5">
        <v>0</v>
      </c>
      <c r="N5" s="1" t="s">
        <v>59</v>
      </c>
      <c r="O5" s="1" t="s">
        <v>60</v>
      </c>
      <c r="P5" s="4">
        <v>41.1</v>
      </c>
      <c r="Q5" s="2">
        <v>45780</v>
      </c>
      <c r="R5" s="1" t="s">
        <v>61</v>
      </c>
      <c r="S5" s="1" t="s">
        <v>62</v>
      </c>
      <c r="T5" s="1" t="s">
        <v>63</v>
      </c>
      <c r="U5" s="5">
        <f>product_sales_data__1[[#This Row],[TotalPrice]]-product_sales_data__1[[#This Row],[ShippingCost]]</f>
        <v>1413.66</v>
      </c>
      <c r="V5" s="5">
        <f>product_sales_data__1[[#This Row],[Quantity]]*product_sales_data__1[[#This Row],[UnitPrice]]*product_sales_data__1[[#This Row],[Discount]]</f>
        <v>161.63999999999999</v>
      </c>
    </row>
    <row r="6" spans="1:22" x14ac:dyDescent="0.3">
      <c r="A6" s="1" t="s">
        <v>64</v>
      </c>
      <c r="B6" s="1" t="s">
        <v>21</v>
      </c>
      <c r="C6" s="1" t="s">
        <v>22</v>
      </c>
      <c r="D6">
        <v>15</v>
      </c>
      <c r="E6" s="4">
        <v>523.29</v>
      </c>
      <c r="F6" s="1" t="s">
        <v>23</v>
      </c>
      <c r="G6" s="1" t="s">
        <v>24</v>
      </c>
      <c r="H6">
        <v>0.15</v>
      </c>
      <c r="I6" s="1" t="s">
        <v>65</v>
      </c>
      <c r="J6" s="4">
        <v>6671.95</v>
      </c>
      <c r="K6" s="1" t="s">
        <v>38</v>
      </c>
      <c r="L6" s="1" t="s">
        <v>48</v>
      </c>
      <c r="M6">
        <v>0</v>
      </c>
      <c r="N6" s="1" t="s">
        <v>66</v>
      </c>
      <c r="O6" s="1" t="s">
        <v>67</v>
      </c>
      <c r="P6" s="4">
        <v>12.14</v>
      </c>
      <c r="Q6" s="2">
        <v>45569</v>
      </c>
      <c r="R6" s="1" t="s">
        <v>68</v>
      </c>
      <c r="S6" s="1" t="s">
        <v>31</v>
      </c>
      <c r="T6" s="1" t="s">
        <v>32</v>
      </c>
      <c r="U6" s="5">
        <f>product_sales_data__1[[#This Row],[TotalPrice]]-product_sales_data__1[[#This Row],[ShippingCost]]</f>
        <v>6659.8099999999995</v>
      </c>
      <c r="V6" s="5">
        <f>product_sales_data__1[[#This Row],[Quantity]]*product_sales_data__1[[#This Row],[UnitPrice]]*product_sales_data__1[[#This Row],[Discount]]</f>
        <v>1177.4024999999999</v>
      </c>
    </row>
    <row r="7" spans="1:22" x14ac:dyDescent="0.3">
      <c r="A7" s="1" t="s">
        <v>69</v>
      </c>
      <c r="B7" s="1" t="s">
        <v>70</v>
      </c>
      <c r="C7" s="1" t="s">
        <v>71</v>
      </c>
      <c r="D7">
        <v>19</v>
      </c>
      <c r="E7" s="4">
        <v>207.35</v>
      </c>
      <c r="F7" s="1" t="s">
        <v>55</v>
      </c>
      <c r="G7" s="1" t="s">
        <v>37</v>
      </c>
      <c r="H7">
        <v>0.1</v>
      </c>
      <c r="I7" s="1" t="s">
        <v>65</v>
      </c>
      <c r="J7" s="4">
        <v>3545.69</v>
      </c>
      <c r="K7" s="1" t="s">
        <v>57</v>
      </c>
      <c r="L7" s="1" t="s">
        <v>48</v>
      </c>
      <c r="M7">
        <v>1</v>
      </c>
      <c r="N7" s="1" t="s">
        <v>72</v>
      </c>
      <c r="O7" s="1" t="s">
        <v>73</v>
      </c>
      <c r="P7" s="4">
        <v>44.89</v>
      </c>
      <c r="Q7" s="2">
        <v>45633</v>
      </c>
      <c r="R7" s="1" t="s">
        <v>74</v>
      </c>
      <c r="S7" s="1" t="s">
        <v>75</v>
      </c>
      <c r="T7" s="1" t="s">
        <v>76</v>
      </c>
      <c r="U7" s="5">
        <f>product_sales_data__1[[#This Row],[TotalPrice]]-product_sales_data__1[[#This Row],[ShippingCost]]</f>
        <v>3500.8</v>
      </c>
      <c r="V7" s="5">
        <f>product_sales_data__1[[#This Row],[Quantity]]*product_sales_data__1[[#This Row],[UnitPrice]]*product_sales_data__1[[#This Row],[Discount]]</f>
        <v>393.96500000000003</v>
      </c>
    </row>
    <row r="8" spans="1:22" x14ac:dyDescent="0.3">
      <c r="A8" s="1" t="s">
        <v>77</v>
      </c>
      <c r="B8" s="1" t="s">
        <v>21</v>
      </c>
      <c r="C8" s="1" t="s">
        <v>22</v>
      </c>
      <c r="D8">
        <v>15</v>
      </c>
      <c r="E8" s="4">
        <v>220.3</v>
      </c>
      <c r="F8" s="1" t="s">
        <v>23</v>
      </c>
      <c r="G8" s="1" t="s">
        <v>37</v>
      </c>
      <c r="H8">
        <v>0.15</v>
      </c>
      <c r="I8" s="1" t="s">
        <v>78</v>
      </c>
      <c r="J8" s="4">
        <v>2808.83</v>
      </c>
      <c r="K8" s="1" t="s">
        <v>38</v>
      </c>
      <c r="L8" s="1" t="s">
        <v>48</v>
      </c>
      <c r="M8">
        <v>0</v>
      </c>
      <c r="N8" s="1" t="s">
        <v>79</v>
      </c>
      <c r="O8" s="1" t="s">
        <v>80</v>
      </c>
      <c r="P8" s="4">
        <v>39.659999999999997</v>
      </c>
      <c r="Q8" s="2">
        <v>45516</v>
      </c>
      <c r="R8" s="1" t="s">
        <v>81</v>
      </c>
      <c r="S8" s="1" t="s">
        <v>31</v>
      </c>
      <c r="T8" s="1" t="s">
        <v>82</v>
      </c>
      <c r="U8" s="5">
        <f>product_sales_data__1[[#This Row],[TotalPrice]]-product_sales_data__1[[#This Row],[ShippingCost]]</f>
        <v>2769.17</v>
      </c>
      <c r="V8" s="5">
        <f>product_sales_data__1[[#This Row],[Quantity]]*product_sales_data__1[[#This Row],[UnitPrice]]*product_sales_data__1[[#This Row],[Discount]]</f>
        <v>495.67499999999995</v>
      </c>
    </row>
    <row r="9" spans="1:22" x14ac:dyDescent="0.3">
      <c r="A9" s="1" t="s">
        <v>83</v>
      </c>
      <c r="B9" s="1" t="s">
        <v>54</v>
      </c>
      <c r="C9" s="1" t="s">
        <v>35</v>
      </c>
      <c r="D9">
        <v>17</v>
      </c>
      <c r="E9" s="4">
        <v>162.96</v>
      </c>
      <c r="F9" s="1" t="s">
        <v>84</v>
      </c>
      <c r="G9" s="1" t="s">
        <v>24</v>
      </c>
      <c r="H9">
        <v>0.05</v>
      </c>
      <c r="I9" s="1" t="s">
        <v>65</v>
      </c>
      <c r="J9" s="4">
        <v>2631.8</v>
      </c>
      <c r="K9" s="1" t="s">
        <v>57</v>
      </c>
      <c r="L9" s="1" t="s">
        <v>85</v>
      </c>
      <c r="M9">
        <v>0</v>
      </c>
      <c r="N9" s="1" t="s">
        <v>86</v>
      </c>
      <c r="O9" s="1" t="s">
        <v>87</v>
      </c>
      <c r="P9" s="4">
        <v>8.11</v>
      </c>
      <c r="Q9" s="2">
        <v>45966</v>
      </c>
      <c r="R9" s="1" t="s">
        <v>88</v>
      </c>
      <c r="S9" s="1" t="s">
        <v>62</v>
      </c>
      <c r="T9" s="1" t="s">
        <v>43</v>
      </c>
      <c r="U9" s="5">
        <f>product_sales_data__1[[#This Row],[TotalPrice]]-product_sales_data__1[[#This Row],[ShippingCost]]</f>
        <v>2623.69</v>
      </c>
      <c r="V9" s="5">
        <f>product_sales_data__1[[#This Row],[Quantity]]*product_sales_data__1[[#This Row],[UnitPrice]]*product_sales_data__1[[#This Row],[Discount]]</f>
        <v>138.51600000000002</v>
      </c>
    </row>
    <row r="10" spans="1:22" x14ac:dyDescent="0.3">
      <c r="A10" s="1" t="s">
        <v>89</v>
      </c>
      <c r="B10" s="1" t="s">
        <v>54</v>
      </c>
      <c r="C10" s="1" t="s">
        <v>71</v>
      </c>
      <c r="D10">
        <v>10</v>
      </c>
      <c r="E10" s="4">
        <v>319.05</v>
      </c>
      <c r="F10" s="1" t="s">
        <v>55</v>
      </c>
      <c r="G10" s="1" t="s">
        <v>24</v>
      </c>
      <c r="H10">
        <v>0</v>
      </c>
      <c r="I10" s="1" t="s">
        <v>78</v>
      </c>
      <c r="J10" s="4">
        <v>3190.5</v>
      </c>
      <c r="K10" s="1" t="s">
        <v>26</v>
      </c>
      <c r="L10" s="1" t="s">
        <v>48</v>
      </c>
      <c r="M10">
        <v>0</v>
      </c>
      <c r="N10" s="1" t="s">
        <v>90</v>
      </c>
      <c r="O10" s="1" t="s">
        <v>91</v>
      </c>
      <c r="P10" s="4">
        <v>28.43</v>
      </c>
      <c r="Q10" s="2">
        <v>45783</v>
      </c>
      <c r="R10" s="1" t="s">
        <v>92</v>
      </c>
      <c r="S10" s="1" t="s">
        <v>62</v>
      </c>
      <c r="T10" s="1" t="s">
        <v>63</v>
      </c>
      <c r="U10" s="5">
        <f>product_sales_data__1[[#This Row],[TotalPrice]]-product_sales_data__1[[#This Row],[ShippingCost]]</f>
        <v>3162.07</v>
      </c>
      <c r="V10" s="5">
        <f>product_sales_data__1[[#This Row],[Quantity]]*product_sales_data__1[[#This Row],[UnitPrice]]*product_sales_data__1[[#This Row],[Discount]]</f>
        <v>0</v>
      </c>
    </row>
    <row r="11" spans="1:22" x14ac:dyDescent="0.3">
      <c r="A11" s="1" t="s">
        <v>93</v>
      </c>
      <c r="B11" s="1" t="s">
        <v>45</v>
      </c>
      <c r="C11" s="1" t="s">
        <v>35</v>
      </c>
      <c r="D11">
        <v>14</v>
      </c>
      <c r="E11" s="4">
        <v>312.79000000000002</v>
      </c>
      <c r="F11" s="1" t="s">
        <v>84</v>
      </c>
      <c r="G11" s="1" t="s">
        <v>37</v>
      </c>
      <c r="H11">
        <v>0.05</v>
      </c>
      <c r="I11" s="1" t="s">
        <v>94</v>
      </c>
      <c r="J11" s="4">
        <v>4160.1099999999997</v>
      </c>
      <c r="K11" s="1" t="s">
        <v>26</v>
      </c>
      <c r="L11" s="1" t="s">
        <v>48</v>
      </c>
      <c r="M11">
        <v>1</v>
      </c>
      <c r="N11" s="1" t="s">
        <v>95</v>
      </c>
      <c r="O11" s="1" t="s">
        <v>96</v>
      </c>
      <c r="P11" s="4">
        <v>46.83</v>
      </c>
      <c r="Q11" s="2">
        <v>44988</v>
      </c>
      <c r="R11" s="1" t="s">
        <v>97</v>
      </c>
      <c r="S11" s="1" t="s">
        <v>51</v>
      </c>
      <c r="T11" s="1" t="s">
        <v>98</v>
      </c>
      <c r="U11" s="5">
        <f>product_sales_data__1[[#This Row],[TotalPrice]]-product_sales_data__1[[#This Row],[ShippingCost]]</f>
        <v>4113.28</v>
      </c>
      <c r="V11" s="5">
        <f>product_sales_data__1[[#This Row],[Quantity]]*product_sales_data__1[[#This Row],[UnitPrice]]*product_sales_data__1[[#This Row],[Discount]]</f>
        <v>218.95300000000003</v>
      </c>
    </row>
    <row r="12" spans="1:22" x14ac:dyDescent="0.3">
      <c r="A12" s="1" t="s">
        <v>99</v>
      </c>
      <c r="B12" s="1" t="s">
        <v>45</v>
      </c>
      <c r="C12" s="1" t="s">
        <v>100</v>
      </c>
      <c r="D12">
        <v>12</v>
      </c>
      <c r="E12" s="4">
        <v>472.72</v>
      </c>
      <c r="F12" s="1" t="s">
        <v>55</v>
      </c>
      <c r="G12" s="1" t="s">
        <v>37</v>
      </c>
      <c r="H12">
        <v>0.15</v>
      </c>
      <c r="I12" s="1" t="s">
        <v>78</v>
      </c>
      <c r="J12" s="4">
        <v>4821.74</v>
      </c>
      <c r="K12" s="1" t="s">
        <v>101</v>
      </c>
      <c r="L12" s="1" t="s">
        <v>48</v>
      </c>
      <c r="M12">
        <v>0</v>
      </c>
      <c r="N12" s="1" t="s">
        <v>102</v>
      </c>
      <c r="O12" s="1" t="s">
        <v>103</v>
      </c>
      <c r="P12" s="4">
        <v>27.97</v>
      </c>
      <c r="Q12" s="2">
        <v>45085</v>
      </c>
      <c r="R12" s="1" t="s">
        <v>104</v>
      </c>
      <c r="S12" s="1" t="s">
        <v>51</v>
      </c>
      <c r="T12" s="1" t="s">
        <v>105</v>
      </c>
      <c r="U12" s="5">
        <f>product_sales_data__1[[#This Row],[TotalPrice]]-product_sales_data__1[[#This Row],[ShippingCost]]</f>
        <v>4793.7699999999995</v>
      </c>
      <c r="V12" s="5">
        <f>product_sales_data__1[[#This Row],[Quantity]]*product_sales_data__1[[#This Row],[UnitPrice]]*product_sales_data__1[[#This Row],[Discount]]</f>
        <v>850.89600000000007</v>
      </c>
    </row>
    <row r="13" spans="1:22" x14ac:dyDescent="0.3">
      <c r="A13" s="1" t="s">
        <v>93</v>
      </c>
      <c r="B13" s="1" t="s">
        <v>21</v>
      </c>
      <c r="C13" s="1" t="s">
        <v>71</v>
      </c>
      <c r="D13">
        <v>4</v>
      </c>
      <c r="E13" s="4">
        <v>279.49</v>
      </c>
      <c r="F13" s="1" t="s">
        <v>23</v>
      </c>
      <c r="G13" s="1" t="s">
        <v>37</v>
      </c>
      <c r="H13">
        <v>0</v>
      </c>
      <c r="I13" s="1" t="s">
        <v>78</v>
      </c>
      <c r="J13" s="4">
        <v>1117.96</v>
      </c>
      <c r="K13" s="1" t="s">
        <v>101</v>
      </c>
      <c r="L13" s="1" t="s">
        <v>85</v>
      </c>
      <c r="M13">
        <v>0</v>
      </c>
      <c r="N13" s="1" t="s">
        <v>106</v>
      </c>
      <c r="O13" s="1" t="s">
        <v>107</v>
      </c>
      <c r="P13" s="4">
        <v>24.78</v>
      </c>
      <c r="Q13" s="2">
        <v>44988</v>
      </c>
      <c r="R13" s="1" t="s">
        <v>97</v>
      </c>
      <c r="S13" s="1" t="s">
        <v>31</v>
      </c>
      <c r="T13" s="1" t="s">
        <v>98</v>
      </c>
      <c r="U13" s="5">
        <f>product_sales_data__1[[#This Row],[TotalPrice]]-product_sales_data__1[[#This Row],[ShippingCost]]</f>
        <v>1093.18</v>
      </c>
      <c r="V13" s="5">
        <f>product_sales_data__1[[#This Row],[Quantity]]*product_sales_data__1[[#This Row],[UnitPrice]]*product_sales_data__1[[#This Row],[Discount]]</f>
        <v>0</v>
      </c>
    </row>
    <row r="14" spans="1:22" x14ac:dyDescent="0.3">
      <c r="A14" s="1" t="s">
        <v>108</v>
      </c>
      <c r="B14" s="1" t="s">
        <v>45</v>
      </c>
      <c r="C14" s="1" t="s">
        <v>109</v>
      </c>
      <c r="D14">
        <v>1</v>
      </c>
      <c r="E14" s="4">
        <v>472.07</v>
      </c>
      <c r="F14" s="1" t="s">
        <v>84</v>
      </c>
      <c r="G14" s="1" t="s">
        <v>24</v>
      </c>
      <c r="H14">
        <v>0.1</v>
      </c>
      <c r="I14" s="1" t="s">
        <v>46</v>
      </c>
      <c r="J14" s="4">
        <v>424.86</v>
      </c>
      <c r="K14" s="1" t="s">
        <v>26</v>
      </c>
      <c r="L14" s="1" t="s">
        <v>85</v>
      </c>
      <c r="M14">
        <v>0</v>
      </c>
      <c r="N14" s="1" t="s">
        <v>110</v>
      </c>
      <c r="O14" s="1" t="s">
        <v>111</v>
      </c>
      <c r="P14" s="4">
        <v>33.17</v>
      </c>
      <c r="Q14" s="2">
        <v>45174</v>
      </c>
      <c r="R14" s="1" t="s">
        <v>112</v>
      </c>
      <c r="S14" s="1" t="s">
        <v>51</v>
      </c>
      <c r="T14" s="1" t="s">
        <v>52</v>
      </c>
      <c r="U14" s="5">
        <f>product_sales_data__1[[#This Row],[TotalPrice]]-product_sales_data__1[[#This Row],[ShippingCost]]</f>
        <v>391.69</v>
      </c>
      <c r="V14" s="5">
        <f>product_sales_data__1[[#This Row],[Quantity]]*product_sales_data__1[[#This Row],[UnitPrice]]*product_sales_data__1[[#This Row],[Discount]]</f>
        <v>47.207000000000001</v>
      </c>
    </row>
    <row r="15" spans="1:22" x14ac:dyDescent="0.3">
      <c r="A15" s="1" t="s">
        <v>113</v>
      </c>
      <c r="B15" s="1" t="s">
        <v>21</v>
      </c>
      <c r="C15" s="1" t="s">
        <v>109</v>
      </c>
      <c r="D15">
        <v>12</v>
      </c>
      <c r="E15" s="4">
        <v>306.29000000000002</v>
      </c>
      <c r="F15" s="1" t="s">
        <v>55</v>
      </c>
      <c r="G15" s="1" t="s">
        <v>37</v>
      </c>
      <c r="H15">
        <v>0</v>
      </c>
      <c r="I15" s="1" t="s">
        <v>56</v>
      </c>
      <c r="J15" s="4">
        <v>3675.48</v>
      </c>
      <c r="K15" s="1" t="s">
        <v>38</v>
      </c>
      <c r="L15" s="1" t="s">
        <v>58</v>
      </c>
      <c r="M15">
        <v>0</v>
      </c>
      <c r="N15" s="1" t="s">
        <v>114</v>
      </c>
      <c r="O15" s="1" t="s">
        <v>115</v>
      </c>
      <c r="P15" s="4">
        <v>37.380000000000003</v>
      </c>
      <c r="Q15" s="2">
        <v>45485</v>
      </c>
      <c r="R15" s="1" t="s">
        <v>116</v>
      </c>
      <c r="S15" s="1" t="s">
        <v>31</v>
      </c>
      <c r="T15" s="1" t="s">
        <v>117</v>
      </c>
      <c r="U15" s="5">
        <f>product_sales_data__1[[#This Row],[TotalPrice]]-product_sales_data__1[[#This Row],[ShippingCost]]</f>
        <v>3638.1</v>
      </c>
      <c r="V15" s="5">
        <f>product_sales_data__1[[#This Row],[Quantity]]*product_sales_data__1[[#This Row],[UnitPrice]]*product_sales_data__1[[#This Row],[Discount]]</f>
        <v>0</v>
      </c>
    </row>
    <row r="16" spans="1:22" x14ac:dyDescent="0.3">
      <c r="A16" s="1" t="s">
        <v>118</v>
      </c>
      <c r="B16" s="1" t="s">
        <v>34</v>
      </c>
      <c r="C16" s="1" t="s">
        <v>22</v>
      </c>
      <c r="D16">
        <v>6</v>
      </c>
      <c r="E16" s="4">
        <v>64.98</v>
      </c>
      <c r="F16" s="1" t="s">
        <v>36</v>
      </c>
      <c r="G16" s="1" t="s">
        <v>37</v>
      </c>
      <c r="H16">
        <v>0</v>
      </c>
      <c r="I16" s="1" t="s">
        <v>46</v>
      </c>
      <c r="J16" s="4">
        <v>389.88</v>
      </c>
      <c r="K16" s="1" t="s">
        <v>38</v>
      </c>
      <c r="L16" s="1" t="s">
        <v>27</v>
      </c>
      <c r="M16">
        <v>0</v>
      </c>
      <c r="N16" s="1" t="s">
        <v>119</v>
      </c>
      <c r="O16" s="1" t="s">
        <v>120</v>
      </c>
      <c r="P16" s="4">
        <v>21.25</v>
      </c>
      <c r="Q16" s="2">
        <v>45903</v>
      </c>
      <c r="R16" s="1" t="s">
        <v>121</v>
      </c>
      <c r="S16" s="1" t="s">
        <v>42</v>
      </c>
      <c r="T16" s="1" t="s">
        <v>52</v>
      </c>
      <c r="U16" s="5">
        <f>product_sales_data__1[[#This Row],[TotalPrice]]-product_sales_data__1[[#This Row],[ShippingCost]]</f>
        <v>368.63</v>
      </c>
      <c r="V16" s="5">
        <f>product_sales_data__1[[#This Row],[Quantity]]*product_sales_data__1[[#This Row],[UnitPrice]]*product_sales_data__1[[#This Row],[Discount]]</f>
        <v>0</v>
      </c>
    </row>
    <row r="17" spans="1:22" x14ac:dyDescent="0.3">
      <c r="A17" s="1" t="s">
        <v>122</v>
      </c>
      <c r="B17" s="1" t="s">
        <v>45</v>
      </c>
      <c r="C17" s="1" t="s">
        <v>22</v>
      </c>
      <c r="D17">
        <v>17</v>
      </c>
      <c r="E17" s="4">
        <v>476.49</v>
      </c>
      <c r="F17" s="1" t="s">
        <v>55</v>
      </c>
      <c r="G17" s="1" t="s">
        <v>37</v>
      </c>
      <c r="H17">
        <v>0</v>
      </c>
      <c r="I17" s="1" t="s">
        <v>25</v>
      </c>
      <c r="J17" s="4">
        <v>8100.33</v>
      </c>
      <c r="K17" s="1" t="s">
        <v>57</v>
      </c>
      <c r="L17" s="1" t="s">
        <v>48</v>
      </c>
      <c r="M17">
        <v>0</v>
      </c>
      <c r="N17" s="1" t="s">
        <v>123</v>
      </c>
      <c r="O17" s="1" t="s">
        <v>124</v>
      </c>
      <c r="P17" s="4">
        <v>17.91</v>
      </c>
      <c r="Q17" s="2">
        <v>45050</v>
      </c>
      <c r="R17" s="1" t="s">
        <v>125</v>
      </c>
      <c r="S17" s="1" t="s">
        <v>51</v>
      </c>
      <c r="T17" s="1" t="s">
        <v>63</v>
      </c>
      <c r="U17" s="5">
        <f>product_sales_data__1[[#This Row],[TotalPrice]]-product_sales_data__1[[#This Row],[ShippingCost]]</f>
        <v>8082.42</v>
      </c>
      <c r="V17" s="5">
        <f>product_sales_data__1[[#This Row],[Quantity]]*product_sales_data__1[[#This Row],[UnitPrice]]*product_sales_data__1[[#This Row],[Discount]]</f>
        <v>0</v>
      </c>
    </row>
    <row r="18" spans="1:22" x14ac:dyDescent="0.3">
      <c r="A18" s="1" t="s">
        <v>126</v>
      </c>
      <c r="B18" s="1" t="s">
        <v>21</v>
      </c>
      <c r="C18" s="1" t="s">
        <v>127</v>
      </c>
      <c r="D18">
        <v>4</v>
      </c>
      <c r="E18" s="4">
        <v>559.72</v>
      </c>
      <c r="F18" s="1" t="s">
        <v>55</v>
      </c>
      <c r="G18" s="1" t="s">
        <v>37</v>
      </c>
      <c r="H18">
        <v>0.15</v>
      </c>
      <c r="I18" s="1" t="s">
        <v>78</v>
      </c>
      <c r="J18" s="4">
        <v>1903.05</v>
      </c>
      <c r="K18" s="1" t="s">
        <v>26</v>
      </c>
      <c r="L18" s="1" t="s">
        <v>58</v>
      </c>
      <c r="M18">
        <v>0</v>
      </c>
      <c r="N18" s="1" t="s">
        <v>128</v>
      </c>
      <c r="O18" s="1" t="s">
        <v>129</v>
      </c>
      <c r="P18" s="4">
        <v>41.91</v>
      </c>
      <c r="Q18" s="2">
        <v>45874</v>
      </c>
      <c r="R18" s="1" t="s">
        <v>130</v>
      </c>
      <c r="S18" s="1" t="s">
        <v>31</v>
      </c>
      <c r="T18" s="1" t="s">
        <v>82</v>
      </c>
      <c r="U18" s="5">
        <f>product_sales_data__1[[#This Row],[TotalPrice]]-product_sales_data__1[[#This Row],[ShippingCost]]</f>
        <v>1861.1399999999999</v>
      </c>
      <c r="V18" s="5">
        <f>product_sales_data__1[[#This Row],[Quantity]]*product_sales_data__1[[#This Row],[UnitPrice]]*product_sales_data__1[[#This Row],[Discount]]</f>
        <v>335.83199999999999</v>
      </c>
    </row>
    <row r="19" spans="1:22" x14ac:dyDescent="0.3">
      <c r="A19" s="1" t="s">
        <v>131</v>
      </c>
      <c r="B19" s="1" t="s">
        <v>21</v>
      </c>
      <c r="C19" s="1" t="s">
        <v>109</v>
      </c>
      <c r="D19">
        <v>14</v>
      </c>
      <c r="E19" s="4">
        <v>82.14</v>
      </c>
      <c r="F19" s="1" t="s">
        <v>36</v>
      </c>
      <c r="G19" s="1" t="s">
        <v>37</v>
      </c>
      <c r="H19">
        <v>0</v>
      </c>
      <c r="I19" s="1" t="s">
        <v>25</v>
      </c>
      <c r="J19" s="4">
        <v>1149.96</v>
      </c>
      <c r="K19" s="1" t="s">
        <v>101</v>
      </c>
      <c r="L19" s="1" t="s">
        <v>48</v>
      </c>
      <c r="M19">
        <v>0</v>
      </c>
      <c r="N19" s="1" t="s">
        <v>132</v>
      </c>
      <c r="O19" s="1" t="s">
        <v>133</v>
      </c>
      <c r="P19" s="4">
        <v>12.57</v>
      </c>
      <c r="Q19" s="2">
        <v>44994</v>
      </c>
      <c r="R19" s="1" t="s">
        <v>134</v>
      </c>
      <c r="S19" s="1" t="s">
        <v>31</v>
      </c>
      <c r="T19" s="1" t="s">
        <v>98</v>
      </c>
      <c r="U19" s="5">
        <f>product_sales_data__1[[#This Row],[TotalPrice]]-product_sales_data__1[[#This Row],[ShippingCost]]</f>
        <v>1137.3900000000001</v>
      </c>
      <c r="V19" s="5">
        <f>product_sales_data__1[[#This Row],[Quantity]]*product_sales_data__1[[#This Row],[UnitPrice]]*product_sales_data__1[[#This Row],[Discount]]</f>
        <v>0</v>
      </c>
    </row>
    <row r="20" spans="1:22" x14ac:dyDescent="0.3">
      <c r="A20" s="1" t="s">
        <v>135</v>
      </c>
      <c r="B20" s="1" t="s">
        <v>45</v>
      </c>
      <c r="C20" s="1" t="s">
        <v>100</v>
      </c>
      <c r="D20">
        <v>2</v>
      </c>
      <c r="E20" s="4">
        <v>503.28</v>
      </c>
      <c r="F20" s="1" t="s">
        <v>55</v>
      </c>
      <c r="G20" s="1" t="s">
        <v>37</v>
      </c>
      <c r="H20">
        <v>0.15</v>
      </c>
      <c r="I20" s="1" t="s">
        <v>25</v>
      </c>
      <c r="J20" s="4">
        <v>855.58</v>
      </c>
      <c r="K20" s="1" t="s">
        <v>57</v>
      </c>
      <c r="L20" s="1" t="s">
        <v>48</v>
      </c>
      <c r="M20">
        <v>0</v>
      </c>
      <c r="N20" s="1" t="s">
        <v>136</v>
      </c>
      <c r="O20" s="1" t="s">
        <v>137</v>
      </c>
      <c r="P20" s="4">
        <v>34.79</v>
      </c>
      <c r="Q20" s="2">
        <v>45175</v>
      </c>
      <c r="R20" s="1" t="s">
        <v>138</v>
      </c>
      <c r="S20" s="1" t="s">
        <v>51</v>
      </c>
      <c r="T20" s="1" t="s">
        <v>52</v>
      </c>
      <c r="U20" s="5">
        <f>product_sales_data__1[[#This Row],[TotalPrice]]-product_sales_data__1[[#This Row],[ShippingCost]]</f>
        <v>820.79000000000008</v>
      </c>
      <c r="V20" s="5">
        <f>product_sales_data__1[[#This Row],[Quantity]]*product_sales_data__1[[#This Row],[UnitPrice]]*product_sales_data__1[[#This Row],[Discount]]</f>
        <v>150.98399999999998</v>
      </c>
    </row>
    <row r="21" spans="1:22" x14ac:dyDescent="0.3">
      <c r="A21" s="1" t="s">
        <v>139</v>
      </c>
      <c r="B21" s="1" t="s">
        <v>34</v>
      </c>
      <c r="C21" s="1" t="s">
        <v>140</v>
      </c>
      <c r="D21">
        <v>5</v>
      </c>
      <c r="E21" s="4">
        <v>470.32</v>
      </c>
      <c r="F21" s="1" t="s">
        <v>84</v>
      </c>
      <c r="G21" s="1" t="s">
        <v>37</v>
      </c>
      <c r="H21">
        <v>0.1</v>
      </c>
      <c r="I21" s="1" t="s">
        <v>65</v>
      </c>
      <c r="J21" s="4">
        <v>2116.44</v>
      </c>
      <c r="K21" s="1" t="s">
        <v>38</v>
      </c>
      <c r="L21" s="1" t="s">
        <v>58</v>
      </c>
      <c r="M21">
        <v>0</v>
      </c>
      <c r="N21" s="1" t="s">
        <v>141</v>
      </c>
      <c r="O21" s="1" t="s">
        <v>142</v>
      </c>
      <c r="P21" s="4">
        <v>17.77</v>
      </c>
      <c r="Q21" s="2">
        <v>45207</v>
      </c>
      <c r="R21" s="1" t="s">
        <v>104</v>
      </c>
      <c r="S21" s="1" t="s">
        <v>42</v>
      </c>
      <c r="T21" s="1" t="s">
        <v>32</v>
      </c>
      <c r="U21" s="5">
        <f>product_sales_data__1[[#This Row],[TotalPrice]]-product_sales_data__1[[#This Row],[ShippingCost]]</f>
        <v>2098.67</v>
      </c>
      <c r="V21" s="5">
        <f>product_sales_data__1[[#This Row],[Quantity]]*product_sales_data__1[[#This Row],[UnitPrice]]*product_sales_data__1[[#This Row],[Discount]]</f>
        <v>235.16</v>
      </c>
    </row>
    <row r="22" spans="1:22" x14ac:dyDescent="0.3">
      <c r="A22" s="1" t="s">
        <v>143</v>
      </c>
      <c r="B22" s="1" t="s">
        <v>34</v>
      </c>
      <c r="C22" s="1" t="s">
        <v>109</v>
      </c>
      <c r="D22">
        <v>16</v>
      </c>
      <c r="E22" s="4">
        <v>302.58</v>
      </c>
      <c r="F22" s="1" t="s">
        <v>55</v>
      </c>
      <c r="G22" s="1" t="s">
        <v>37</v>
      </c>
      <c r="H22">
        <v>0</v>
      </c>
      <c r="I22" s="1" t="s">
        <v>25</v>
      </c>
      <c r="J22" s="4">
        <v>4841.28</v>
      </c>
      <c r="K22" s="1" t="s">
        <v>26</v>
      </c>
      <c r="L22" s="1" t="s">
        <v>27</v>
      </c>
      <c r="M22">
        <v>1</v>
      </c>
      <c r="N22" s="1" t="s">
        <v>144</v>
      </c>
      <c r="O22" s="1" t="s">
        <v>145</v>
      </c>
      <c r="P22" s="4">
        <v>20.76</v>
      </c>
      <c r="Q22" s="2">
        <v>45388</v>
      </c>
      <c r="R22" s="1" t="s">
        <v>146</v>
      </c>
      <c r="S22" s="1" t="s">
        <v>42</v>
      </c>
      <c r="T22" s="1" t="s">
        <v>147</v>
      </c>
      <c r="U22" s="5">
        <f>product_sales_data__1[[#This Row],[TotalPrice]]-product_sales_data__1[[#This Row],[ShippingCost]]</f>
        <v>4820.5199999999995</v>
      </c>
      <c r="V22" s="5">
        <f>product_sales_data__1[[#This Row],[Quantity]]*product_sales_data__1[[#This Row],[UnitPrice]]*product_sales_data__1[[#This Row],[Discount]]</f>
        <v>0</v>
      </c>
    </row>
    <row r="23" spans="1:22" x14ac:dyDescent="0.3">
      <c r="A23" s="1" t="s">
        <v>148</v>
      </c>
      <c r="B23" s="1" t="s">
        <v>54</v>
      </c>
      <c r="C23" s="1" t="s">
        <v>35</v>
      </c>
      <c r="D23">
        <v>11</v>
      </c>
      <c r="E23" s="4">
        <v>33.130000000000003</v>
      </c>
      <c r="F23" s="1" t="s">
        <v>84</v>
      </c>
      <c r="G23" s="1" t="s">
        <v>37</v>
      </c>
      <c r="H23">
        <v>0.15</v>
      </c>
      <c r="I23" s="1" t="s">
        <v>56</v>
      </c>
      <c r="J23" s="4">
        <v>309.77</v>
      </c>
      <c r="K23" s="1" t="s">
        <v>26</v>
      </c>
      <c r="L23" s="1" t="s">
        <v>85</v>
      </c>
      <c r="M23">
        <v>0</v>
      </c>
      <c r="N23" s="1" t="s">
        <v>149</v>
      </c>
      <c r="O23" s="1" t="s">
        <v>150</v>
      </c>
      <c r="P23" s="4">
        <v>24.95</v>
      </c>
      <c r="Q23" s="2">
        <v>45718</v>
      </c>
      <c r="R23" s="1" t="s">
        <v>151</v>
      </c>
      <c r="S23" s="1" t="s">
        <v>62</v>
      </c>
      <c r="T23" s="1" t="s">
        <v>98</v>
      </c>
      <c r="U23" s="5">
        <f>product_sales_data__1[[#This Row],[TotalPrice]]-product_sales_data__1[[#This Row],[ShippingCost]]</f>
        <v>284.82</v>
      </c>
      <c r="V23" s="5">
        <f>product_sales_data__1[[#This Row],[Quantity]]*product_sales_data__1[[#This Row],[UnitPrice]]*product_sales_data__1[[#This Row],[Discount]]</f>
        <v>54.664499999999997</v>
      </c>
    </row>
    <row r="24" spans="1:22" x14ac:dyDescent="0.3">
      <c r="A24" s="1" t="s">
        <v>152</v>
      </c>
      <c r="B24" s="1" t="s">
        <v>70</v>
      </c>
      <c r="C24" s="1" t="s">
        <v>109</v>
      </c>
      <c r="D24">
        <v>8</v>
      </c>
      <c r="E24" s="4">
        <v>582.52</v>
      </c>
      <c r="F24" s="1" t="s">
        <v>55</v>
      </c>
      <c r="G24" s="1" t="s">
        <v>37</v>
      </c>
      <c r="H24">
        <v>0.15</v>
      </c>
      <c r="I24" s="1" t="s">
        <v>56</v>
      </c>
      <c r="J24" s="4">
        <v>3961.14</v>
      </c>
      <c r="K24" s="1" t="s">
        <v>57</v>
      </c>
      <c r="L24" s="1" t="s">
        <v>27</v>
      </c>
      <c r="M24">
        <v>0</v>
      </c>
      <c r="N24" s="1" t="s">
        <v>153</v>
      </c>
      <c r="O24" s="1" t="s">
        <v>154</v>
      </c>
      <c r="P24" s="4">
        <v>6.47</v>
      </c>
      <c r="Q24" s="2">
        <v>45536</v>
      </c>
      <c r="R24" s="1" t="s">
        <v>155</v>
      </c>
      <c r="S24" s="1" t="s">
        <v>75</v>
      </c>
      <c r="T24" s="1" t="s">
        <v>52</v>
      </c>
      <c r="U24" s="5">
        <f>product_sales_data__1[[#This Row],[TotalPrice]]-product_sales_data__1[[#This Row],[ShippingCost]]</f>
        <v>3954.67</v>
      </c>
      <c r="V24" s="5">
        <f>product_sales_data__1[[#This Row],[Quantity]]*product_sales_data__1[[#This Row],[UnitPrice]]*product_sales_data__1[[#This Row],[Discount]]</f>
        <v>699.024</v>
      </c>
    </row>
    <row r="25" spans="1:22" x14ac:dyDescent="0.3">
      <c r="A25" s="1" t="s">
        <v>156</v>
      </c>
      <c r="B25" s="1" t="s">
        <v>54</v>
      </c>
      <c r="C25" s="1" t="s">
        <v>127</v>
      </c>
      <c r="D25">
        <v>14</v>
      </c>
      <c r="E25" s="4">
        <v>242.82</v>
      </c>
      <c r="F25" s="1" t="s">
        <v>55</v>
      </c>
      <c r="G25" s="1" t="s">
        <v>24</v>
      </c>
      <c r="H25">
        <v>0.15</v>
      </c>
      <c r="I25" s="1" t="s">
        <v>25</v>
      </c>
      <c r="J25" s="4">
        <v>2889.56</v>
      </c>
      <c r="K25" s="1" t="s">
        <v>47</v>
      </c>
      <c r="L25" s="1" t="s">
        <v>27</v>
      </c>
      <c r="M25">
        <v>1</v>
      </c>
      <c r="N25" s="1" t="s">
        <v>157</v>
      </c>
      <c r="O25" s="1" t="s">
        <v>158</v>
      </c>
      <c r="P25" s="4">
        <v>20.71</v>
      </c>
      <c r="Q25" s="2">
        <v>45452</v>
      </c>
      <c r="R25" s="1" t="s">
        <v>159</v>
      </c>
      <c r="S25" s="1" t="s">
        <v>62</v>
      </c>
      <c r="T25" s="1" t="s">
        <v>105</v>
      </c>
      <c r="U25" s="5">
        <f>product_sales_data__1[[#This Row],[TotalPrice]]-product_sales_data__1[[#This Row],[ShippingCost]]</f>
        <v>2868.85</v>
      </c>
      <c r="V25" s="5">
        <f>product_sales_data__1[[#This Row],[Quantity]]*product_sales_data__1[[#This Row],[UnitPrice]]*product_sales_data__1[[#This Row],[Discount]]</f>
        <v>509.92199999999997</v>
      </c>
    </row>
    <row r="26" spans="1:22" x14ac:dyDescent="0.3">
      <c r="A26" s="1" t="s">
        <v>160</v>
      </c>
      <c r="B26" s="1" t="s">
        <v>34</v>
      </c>
      <c r="C26" s="1" t="s">
        <v>100</v>
      </c>
      <c r="D26">
        <v>1</v>
      </c>
      <c r="E26" s="4">
        <v>269.41000000000003</v>
      </c>
      <c r="F26" s="1" t="s">
        <v>23</v>
      </c>
      <c r="G26" s="1" t="s">
        <v>24</v>
      </c>
      <c r="H26">
        <v>0.1</v>
      </c>
      <c r="I26" s="1" t="s">
        <v>65</v>
      </c>
      <c r="J26" s="4">
        <v>242.47</v>
      </c>
      <c r="K26" s="1" t="s">
        <v>47</v>
      </c>
      <c r="L26" s="1" t="s">
        <v>27</v>
      </c>
      <c r="M26">
        <v>1</v>
      </c>
      <c r="N26" s="1" t="s">
        <v>161</v>
      </c>
      <c r="O26" s="1" t="s">
        <v>162</v>
      </c>
      <c r="P26" s="4">
        <v>19.22</v>
      </c>
      <c r="Q26" s="2">
        <v>45635</v>
      </c>
      <c r="R26" s="1" t="s">
        <v>163</v>
      </c>
      <c r="S26" s="1" t="s">
        <v>42</v>
      </c>
      <c r="T26" s="1" t="s">
        <v>76</v>
      </c>
      <c r="U26" s="5">
        <f>product_sales_data__1[[#This Row],[TotalPrice]]-product_sales_data__1[[#This Row],[ShippingCost]]</f>
        <v>223.25</v>
      </c>
      <c r="V26" s="5">
        <f>product_sales_data__1[[#This Row],[Quantity]]*product_sales_data__1[[#This Row],[UnitPrice]]*product_sales_data__1[[#This Row],[Discount]]</f>
        <v>26.941000000000003</v>
      </c>
    </row>
    <row r="27" spans="1:22" x14ac:dyDescent="0.3">
      <c r="A27" s="1" t="s">
        <v>164</v>
      </c>
      <c r="B27" s="1" t="s">
        <v>34</v>
      </c>
      <c r="C27" s="1" t="s">
        <v>127</v>
      </c>
      <c r="D27">
        <v>2</v>
      </c>
      <c r="E27" s="4">
        <v>371.3</v>
      </c>
      <c r="F27" s="1" t="s">
        <v>23</v>
      </c>
      <c r="G27" s="1" t="s">
        <v>24</v>
      </c>
      <c r="H27">
        <v>0.05</v>
      </c>
      <c r="I27" s="1" t="s">
        <v>94</v>
      </c>
      <c r="J27" s="4">
        <v>705.47</v>
      </c>
      <c r="K27" s="1" t="s">
        <v>101</v>
      </c>
      <c r="L27" s="1" t="s">
        <v>58</v>
      </c>
      <c r="M27">
        <v>0</v>
      </c>
      <c r="N27" s="1" t="s">
        <v>165</v>
      </c>
      <c r="O27" s="1" t="s">
        <v>166</v>
      </c>
      <c r="P27" s="4">
        <v>36.51</v>
      </c>
      <c r="Q27" s="2">
        <v>45413</v>
      </c>
      <c r="R27" s="1" t="s">
        <v>167</v>
      </c>
      <c r="S27" s="1" t="s">
        <v>42</v>
      </c>
      <c r="T27" s="1" t="s">
        <v>63</v>
      </c>
      <c r="U27" s="5">
        <f>product_sales_data__1[[#This Row],[TotalPrice]]-product_sales_data__1[[#This Row],[ShippingCost]]</f>
        <v>668.96</v>
      </c>
      <c r="V27" s="5">
        <f>product_sales_data__1[[#This Row],[Quantity]]*product_sales_data__1[[#This Row],[UnitPrice]]*product_sales_data__1[[#This Row],[Discount]]</f>
        <v>37.130000000000003</v>
      </c>
    </row>
    <row r="28" spans="1:22" x14ac:dyDescent="0.3">
      <c r="A28" s="1" t="s">
        <v>168</v>
      </c>
      <c r="B28" s="1" t="s">
        <v>45</v>
      </c>
      <c r="C28" s="1" t="s">
        <v>109</v>
      </c>
      <c r="D28">
        <v>11</v>
      </c>
      <c r="E28" s="4">
        <v>232.75</v>
      </c>
      <c r="F28" s="1" t="s">
        <v>55</v>
      </c>
      <c r="G28" s="1" t="s">
        <v>24</v>
      </c>
      <c r="H28">
        <v>0.05</v>
      </c>
      <c r="I28" s="1" t="s">
        <v>65</v>
      </c>
      <c r="J28" s="4">
        <v>2432.2399999999998</v>
      </c>
      <c r="K28" s="1" t="s">
        <v>101</v>
      </c>
      <c r="L28" s="1" t="s">
        <v>58</v>
      </c>
      <c r="M28">
        <v>0</v>
      </c>
      <c r="N28" s="1" t="s">
        <v>169</v>
      </c>
      <c r="O28" s="1" t="s">
        <v>170</v>
      </c>
      <c r="P28" s="4">
        <v>36.33</v>
      </c>
      <c r="Q28" s="2">
        <v>45967</v>
      </c>
      <c r="R28" s="1" t="s">
        <v>171</v>
      </c>
      <c r="S28" s="1" t="s">
        <v>51</v>
      </c>
      <c r="T28" s="1" t="s">
        <v>43</v>
      </c>
      <c r="U28" s="5">
        <f>product_sales_data__1[[#This Row],[TotalPrice]]-product_sales_data__1[[#This Row],[ShippingCost]]</f>
        <v>2395.91</v>
      </c>
      <c r="V28" s="5">
        <f>product_sales_data__1[[#This Row],[Quantity]]*product_sales_data__1[[#This Row],[UnitPrice]]*product_sales_data__1[[#This Row],[Discount]]</f>
        <v>128.01250000000002</v>
      </c>
    </row>
    <row r="29" spans="1:22" x14ac:dyDescent="0.3">
      <c r="A29" s="1" t="s">
        <v>172</v>
      </c>
      <c r="B29" s="1" t="s">
        <v>70</v>
      </c>
      <c r="C29" s="1" t="s">
        <v>71</v>
      </c>
      <c r="D29">
        <v>17</v>
      </c>
      <c r="E29" s="4">
        <v>146.28</v>
      </c>
      <c r="F29" s="1" t="s">
        <v>23</v>
      </c>
      <c r="G29" s="1" t="s">
        <v>37</v>
      </c>
      <c r="H29">
        <v>0.15</v>
      </c>
      <c r="I29" s="1" t="s">
        <v>46</v>
      </c>
      <c r="J29" s="4">
        <v>2113.75</v>
      </c>
      <c r="K29" s="1" t="s">
        <v>47</v>
      </c>
      <c r="L29" s="1" t="s">
        <v>58</v>
      </c>
      <c r="M29">
        <v>0</v>
      </c>
      <c r="N29" s="1" t="s">
        <v>173</v>
      </c>
      <c r="O29" s="1" t="s">
        <v>174</v>
      </c>
      <c r="P29" s="4">
        <v>7.84</v>
      </c>
      <c r="Q29" s="2">
        <v>45811</v>
      </c>
      <c r="R29" s="1" t="s">
        <v>121</v>
      </c>
      <c r="S29" s="1" t="s">
        <v>75</v>
      </c>
      <c r="T29" s="1" t="s">
        <v>105</v>
      </c>
      <c r="U29" s="5">
        <f>product_sales_data__1[[#This Row],[TotalPrice]]-product_sales_data__1[[#This Row],[ShippingCost]]</f>
        <v>2105.91</v>
      </c>
      <c r="V29" s="5">
        <f>product_sales_data__1[[#This Row],[Quantity]]*product_sales_data__1[[#This Row],[UnitPrice]]*product_sales_data__1[[#This Row],[Discount]]</f>
        <v>373.01400000000001</v>
      </c>
    </row>
    <row r="30" spans="1:22" x14ac:dyDescent="0.3">
      <c r="A30" s="1" t="s">
        <v>175</v>
      </c>
      <c r="B30" s="1" t="s">
        <v>45</v>
      </c>
      <c r="C30" s="1" t="s">
        <v>71</v>
      </c>
      <c r="D30">
        <v>8</v>
      </c>
      <c r="E30" s="4">
        <v>301.68</v>
      </c>
      <c r="F30" s="1" t="s">
        <v>55</v>
      </c>
      <c r="G30" s="1" t="s">
        <v>37</v>
      </c>
      <c r="H30">
        <v>0</v>
      </c>
      <c r="I30" s="1" t="s">
        <v>65</v>
      </c>
      <c r="J30" s="4">
        <v>2413.44</v>
      </c>
      <c r="K30" s="1" t="s">
        <v>47</v>
      </c>
      <c r="L30" s="1" t="s">
        <v>58</v>
      </c>
      <c r="M30">
        <v>0</v>
      </c>
      <c r="N30" s="1" t="s">
        <v>176</v>
      </c>
      <c r="O30" s="1" t="s">
        <v>177</v>
      </c>
      <c r="P30" s="4">
        <v>36.54</v>
      </c>
      <c r="Q30" s="2">
        <v>45266</v>
      </c>
      <c r="R30" s="1" t="s">
        <v>178</v>
      </c>
      <c r="S30" s="1" t="s">
        <v>51</v>
      </c>
      <c r="T30" s="1" t="s">
        <v>76</v>
      </c>
      <c r="U30" s="5">
        <f>product_sales_data__1[[#This Row],[TotalPrice]]-product_sales_data__1[[#This Row],[ShippingCost]]</f>
        <v>2376.9</v>
      </c>
      <c r="V30" s="5">
        <f>product_sales_data__1[[#This Row],[Quantity]]*product_sales_data__1[[#This Row],[UnitPrice]]*product_sales_data__1[[#This Row],[Discount]]</f>
        <v>0</v>
      </c>
    </row>
    <row r="31" spans="1:22" x14ac:dyDescent="0.3">
      <c r="A31" s="1" t="s">
        <v>179</v>
      </c>
      <c r="B31" s="1" t="s">
        <v>34</v>
      </c>
      <c r="C31" s="1" t="s">
        <v>35</v>
      </c>
      <c r="D31">
        <v>15</v>
      </c>
      <c r="E31" s="4">
        <v>511.17</v>
      </c>
      <c r="F31" s="1" t="s">
        <v>23</v>
      </c>
      <c r="G31" s="1" t="s">
        <v>24</v>
      </c>
      <c r="H31">
        <v>0</v>
      </c>
      <c r="I31" s="1" t="s">
        <v>56</v>
      </c>
      <c r="J31" s="4">
        <v>7667.55</v>
      </c>
      <c r="K31" s="1" t="s">
        <v>26</v>
      </c>
      <c r="L31" s="1" t="s">
        <v>85</v>
      </c>
      <c r="M31">
        <v>0</v>
      </c>
      <c r="N31" s="1" t="s">
        <v>180</v>
      </c>
      <c r="O31" s="1" t="s">
        <v>181</v>
      </c>
      <c r="P31" s="4">
        <v>21.77</v>
      </c>
      <c r="Q31" s="2">
        <v>45181</v>
      </c>
      <c r="R31" s="1" t="s">
        <v>182</v>
      </c>
      <c r="S31" s="1" t="s">
        <v>42</v>
      </c>
      <c r="T31" s="1" t="s">
        <v>52</v>
      </c>
      <c r="U31" s="5">
        <f>product_sales_data__1[[#This Row],[TotalPrice]]-product_sales_data__1[[#This Row],[ShippingCost]]</f>
        <v>7645.78</v>
      </c>
      <c r="V31" s="5">
        <f>product_sales_data__1[[#This Row],[Quantity]]*product_sales_data__1[[#This Row],[UnitPrice]]*product_sales_data__1[[#This Row],[Discount]]</f>
        <v>0</v>
      </c>
    </row>
    <row r="32" spans="1:22" x14ac:dyDescent="0.3">
      <c r="A32" s="1" t="s">
        <v>183</v>
      </c>
      <c r="B32" s="1" t="s">
        <v>45</v>
      </c>
      <c r="C32" s="1" t="s">
        <v>127</v>
      </c>
      <c r="D32">
        <v>3</v>
      </c>
      <c r="E32" s="4">
        <v>66.58</v>
      </c>
      <c r="F32" s="1" t="s">
        <v>23</v>
      </c>
      <c r="G32" s="1" t="s">
        <v>37</v>
      </c>
      <c r="H32">
        <v>0.1</v>
      </c>
      <c r="I32" s="1" t="s">
        <v>56</v>
      </c>
      <c r="J32" s="4">
        <v>179.77</v>
      </c>
      <c r="K32" s="1" t="s">
        <v>38</v>
      </c>
      <c r="L32" s="1" t="s">
        <v>85</v>
      </c>
      <c r="M32">
        <v>0</v>
      </c>
      <c r="N32" s="1" t="s">
        <v>184</v>
      </c>
      <c r="O32" s="1" t="s">
        <v>185</v>
      </c>
      <c r="P32" s="4">
        <v>22.43</v>
      </c>
      <c r="Q32" s="2">
        <v>44936</v>
      </c>
      <c r="R32" s="1" t="s">
        <v>186</v>
      </c>
      <c r="S32" s="1" t="s">
        <v>51</v>
      </c>
      <c r="T32" s="1" t="s">
        <v>187</v>
      </c>
      <c r="U32" s="5">
        <f>product_sales_data__1[[#This Row],[TotalPrice]]-product_sales_data__1[[#This Row],[ShippingCost]]</f>
        <v>157.34</v>
      </c>
      <c r="V32" s="5">
        <f>product_sales_data__1[[#This Row],[Quantity]]*product_sales_data__1[[#This Row],[UnitPrice]]*product_sales_data__1[[#This Row],[Discount]]</f>
        <v>19.974000000000004</v>
      </c>
    </row>
    <row r="33" spans="1:22" x14ac:dyDescent="0.3">
      <c r="A33" s="1" t="s">
        <v>188</v>
      </c>
      <c r="B33" s="1" t="s">
        <v>70</v>
      </c>
      <c r="C33" s="1" t="s">
        <v>109</v>
      </c>
      <c r="D33">
        <v>15</v>
      </c>
      <c r="E33" s="4">
        <v>328.36</v>
      </c>
      <c r="F33" s="1" t="s">
        <v>55</v>
      </c>
      <c r="G33" s="1" t="s">
        <v>37</v>
      </c>
      <c r="H33">
        <v>0.15</v>
      </c>
      <c r="I33" s="1" t="s">
        <v>25</v>
      </c>
      <c r="J33" s="4">
        <v>4186.59</v>
      </c>
      <c r="K33" s="1" t="s">
        <v>57</v>
      </c>
      <c r="L33" s="1" t="s">
        <v>27</v>
      </c>
      <c r="M33">
        <v>0</v>
      </c>
      <c r="N33" s="1" t="s">
        <v>189</v>
      </c>
      <c r="O33" s="1" t="s">
        <v>190</v>
      </c>
      <c r="P33" s="4">
        <v>15.76</v>
      </c>
      <c r="Q33" s="2">
        <v>45354</v>
      </c>
      <c r="R33" s="1" t="s">
        <v>191</v>
      </c>
      <c r="S33" s="1" t="s">
        <v>75</v>
      </c>
      <c r="T33" s="1" t="s">
        <v>98</v>
      </c>
      <c r="U33" s="5">
        <f>product_sales_data__1[[#This Row],[TotalPrice]]-product_sales_data__1[[#This Row],[ShippingCost]]</f>
        <v>4170.83</v>
      </c>
      <c r="V33" s="5">
        <f>product_sales_data__1[[#This Row],[Quantity]]*product_sales_data__1[[#This Row],[UnitPrice]]*product_sales_data__1[[#This Row],[Discount]]</f>
        <v>738.81000000000006</v>
      </c>
    </row>
    <row r="34" spans="1:22" x14ac:dyDescent="0.3">
      <c r="A34" s="1" t="s">
        <v>192</v>
      </c>
      <c r="B34" s="1" t="s">
        <v>45</v>
      </c>
      <c r="C34" s="1" t="s">
        <v>109</v>
      </c>
      <c r="D34">
        <v>20</v>
      </c>
      <c r="E34" s="4">
        <v>548.01</v>
      </c>
      <c r="F34" s="1" t="s">
        <v>84</v>
      </c>
      <c r="G34" s="1" t="s">
        <v>24</v>
      </c>
      <c r="H34">
        <v>0.1</v>
      </c>
      <c r="I34" s="1" t="s">
        <v>65</v>
      </c>
      <c r="J34" s="4">
        <v>9864.18</v>
      </c>
      <c r="K34" s="1" t="s">
        <v>101</v>
      </c>
      <c r="L34" s="1" t="s">
        <v>27</v>
      </c>
      <c r="M34">
        <v>1</v>
      </c>
      <c r="N34" s="1" t="s">
        <v>193</v>
      </c>
      <c r="O34" s="1" t="s">
        <v>194</v>
      </c>
      <c r="P34" s="4">
        <v>5.89</v>
      </c>
      <c r="Q34" s="2">
        <v>45232</v>
      </c>
      <c r="R34" s="1" t="s">
        <v>195</v>
      </c>
      <c r="S34" s="1" t="s">
        <v>51</v>
      </c>
      <c r="T34" s="1" t="s">
        <v>43</v>
      </c>
      <c r="U34" s="5">
        <f>product_sales_data__1[[#This Row],[TotalPrice]]-product_sales_data__1[[#This Row],[ShippingCost]]</f>
        <v>9858.2900000000009</v>
      </c>
      <c r="V34" s="5">
        <f>product_sales_data__1[[#This Row],[Quantity]]*product_sales_data__1[[#This Row],[UnitPrice]]*product_sales_data__1[[#This Row],[Discount]]</f>
        <v>1096.0200000000002</v>
      </c>
    </row>
    <row r="35" spans="1:22" x14ac:dyDescent="0.3">
      <c r="A35" s="1" t="s">
        <v>196</v>
      </c>
      <c r="B35" s="1" t="s">
        <v>45</v>
      </c>
      <c r="C35" s="1" t="s">
        <v>140</v>
      </c>
      <c r="D35">
        <v>19</v>
      </c>
      <c r="E35" s="4">
        <v>351.93</v>
      </c>
      <c r="F35" s="1" t="s">
        <v>84</v>
      </c>
      <c r="G35" s="1" t="s">
        <v>24</v>
      </c>
      <c r="H35">
        <v>0</v>
      </c>
      <c r="I35" s="1" t="s">
        <v>25</v>
      </c>
      <c r="J35" s="4">
        <v>6686.67</v>
      </c>
      <c r="K35" s="1" t="s">
        <v>101</v>
      </c>
      <c r="L35" s="1" t="s">
        <v>48</v>
      </c>
      <c r="M35">
        <v>0</v>
      </c>
      <c r="N35" s="1" t="s">
        <v>197</v>
      </c>
      <c r="O35" s="1" t="s">
        <v>198</v>
      </c>
      <c r="P35" s="4">
        <v>39.979999999999997</v>
      </c>
      <c r="Q35" s="2">
        <v>45323</v>
      </c>
      <c r="R35" s="1" t="s">
        <v>164</v>
      </c>
      <c r="S35" s="1" t="s">
        <v>51</v>
      </c>
      <c r="T35" s="1" t="s">
        <v>199</v>
      </c>
      <c r="U35" s="5">
        <f>product_sales_data__1[[#This Row],[TotalPrice]]-product_sales_data__1[[#This Row],[ShippingCost]]</f>
        <v>6646.6900000000005</v>
      </c>
      <c r="V35" s="5">
        <f>product_sales_data__1[[#This Row],[Quantity]]*product_sales_data__1[[#This Row],[UnitPrice]]*product_sales_data__1[[#This Row],[Discount]]</f>
        <v>0</v>
      </c>
    </row>
    <row r="36" spans="1:22" x14ac:dyDescent="0.3">
      <c r="A36" s="1" t="s">
        <v>200</v>
      </c>
      <c r="B36" s="1" t="s">
        <v>70</v>
      </c>
      <c r="C36" s="1" t="s">
        <v>127</v>
      </c>
      <c r="D36">
        <v>5</v>
      </c>
      <c r="E36" s="4">
        <v>416.95</v>
      </c>
      <c r="F36" s="1" t="s">
        <v>84</v>
      </c>
      <c r="G36" s="1" t="s">
        <v>24</v>
      </c>
      <c r="H36">
        <v>0.15</v>
      </c>
      <c r="I36" s="1" t="s">
        <v>56</v>
      </c>
      <c r="J36" s="4">
        <v>1772.04</v>
      </c>
      <c r="K36" s="1" t="s">
        <v>26</v>
      </c>
      <c r="L36" s="1" t="s">
        <v>48</v>
      </c>
      <c r="M36">
        <v>1</v>
      </c>
      <c r="N36" s="1" t="s">
        <v>201</v>
      </c>
      <c r="O36" s="1" t="s">
        <v>202</v>
      </c>
      <c r="P36" s="4">
        <v>24.03</v>
      </c>
      <c r="Q36" s="2">
        <v>45356</v>
      </c>
      <c r="R36" s="1" t="s">
        <v>203</v>
      </c>
      <c r="S36" s="1" t="s">
        <v>75</v>
      </c>
      <c r="T36" s="1" t="s">
        <v>98</v>
      </c>
      <c r="U36" s="5">
        <f>product_sales_data__1[[#This Row],[TotalPrice]]-product_sales_data__1[[#This Row],[ShippingCost]]</f>
        <v>1748.01</v>
      </c>
      <c r="V36" s="5">
        <f>product_sales_data__1[[#This Row],[Quantity]]*product_sales_data__1[[#This Row],[UnitPrice]]*product_sales_data__1[[#This Row],[Discount]]</f>
        <v>312.71249999999998</v>
      </c>
    </row>
    <row r="37" spans="1:22" x14ac:dyDescent="0.3">
      <c r="A37" s="1" t="s">
        <v>204</v>
      </c>
      <c r="B37" s="1" t="s">
        <v>70</v>
      </c>
      <c r="C37" s="1" t="s">
        <v>22</v>
      </c>
      <c r="D37">
        <v>12</v>
      </c>
      <c r="E37" s="4">
        <v>582.52</v>
      </c>
      <c r="F37" s="1" t="s">
        <v>84</v>
      </c>
      <c r="G37" s="1" t="s">
        <v>24</v>
      </c>
      <c r="H37">
        <v>0</v>
      </c>
      <c r="I37" s="1" t="s">
        <v>94</v>
      </c>
      <c r="J37" s="4">
        <v>6990.24</v>
      </c>
      <c r="K37" s="1" t="s">
        <v>101</v>
      </c>
      <c r="L37" s="1" t="s">
        <v>85</v>
      </c>
      <c r="M37">
        <v>0</v>
      </c>
      <c r="N37" s="1" t="s">
        <v>205</v>
      </c>
      <c r="O37" s="1" t="s">
        <v>206</v>
      </c>
      <c r="P37" s="4">
        <v>41.16</v>
      </c>
      <c r="Q37" s="2">
        <v>45047</v>
      </c>
      <c r="R37" s="1" t="s">
        <v>33</v>
      </c>
      <c r="S37" s="1" t="s">
        <v>75</v>
      </c>
      <c r="T37" s="1" t="s">
        <v>63</v>
      </c>
      <c r="U37" s="5">
        <f>product_sales_data__1[[#This Row],[TotalPrice]]-product_sales_data__1[[#This Row],[ShippingCost]]</f>
        <v>6949.08</v>
      </c>
      <c r="V37" s="5">
        <f>product_sales_data__1[[#This Row],[Quantity]]*product_sales_data__1[[#This Row],[UnitPrice]]*product_sales_data__1[[#This Row],[Discount]]</f>
        <v>0</v>
      </c>
    </row>
    <row r="38" spans="1:22" x14ac:dyDescent="0.3">
      <c r="A38" s="1" t="s">
        <v>207</v>
      </c>
      <c r="B38" s="1" t="s">
        <v>45</v>
      </c>
      <c r="C38" s="1" t="s">
        <v>100</v>
      </c>
      <c r="D38">
        <v>15</v>
      </c>
      <c r="E38" s="4">
        <v>411.38</v>
      </c>
      <c r="F38" s="1" t="s">
        <v>84</v>
      </c>
      <c r="G38" s="1" t="s">
        <v>24</v>
      </c>
      <c r="H38">
        <v>0.05</v>
      </c>
      <c r="I38" s="1" t="s">
        <v>94</v>
      </c>
      <c r="J38" s="4">
        <v>5862.17</v>
      </c>
      <c r="K38" s="1" t="s">
        <v>26</v>
      </c>
      <c r="L38" s="1" t="s">
        <v>58</v>
      </c>
      <c r="M38">
        <v>0</v>
      </c>
      <c r="N38" s="1" t="s">
        <v>208</v>
      </c>
      <c r="O38" s="1" t="s">
        <v>209</v>
      </c>
      <c r="P38" s="4">
        <v>48.51</v>
      </c>
      <c r="Q38" s="2">
        <v>45992</v>
      </c>
      <c r="R38" s="1" t="s">
        <v>210</v>
      </c>
      <c r="S38" s="1" t="s">
        <v>51</v>
      </c>
      <c r="T38" s="1" t="s">
        <v>76</v>
      </c>
      <c r="U38" s="5">
        <f>product_sales_data__1[[#This Row],[TotalPrice]]-product_sales_data__1[[#This Row],[ShippingCost]]</f>
        <v>5813.66</v>
      </c>
      <c r="V38" s="5">
        <f>product_sales_data__1[[#This Row],[Quantity]]*product_sales_data__1[[#This Row],[UnitPrice]]*product_sales_data__1[[#This Row],[Discount]]</f>
        <v>308.53500000000003</v>
      </c>
    </row>
    <row r="39" spans="1:22" x14ac:dyDescent="0.3">
      <c r="A39" s="1" t="s">
        <v>211</v>
      </c>
      <c r="B39" s="1" t="s">
        <v>21</v>
      </c>
      <c r="C39" s="1" t="s">
        <v>22</v>
      </c>
      <c r="D39">
        <v>8</v>
      </c>
      <c r="E39" s="4">
        <v>179.9</v>
      </c>
      <c r="F39" s="1" t="s">
        <v>36</v>
      </c>
      <c r="G39" s="1" t="s">
        <v>37</v>
      </c>
      <c r="H39">
        <v>0.05</v>
      </c>
      <c r="I39" s="1" t="s">
        <v>46</v>
      </c>
      <c r="J39" s="4">
        <v>1367.24</v>
      </c>
      <c r="K39" s="1" t="s">
        <v>26</v>
      </c>
      <c r="L39" s="1" t="s">
        <v>58</v>
      </c>
      <c r="M39">
        <v>0</v>
      </c>
      <c r="N39" s="1" t="s">
        <v>212</v>
      </c>
      <c r="O39" s="1" t="s">
        <v>213</v>
      </c>
      <c r="P39" s="4">
        <v>14.8</v>
      </c>
      <c r="Q39" s="2">
        <v>45660</v>
      </c>
      <c r="R39" s="1" t="s">
        <v>53</v>
      </c>
      <c r="S39" s="1" t="s">
        <v>31</v>
      </c>
      <c r="T39" s="1" t="s">
        <v>187</v>
      </c>
      <c r="U39" s="5">
        <f>product_sales_data__1[[#This Row],[TotalPrice]]-product_sales_data__1[[#This Row],[ShippingCost]]</f>
        <v>1352.44</v>
      </c>
      <c r="V39" s="5">
        <f>product_sales_data__1[[#This Row],[Quantity]]*product_sales_data__1[[#This Row],[UnitPrice]]*product_sales_data__1[[#This Row],[Discount]]</f>
        <v>71.960000000000008</v>
      </c>
    </row>
    <row r="40" spans="1:22" x14ac:dyDescent="0.3">
      <c r="A40" s="1" t="s">
        <v>122</v>
      </c>
      <c r="B40" s="1" t="s">
        <v>54</v>
      </c>
      <c r="C40" s="1" t="s">
        <v>140</v>
      </c>
      <c r="D40">
        <v>3</v>
      </c>
      <c r="E40" s="4">
        <v>221</v>
      </c>
      <c r="F40" s="1" t="s">
        <v>23</v>
      </c>
      <c r="G40" s="1" t="s">
        <v>24</v>
      </c>
      <c r="H40">
        <v>0</v>
      </c>
      <c r="I40" s="1" t="s">
        <v>56</v>
      </c>
      <c r="J40" s="4">
        <v>663</v>
      </c>
      <c r="K40" s="1" t="s">
        <v>47</v>
      </c>
      <c r="L40" s="1" t="s">
        <v>85</v>
      </c>
      <c r="M40">
        <v>0</v>
      </c>
      <c r="N40" s="1" t="s">
        <v>214</v>
      </c>
      <c r="O40" s="1" t="s">
        <v>215</v>
      </c>
      <c r="P40" s="4">
        <v>32.31</v>
      </c>
      <c r="Q40" s="2">
        <v>45050</v>
      </c>
      <c r="R40" s="1" t="s">
        <v>216</v>
      </c>
      <c r="S40" s="1" t="s">
        <v>62</v>
      </c>
      <c r="T40" s="1" t="s">
        <v>63</v>
      </c>
      <c r="U40" s="5">
        <f>product_sales_data__1[[#This Row],[TotalPrice]]-product_sales_data__1[[#This Row],[ShippingCost]]</f>
        <v>630.69000000000005</v>
      </c>
      <c r="V40" s="5">
        <f>product_sales_data__1[[#This Row],[Quantity]]*product_sales_data__1[[#This Row],[UnitPrice]]*product_sales_data__1[[#This Row],[Discount]]</f>
        <v>0</v>
      </c>
    </row>
    <row r="41" spans="1:22" x14ac:dyDescent="0.3">
      <c r="A41" s="1" t="s">
        <v>217</v>
      </c>
      <c r="B41" s="1" t="s">
        <v>21</v>
      </c>
      <c r="C41" s="1" t="s">
        <v>22</v>
      </c>
      <c r="D41">
        <v>3</v>
      </c>
      <c r="E41" s="4">
        <v>566.20000000000005</v>
      </c>
      <c r="F41" s="1" t="s">
        <v>55</v>
      </c>
      <c r="G41" s="1" t="s">
        <v>37</v>
      </c>
      <c r="H41">
        <v>0</v>
      </c>
      <c r="I41" s="1" t="s">
        <v>94</v>
      </c>
      <c r="J41" s="4">
        <v>1698.6</v>
      </c>
      <c r="K41" s="1" t="s">
        <v>57</v>
      </c>
      <c r="L41" s="1" t="s">
        <v>85</v>
      </c>
      <c r="M41">
        <v>1</v>
      </c>
      <c r="N41" s="1" t="s">
        <v>218</v>
      </c>
      <c r="O41" s="1" t="s">
        <v>219</v>
      </c>
      <c r="P41" s="4">
        <v>28.97</v>
      </c>
      <c r="Q41" s="2">
        <v>45480</v>
      </c>
      <c r="R41" s="1" t="s">
        <v>220</v>
      </c>
      <c r="S41" s="1" t="s">
        <v>31</v>
      </c>
      <c r="T41" s="1" t="s">
        <v>117</v>
      </c>
      <c r="U41" s="5">
        <f>product_sales_data__1[[#This Row],[TotalPrice]]-product_sales_data__1[[#This Row],[ShippingCost]]</f>
        <v>1669.6299999999999</v>
      </c>
      <c r="V41" s="5">
        <f>product_sales_data__1[[#This Row],[Quantity]]*product_sales_data__1[[#This Row],[UnitPrice]]*product_sales_data__1[[#This Row],[Discount]]</f>
        <v>0</v>
      </c>
    </row>
    <row r="42" spans="1:22" x14ac:dyDescent="0.3">
      <c r="A42" s="1" t="s">
        <v>221</v>
      </c>
      <c r="B42" s="1" t="s">
        <v>54</v>
      </c>
      <c r="C42" s="1" t="s">
        <v>127</v>
      </c>
      <c r="D42">
        <v>16</v>
      </c>
      <c r="E42" s="4">
        <v>36.159999999999997</v>
      </c>
      <c r="F42" s="1" t="s">
        <v>36</v>
      </c>
      <c r="G42" s="1" t="s">
        <v>24</v>
      </c>
      <c r="H42">
        <v>0.1</v>
      </c>
      <c r="I42" s="1" t="s">
        <v>46</v>
      </c>
      <c r="J42" s="4">
        <v>520.70000000000005</v>
      </c>
      <c r="K42" s="1" t="s">
        <v>38</v>
      </c>
      <c r="L42" s="1" t="s">
        <v>85</v>
      </c>
      <c r="M42">
        <v>0</v>
      </c>
      <c r="N42" s="1" t="s">
        <v>222</v>
      </c>
      <c r="O42" s="1" t="s">
        <v>223</v>
      </c>
      <c r="P42" s="4">
        <v>26.64</v>
      </c>
      <c r="Q42" s="2">
        <v>45026</v>
      </c>
      <c r="R42" s="1" t="s">
        <v>224</v>
      </c>
      <c r="S42" s="1" t="s">
        <v>62</v>
      </c>
      <c r="T42" s="1" t="s">
        <v>147</v>
      </c>
      <c r="U42" s="5">
        <f>product_sales_data__1[[#This Row],[TotalPrice]]-product_sales_data__1[[#This Row],[ShippingCost]]</f>
        <v>494.06000000000006</v>
      </c>
      <c r="V42" s="5">
        <f>product_sales_data__1[[#This Row],[Quantity]]*product_sales_data__1[[#This Row],[UnitPrice]]*product_sales_data__1[[#This Row],[Discount]]</f>
        <v>57.855999999999995</v>
      </c>
    </row>
    <row r="43" spans="1:22" x14ac:dyDescent="0.3">
      <c r="A43" s="1" t="s">
        <v>225</v>
      </c>
      <c r="B43" s="1" t="s">
        <v>45</v>
      </c>
      <c r="C43" s="1" t="s">
        <v>140</v>
      </c>
      <c r="D43">
        <v>2</v>
      </c>
      <c r="E43" s="4">
        <v>73.94</v>
      </c>
      <c r="F43" s="1" t="s">
        <v>23</v>
      </c>
      <c r="G43" s="1" t="s">
        <v>24</v>
      </c>
      <c r="H43">
        <v>0.05</v>
      </c>
      <c r="I43" s="1" t="s">
        <v>46</v>
      </c>
      <c r="J43" s="4">
        <v>140.49</v>
      </c>
      <c r="K43" s="1" t="s">
        <v>38</v>
      </c>
      <c r="L43" s="1" t="s">
        <v>58</v>
      </c>
      <c r="M43">
        <v>0</v>
      </c>
      <c r="N43" s="1" t="s">
        <v>226</v>
      </c>
      <c r="O43" s="1" t="s">
        <v>227</v>
      </c>
      <c r="P43" s="4">
        <v>28.05</v>
      </c>
      <c r="Q43" s="2">
        <v>45906</v>
      </c>
      <c r="R43" s="1" t="s">
        <v>228</v>
      </c>
      <c r="S43" s="1" t="s">
        <v>51</v>
      </c>
      <c r="T43" s="1" t="s">
        <v>52</v>
      </c>
      <c r="U43" s="5">
        <f>product_sales_data__1[[#This Row],[TotalPrice]]-product_sales_data__1[[#This Row],[ShippingCost]]</f>
        <v>112.44000000000001</v>
      </c>
      <c r="V43" s="5">
        <f>product_sales_data__1[[#This Row],[Quantity]]*product_sales_data__1[[#This Row],[UnitPrice]]*product_sales_data__1[[#This Row],[Discount]]</f>
        <v>7.3940000000000001</v>
      </c>
    </row>
    <row r="44" spans="1:22" x14ac:dyDescent="0.3">
      <c r="A44" s="1" t="s">
        <v>229</v>
      </c>
      <c r="B44" s="1" t="s">
        <v>70</v>
      </c>
      <c r="C44" s="1" t="s">
        <v>140</v>
      </c>
      <c r="D44">
        <v>16</v>
      </c>
      <c r="E44" s="4">
        <v>459.49</v>
      </c>
      <c r="F44" s="1" t="s">
        <v>84</v>
      </c>
      <c r="G44" s="1" t="s">
        <v>24</v>
      </c>
      <c r="H44">
        <v>0.1</v>
      </c>
      <c r="I44" s="1" t="s">
        <v>65</v>
      </c>
      <c r="J44" s="4">
        <v>6616.66</v>
      </c>
      <c r="K44" s="1" t="s">
        <v>26</v>
      </c>
      <c r="L44" s="1" t="s">
        <v>58</v>
      </c>
      <c r="M44">
        <v>0</v>
      </c>
      <c r="N44" s="1" t="s">
        <v>230</v>
      </c>
      <c r="O44" s="1" t="s">
        <v>231</v>
      </c>
      <c r="P44" s="4">
        <v>26.99</v>
      </c>
      <c r="Q44" s="2">
        <v>45997</v>
      </c>
      <c r="R44" s="1" t="s">
        <v>232</v>
      </c>
      <c r="S44" s="1" t="s">
        <v>75</v>
      </c>
      <c r="T44" s="1" t="s">
        <v>76</v>
      </c>
      <c r="U44" s="5">
        <f>product_sales_data__1[[#This Row],[TotalPrice]]-product_sales_data__1[[#This Row],[ShippingCost]]</f>
        <v>6589.67</v>
      </c>
      <c r="V44" s="5">
        <f>product_sales_data__1[[#This Row],[Quantity]]*product_sales_data__1[[#This Row],[UnitPrice]]*product_sales_data__1[[#This Row],[Discount]]</f>
        <v>735.18400000000008</v>
      </c>
    </row>
    <row r="45" spans="1:22" x14ac:dyDescent="0.3">
      <c r="A45" s="1" t="s">
        <v>233</v>
      </c>
      <c r="B45" s="1" t="s">
        <v>54</v>
      </c>
      <c r="C45" s="1" t="s">
        <v>140</v>
      </c>
      <c r="D45">
        <v>2</v>
      </c>
      <c r="E45" s="4">
        <v>289.14</v>
      </c>
      <c r="F45" s="1" t="s">
        <v>36</v>
      </c>
      <c r="G45" s="1" t="s">
        <v>37</v>
      </c>
      <c r="H45">
        <v>0.05</v>
      </c>
      <c r="I45" s="1" t="s">
        <v>78</v>
      </c>
      <c r="J45" s="4">
        <v>549.37</v>
      </c>
      <c r="K45" s="1" t="s">
        <v>26</v>
      </c>
      <c r="L45" s="1" t="s">
        <v>58</v>
      </c>
      <c r="M45">
        <v>0</v>
      </c>
      <c r="N45" s="1" t="s">
        <v>234</v>
      </c>
      <c r="O45" s="1" t="s">
        <v>235</v>
      </c>
      <c r="P45" s="4">
        <v>5.13</v>
      </c>
      <c r="Q45" s="2">
        <v>45604</v>
      </c>
      <c r="R45" s="1" t="s">
        <v>236</v>
      </c>
      <c r="S45" s="1" t="s">
        <v>62</v>
      </c>
      <c r="T45" s="1" t="s">
        <v>43</v>
      </c>
      <c r="U45" s="5">
        <f>product_sales_data__1[[#This Row],[TotalPrice]]-product_sales_data__1[[#This Row],[ShippingCost]]</f>
        <v>544.24</v>
      </c>
      <c r="V45" s="5">
        <f>product_sales_data__1[[#This Row],[Quantity]]*product_sales_data__1[[#This Row],[UnitPrice]]*product_sales_data__1[[#This Row],[Discount]]</f>
        <v>28.914000000000001</v>
      </c>
    </row>
    <row r="46" spans="1:22" x14ac:dyDescent="0.3">
      <c r="A46" s="1" t="s">
        <v>237</v>
      </c>
      <c r="B46" s="1" t="s">
        <v>34</v>
      </c>
      <c r="C46" s="1" t="s">
        <v>22</v>
      </c>
      <c r="D46">
        <v>5</v>
      </c>
      <c r="E46" s="4">
        <v>396.93</v>
      </c>
      <c r="F46" s="1" t="s">
        <v>23</v>
      </c>
      <c r="G46" s="1" t="s">
        <v>24</v>
      </c>
      <c r="H46">
        <v>0</v>
      </c>
      <c r="I46" s="1" t="s">
        <v>78</v>
      </c>
      <c r="J46" s="4">
        <v>1984.65</v>
      </c>
      <c r="K46" s="1" t="s">
        <v>101</v>
      </c>
      <c r="L46" s="1" t="s">
        <v>85</v>
      </c>
      <c r="M46">
        <v>0</v>
      </c>
      <c r="N46" s="1" t="s">
        <v>238</v>
      </c>
      <c r="O46" s="1" t="s">
        <v>239</v>
      </c>
      <c r="P46" s="4">
        <v>48.63</v>
      </c>
      <c r="Q46" s="2">
        <v>44938</v>
      </c>
      <c r="R46" s="1" t="s">
        <v>240</v>
      </c>
      <c r="S46" s="1" t="s">
        <v>42</v>
      </c>
      <c r="T46" s="1" t="s">
        <v>187</v>
      </c>
      <c r="U46" s="5">
        <f>product_sales_data__1[[#This Row],[TotalPrice]]-product_sales_data__1[[#This Row],[ShippingCost]]</f>
        <v>1936.02</v>
      </c>
      <c r="V46" s="5">
        <f>product_sales_data__1[[#This Row],[Quantity]]*product_sales_data__1[[#This Row],[UnitPrice]]*product_sales_data__1[[#This Row],[Discount]]</f>
        <v>0</v>
      </c>
    </row>
    <row r="47" spans="1:22" x14ac:dyDescent="0.3">
      <c r="A47" s="1" t="s">
        <v>99</v>
      </c>
      <c r="B47" s="1" t="s">
        <v>45</v>
      </c>
      <c r="C47" s="1" t="s">
        <v>100</v>
      </c>
      <c r="D47">
        <v>10</v>
      </c>
      <c r="E47" s="4">
        <v>508.57</v>
      </c>
      <c r="F47" s="1" t="s">
        <v>55</v>
      </c>
      <c r="G47" s="1" t="s">
        <v>37</v>
      </c>
      <c r="H47">
        <v>0.05</v>
      </c>
      <c r="I47" s="1" t="s">
        <v>94</v>
      </c>
      <c r="J47" s="4">
        <v>4831.42</v>
      </c>
      <c r="K47" s="1" t="s">
        <v>26</v>
      </c>
      <c r="L47" s="1" t="s">
        <v>58</v>
      </c>
      <c r="M47">
        <v>0</v>
      </c>
      <c r="N47" s="1" t="s">
        <v>241</v>
      </c>
      <c r="O47" s="1" t="s">
        <v>242</v>
      </c>
      <c r="P47" s="4">
        <v>9.35</v>
      </c>
      <c r="Q47" s="2">
        <v>45085</v>
      </c>
      <c r="R47" s="1" t="s">
        <v>243</v>
      </c>
      <c r="S47" s="1" t="s">
        <v>51</v>
      </c>
      <c r="T47" s="1" t="s">
        <v>105</v>
      </c>
      <c r="U47" s="5">
        <f>product_sales_data__1[[#This Row],[TotalPrice]]-product_sales_data__1[[#This Row],[ShippingCost]]</f>
        <v>4822.07</v>
      </c>
      <c r="V47" s="5">
        <f>product_sales_data__1[[#This Row],[Quantity]]*product_sales_data__1[[#This Row],[UnitPrice]]*product_sales_data__1[[#This Row],[Discount]]</f>
        <v>254.285</v>
      </c>
    </row>
    <row r="48" spans="1:22" x14ac:dyDescent="0.3">
      <c r="A48" s="1" t="s">
        <v>244</v>
      </c>
      <c r="B48" s="1" t="s">
        <v>45</v>
      </c>
      <c r="C48" s="1" t="s">
        <v>35</v>
      </c>
      <c r="D48">
        <v>9</v>
      </c>
      <c r="E48" s="4">
        <v>313.29000000000002</v>
      </c>
      <c r="F48" s="1" t="s">
        <v>55</v>
      </c>
      <c r="G48" s="1" t="s">
        <v>37</v>
      </c>
      <c r="H48">
        <v>0</v>
      </c>
      <c r="I48" s="1" t="s">
        <v>46</v>
      </c>
      <c r="J48" s="4">
        <v>2819.61</v>
      </c>
      <c r="K48" s="1" t="s">
        <v>26</v>
      </c>
      <c r="L48" s="1" t="s">
        <v>85</v>
      </c>
      <c r="M48">
        <v>0</v>
      </c>
      <c r="N48" s="1" t="s">
        <v>245</v>
      </c>
      <c r="O48" s="1" t="s">
        <v>246</v>
      </c>
      <c r="P48" s="4">
        <v>14.04</v>
      </c>
      <c r="Q48" s="2">
        <v>45476</v>
      </c>
      <c r="R48" s="1" t="s">
        <v>247</v>
      </c>
      <c r="S48" s="1" t="s">
        <v>51</v>
      </c>
      <c r="T48" s="1" t="s">
        <v>117</v>
      </c>
      <c r="U48" s="5">
        <f>product_sales_data__1[[#This Row],[TotalPrice]]-product_sales_data__1[[#This Row],[ShippingCost]]</f>
        <v>2805.57</v>
      </c>
      <c r="V48" s="5">
        <f>product_sales_data__1[[#This Row],[Quantity]]*product_sales_data__1[[#This Row],[UnitPrice]]*product_sales_data__1[[#This Row],[Discount]]</f>
        <v>0</v>
      </c>
    </row>
    <row r="49" spans="1:22" x14ac:dyDescent="0.3">
      <c r="A49" s="1" t="s">
        <v>92</v>
      </c>
      <c r="B49" s="1" t="s">
        <v>54</v>
      </c>
      <c r="C49" s="1" t="s">
        <v>109</v>
      </c>
      <c r="D49">
        <v>7</v>
      </c>
      <c r="E49" s="4">
        <v>452.56</v>
      </c>
      <c r="F49" s="1" t="s">
        <v>84</v>
      </c>
      <c r="G49" s="1" t="s">
        <v>24</v>
      </c>
      <c r="H49">
        <v>0.05</v>
      </c>
      <c r="I49" s="1" t="s">
        <v>56</v>
      </c>
      <c r="J49" s="4">
        <v>3009.52</v>
      </c>
      <c r="K49" s="1" t="s">
        <v>57</v>
      </c>
      <c r="L49" s="1" t="s">
        <v>85</v>
      </c>
      <c r="M49">
        <v>0</v>
      </c>
      <c r="N49" s="1" t="s">
        <v>248</v>
      </c>
      <c r="O49" s="1" t="s">
        <v>249</v>
      </c>
      <c r="P49" s="4">
        <v>46.97</v>
      </c>
      <c r="Q49" s="2">
        <v>45875</v>
      </c>
      <c r="R49" s="1" t="s">
        <v>250</v>
      </c>
      <c r="S49" s="1" t="s">
        <v>62</v>
      </c>
      <c r="T49" s="1" t="s">
        <v>82</v>
      </c>
      <c r="U49" s="5">
        <f>product_sales_data__1[[#This Row],[TotalPrice]]-product_sales_data__1[[#This Row],[ShippingCost]]</f>
        <v>2962.55</v>
      </c>
      <c r="V49" s="5">
        <f>product_sales_data__1[[#This Row],[Quantity]]*product_sales_data__1[[#This Row],[UnitPrice]]*product_sales_data__1[[#This Row],[Discount]]</f>
        <v>158.39600000000002</v>
      </c>
    </row>
    <row r="50" spans="1:22" x14ac:dyDescent="0.3">
      <c r="A50" s="1" t="s">
        <v>251</v>
      </c>
      <c r="B50" s="1" t="s">
        <v>45</v>
      </c>
      <c r="C50" s="1" t="s">
        <v>22</v>
      </c>
      <c r="D50">
        <v>13</v>
      </c>
      <c r="E50" s="4">
        <v>280.63</v>
      </c>
      <c r="F50" s="1" t="s">
        <v>23</v>
      </c>
      <c r="G50" s="1" t="s">
        <v>24</v>
      </c>
      <c r="H50">
        <v>0.15</v>
      </c>
      <c r="I50" s="1" t="s">
        <v>25</v>
      </c>
      <c r="J50" s="4">
        <v>3100.96</v>
      </c>
      <c r="K50" s="1" t="s">
        <v>101</v>
      </c>
      <c r="L50" s="1" t="s">
        <v>58</v>
      </c>
      <c r="M50">
        <v>0</v>
      </c>
      <c r="N50" s="1" t="s">
        <v>252</v>
      </c>
      <c r="O50" s="1" t="s">
        <v>253</v>
      </c>
      <c r="P50" s="4">
        <v>10.14</v>
      </c>
      <c r="Q50" s="2">
        <v>45177</v>
      </c>
      <c r="R50" s="1" t="s">
        <v>104</v>
      </c>
      <c r="S50" s="1" t="s">
        <v>51</v>
      </c>
      <c r="T50" s="1" t="s">
        <v>52</v>
      </c>
      <c r="U50" s="5">
        <f>product_sales_data__1[[#This Row],[TotalPrice]]-product_sales_data__1[[#This Row],[ShippingCost]]</f>
        <v>3090.82</v>
      </c>
      <c r="V50" s="5">
        <f>product_sales_data__1[[#This Row],[Quantity]]*product_sales_data__1[[#This Row],[UnitPrice]]*product_sales_data__1[[#This Row],[Discount]]</f>
        <v>547.22849999999994</v>
      </c>
    </row>
    <row r="51" spans="1:22" x14ac:dyDescent="0.3">
      <c r="A51" s="1" t="s">
        <v>168</v>
      </c>
      <c r="B51" s="1" t="s">
        <v>21</v>
      </c>
      <c r="C51" s="1" t="s">
        <v>71</v>
      </c>
      <c r="D51">
        <v>18</v>
      </c>
      <c r="E51" s="4">
        <v>152.84</v>
      </c>
      <c r="F51" s="1" t="s">
        <v>36</v>
      </c>
      <c r="G51" s="1" t="s">
        <v>37</v>
      </c>
      <c r="H51">
        <v>0.15</v>
      </c>
      <c r="I51" s="1" t="s">
        <v>78</v>
      </c>
      <c r="J51" s="4">
        <v>2338.4499999999998</v>
      </c>
      <c r="K51" s="1" t="s">
        <v>38</v>
      </c>
      <c r="L51" s="1" t="s">
        <v>85</v>
      </c>
      <c r="M51">
        <v>1</v>
      </c>
      <c r="N51" s="1" t="s">
        <v>254</v>
      </c>
      <c r="O51" s="1" t="s">
        <v>255</v>
      </c>
      <c r="P51" s="4">
        <v>20.3</v>
      </c>
      <c r="Q51" s="2">
        <v>45967</v>
      </c>
      <c r="R51" s="1" t="s">
        <v>256</v>
      </c>
      <c r="S51" s="1" t="s">
        <v>31</v>
      </c>
      <c r="T51" s="1" t="s">
        <v>43</v>
      </c>
      <c r="U51" s="5">
        <f>product_sales_data__1[[#This Row],[TotalPrice]]-product_sales_data__1[[#This Row],[ShippingCost]]</f>
        <v>2318.1499999999996</v>
      </c>
      <c r="V51" s="5">
        <f>product_sales_data__1[[#This Row],[Quantity]]*product_sales_data__1[[#This Row],[UnitPrice]]*product_sales_data__1[[#This Row],[Discount]]</f>
        <v>412.66799999999995</v>
      </c>
    </row>
    <row r="52" spans="1:22" x14ac:dyDescent="0.3">
      <c r="A52" s="1" t="s">
        <v>83</v>
      </c>
      <c r="B52" s="1" t="s">
        <v>45</v>
      </c>
      <c r="C52" s="1" t="s">
        <v>35</v>
      </c>
      <c r="D52">
        <v>15</v>
      </c>
      <c r="E52" s="4">
        <v>210.94</v>
      </c>
      <c r="F52" s="1" t="s">
        <v>36</v>
      </c>
      <c r="G52" s="1" t="s">
        <v>24</v>
      </c>
      <c r="H52">
        <v>0.05</v>
      </c>
      <c r="I52" s="1" t="s">
        <v>56</v>
      </c>
      <c r="J52" s="4">
        <v>3005.9</v>
      </c>
      <c r="K52" s="1" t="s">
        <v>26</v>
      </c>
      <c r="L52" s="1" t="s">
        <v>58</v>
      </c>
      <c r="M52">
        <v>0</v>
      </c>
      <c r="N52" s="1" t="s">
        <v>257</v>
      </c>
      <c r="O52" s="1" t="s">
        <v>258</v>
      </c>
      <c r="P52" s="4">
        <v>10.91</v>
      </c>
      <c r="Q52" s="2">
        <v>45966</v>
      </c>
      <c r="R52" s="1" t="s">
        <v>259</v>
      </c>
      <c r="S52" s="1" t="s">
        <v>51</v>
      </c>
      <c r="T52" s="1" t="s">
        <v>43</v>
      </c>
      <c r="U52" s="5">
        <f>product_sales_data__1[[#This Row],[TotalPrice]]-product_sales_data__1[[#This Row],[ShippingCost]]</f>
        <v>2994.9900000000002</v>
      </c>
      <c r="V52" s="5">
        <f>product_sales_data__1[[#This Row],[Quantity]]*product_sales_data__1[[#This Row],[UnitPrice]]*product_sales_data__1[[#This Row],[Discount]]</f>
        <v>158.20500000000001</v>
      </c>
    </row>
    <row r="53" spans="1:22" x14ac:dyDescent="0.3">
      <c r="A53" s="1" t="s">
        <v>188</v>
      </c>
      <c r="B53" s="1" t="s">
        <v>34</v>
      </c>
      <c r="C53" s="1" t="s">
        <v>71</v>
      </c>
      <c r="D53">
        <v>9</v>
      </c>
      <c r="E53" s="4">
        <v>382.8</v>
      </c>
      <c r="F53" s="1" t="s">
        <v>55</v>
      </c>
      <c r="G53" s="1" t="s">
        <v>24</v>
      </c>
      <c r="H53">
        <v>0</v>
      </c>
      <c r="I53" s="1" t="s">
        <v>65</v>
      </c>
      <c r="J53" s="4">
        <v>3445.2</v>
      </c>
      <c r="K53" s="1" t="s">
        <v>47</v>
      </c>
      <c r="L53" s="1" t="s">
        <v>48</v>
      </c>
      <c r="M53">
        <v>0</v>
      </c>
      <c r="N53" s="1" t="s">
        <v>260</v>
      </c>
      <c r="O53" s="1" t="s">
        <v>261</v>
      </c>
      <c r="P53" s="4">
        <v>47.94</v>
      </c>
      <c r="Q53" s="2">
        <v>45354</v>
      </c>
      <c r="R53" s="1" t="s">
        <v>262</v>
      </c>
      <c r="S53" s="1" t="s">
        <v>42</v>
      </c>
      <c r="T53" s="1" t="s">
        <v>98</v>
      </c>
      <c r="U53" s="5">
        <f>product_sales_data__1[[#This Row],[TotalPrice]]-product_sales_data__1[[#This Row],[ShippingCost]]</f>
        <v>3397.2599999999998</v>
      </c>
      <c r="V53" s="5">
        <f>product_sales_data__1[[#This Row],[Quantity]]*product_sales_data__1[[#This Row],[UnitPrice]]*product_sales_data__1[[#This Row],[Discount]]</f>
        <v>0</v>
      </c>
    </row>
    <row r="54" spans="1:22" x14ac:dyDescent="0.3">
      <c r="A54" s="1" t="s">
        <v>263</v>
      </c>
      <c r="B54" s="1" t="s">
        <v>34</v>
      </c>
      <c r="C54" s="1" t="s">
        <v>109</v>
      </c>
      <c r="D54">
        <v>20</v>
      </c>
      <c r="E54" s="4">
        <v>159.33000000000001</v>
      </c>
      <c r="F54" s="1" t="s">
        <v>84</v>
      </c>
      <c r="G54" s="1" t="s">
        <v>24</v>
      </c>
      <c r="H54">
        <v>0</v>
      </c>
      <c r="I54" s="1" t="s">
        <v>65</v>
      </c>
      <c r="J54" s="4">
        <v>3186.6</v>
      </c>
      <c r="K54" s="1" t="s">
        <v>26</v>
      </c>
      <c r="L54" s="1" t="s">
        <v>85</v>
      </c>
      <c r="M54">
        <v>0</v>
      </c>
      <c r="N54" s="1" t="s">
        <v>264</v>
      </c>
      <c r="O54" s="1" t="s">
        <v>265</v>
      </c>
      <c r="P54" s="4">
        <v>26.32</v>
      </c>
      <c r="Q54" s="2">
        <v>45515</v>
      </c>
      <c r="R54" s="1" t="s">
        <v>266</v>
      </c>
      <c r="S54" s="1" t="s">
        <v>42</v>
      </c>
      <c r="T54" s="1" t="s">
        <v>82</v>
      </c>
      <c r="U54" s="5">
        <f>product_sales_data__1[[#This Row],[TotalPrice]]-product_sales_data__1[[#This Row],[ShippingCost]]</f>
        <v>3160.2799999999997</v>
      </c>
      <c r="V54" s="5">
        <f>product_sales_data__1[[#This Row],[Quantity]]*product_sales_data__1[[#This Row],[UnitPrice]]*product_sales_data__1[[#This Row],[Discount]]</f>
        <v>0</v>
      </c>
    </row>
    <row r="55" spans="1:22" x14ac:dyDescent="0.3">
      <c r="A55" s="1" t="s">
        <v>64</v>
      </c>
      <c r="B55" s="1" t="s">
        <v>21</v>
      </c>
      <c r="C55" s="1" t="s">
        <v>71</v>
      </c>
      <c r="D55">
        <v>10</v>
      </c>
      <c r="E55" s="4">
        <v>195.26</v>
      </c>
      <c r="F55" s="1" t="s">
        <v>55</v>
      </c>
      <c r="G55" s="1" t="s">
        <v>37</v>
      </c>
      <c r="H55">
        <v>0.05</v>
      </c>
      <c r="I55" s="1" t="s">
        <v>25</v>
      </c>
      <c r="J55" s="4">
        <v>1854.97</v>
      </c>
      <c r="K55" s="1" t="s">
        <v>101</v>
      </c>
      <c r="L55" s="1" t="s">
        <v>27</v>
      </c>
      <c r="M55">
        <v>0</v>
      </c>
      <c r="N55" s="1" t="s">
        <v>267</v>
      </c>
      <c r="O55" s="1" t="s">
        <v>268</v>
      </c>
      <c r="P55" s="4">
        <v>46.91</v>
      </c>
      <c r="Q55" s="2">
        <v>45569</v>
      </c>
      <c r="R55" s="1" t="s">
        <v>269</v>
      </c>
      <c r="S55" s="1" t="s">
        <v>31</v>
      </c>
      <c r="T55" s="1" t="s">
        <v>32</v>
      </c>
      <c r="U55" s="5">
        <f>product_sales_data__1[[#This Row],[TotalPrice]]-product_sales_data__1[[#This Row],[ShippingCost]]</f>
        <v>1808.06</v>
      </c>
      <c r="V55" s="5">
        <f>product_sales_data__1[[#This Row],[Quantity]]*product_sales_data__1[[#This Row],[UnitPrice]]*product_sales_data__1[[#This Row],[Discount]]</f>
        <v>97.63</v>
      </c>
    </row>
    <row r="56" spans="1:22" x14ac:dyDescent="0.3">
      <c r="A56" s="1" t="s">
        <v>270</v>
      </c>
      <c r="B56" s="1" t="s">
        <v>34</v>
      </c>
      <c r="C56" s="1" t="s">
        <v>127</v>
      </c>
      <c r="D56">
        <v>6</v>
      </c>
      <c r="E56" s="4">
        <v>93.92</v>
      </c>
      <c r="F56" s="1" t="s">
        <v>23</v>
      </c>
      <c r="G56" s="1" t="s">
        <v>24</v>
      </c>
      <c r="H56">
        <v>0.15</v>
      </c>
      <c r="I56" s="1" t="s">
        <v>65</v>
      </c>
      <c r="J56" s="4">
        <v>478.99</v>
      </c>
      <c r="K56" s="1" t="s">
        <v>101</v>
      </c>
      <c r="L56" s="1" t="s">
        <v>85</v>
      </c>
      <c r="M56">
        <v>0</v>
      </c>
      <c r="N56" s="1" t="s">
        <v>271</v>
      </c>
      <c r="O56" s="1" t="s">
        <v>272</v>
      </c>
      <c r="P56" s="4">
        <v>11</v>
      </c>
      <c r="Q56" s="2">
        <v>45233</v>
      </c>
      <c r="R56" s="1" t="s">
        <v>273</v>
      </c>
      <c r="S56" s="1" t="s">
        <v>42</v>
      </c>
      <c r="T56" s="1" t="s">
        <v>43</v>
      </c>
      <c r="U56" s="5">
        <f>product_sales_data__1[[#This Row],[TotalPrice]]-product_sales_data__1[[#This Row],[ShippingCost]]</f>
        <v>467.99</v>
      </c>
      <c r="V56" s="5">
        <f>product_sales_data__1[[#This Row],[Quantity]]*product_sales_data__1[[#This Row],[UnitPrice]]*product_sales_data__1[[#This Row],[Discount]]</f>
        <v>84.527999999999992</v>
      </c>
    </row>
    <row r="57" spans="1:22" x14ac:dyDescent="0.3">
      <c r="A57" s="1" t="s">
        <v>204</v>
      </c>
      <c r="B57" s="1" t="s">
        <v>21</v>
      </c>
      <c r="C57" s="1" t="s">
        <v>100</v>
      </c>
      <c r="D57">
        <v>19</v>
      </c>
      <c r="E57" s="4">
        <v>463.51</v>
      </c>
      <c r="F57" s="1" t="s">
        <v>23</v>
      </c>
      <c r="G57" s="1" t="s">
        <v>37</v>
      </c>
      <c r="H57">
        <v>0</v>
      </c>
      <c r="I57" s="1" t="s">
        <v>94</v>
      </c>
      <c r="J57" s="4">
        <v>8806.69</v>
      </c>
      <c r="K57" s="1" t="s">
        <v>47</v>
      </c>
      <c r="L57" s="1" t="s">
        <v>85</v>
      </c>
      <c r="M57">
        <v>0</v>
      </c>
      <c r="N57" s="1" t="s">
        <v>274</v>
      </c>
      <c r="O57" s="1" t="s">
        <v>275</v>
      </c>
      <c r="P57" s="4">
        <v>49.38</v>
      </c>
      <c r="Q57" s="2">
        <v>45047</v>
      </c>
      <c r="R57" s="1" t="s">
        <v>276</v>
      </c>
      <c r="S57" s="1" t="s">
        <v>31</v>
      </c>
      <c r="T57" s="1" t="s">
        <v>63</v>
      </c>
      <c r="U57" s="5">
        <f>product_sales_data__1[[#This Row],[TotalPrice]]-product_sales_data__1[[#This Row],[ShippingCost]]</f>
        <v>8757.3100000000013</v>
      </c>
      <c r="V57" s="5">
        <f>product_sales_data__1[[#This Row],[Quantity]]*product_sales_data__1[[#This Row],[UnitPrice]]*product_sales_data__1[[#This Row],[Discount]]</f>
        <v>0</v>
      </c>
    </row>
    <row r="58" spans="1:22" x14ac:dyDescent="0.3">
      <c r="A58" s="1" t="s">
        <v>277</v>
      </c>
      <c r="B58" s="1" t="s">
        <v>54</v>
      </c>
      <c r="C58" s="1" t="s">
        <v>22</v>
      </c>
      <c r="D58">
        <v>13</v>
      </c>
      <c r="E58" s="4">
        <v>104.8</v>
      </c>
      <c r="F58" s="1" t="s">
        <v>23</v>
      </c>
      <c r="G58" s="1" t="s">
        <v>37</v>
      </c>
      <c r="H58">
        <v>0.05</v>
      </c>
      <c r="I58" s="1" t="s">
        <v>78</v>
      </c>
      <c r="J58" s="4">
        <v>1294.28</v>
      </c>
      <c r="K58" s="1" t="s">
        <v>101</v>
      </c>
      <c r="L58" s="1" t="s">
        <v>27</v>
      </c>
      <c r="M58">
        <v>0</v>
      </c>
      <c r="N58" s="1" t="s">
        <v>278</v>
      </c>
      <c r="O58" s="1" t="s">
        <v>279</v>
      </c>
      <c r="P58" s="4">
        <v>7.79</v>
      </c>
      <c r="Q58" s="2">
        <v>45993</v>
      </c>
      <c r="R58" s="1" t="s">
        <v>280</v>
      </c>
      <c r="S58" s="1" t="s">
        <v>62</v>
      </c>
      <c r="T58" s="1" t="s">
        <v>76</v>
      </c>
      <c r="U58" s="5">
        <f>product_sales_data__1[[#This Row],[TotalPrice]]-product_sales_data__1[[#This Row],[ShippingCost]]</f>
        <v>1286.49</v>
      </c>
      <c r="V58" s="5">
        <f>product_sales_data__1[[#This Row],[Quantity]]*product_sales_data__1[[#This Row],[UnitPrice]]*product_sales_data__1[[#This Row],[Discount]]</f>
        <v>68.11999999999999</v>
      </c>
    </row>
    <row r="59" spans="1:22" x14ac:dyDescent="0.3">
      <c r="A59" s="1" t="s">
        <v>281</v>
      </c>
      <c r="B59" s="1" t="s">
        <v>54</v>
      </c>
      <c r="C59" s="1" t="s">
        <v>109</v>
      </c>
      <c r="D59">
        <v>12</v>
      </c>
      <c r="E59" s="4">
        <v>164.31</v>
      </c>
      <c r="F59" s="1" t="s">
        <v>23</v>
      </c>
      <c r="G59" s="1" t="s">
        <v>24</v>
      </c>
      <c r="H59">
        <v>0.1</v>
      </c>
      <c r="I59" s="1" t="s">
        <v>65</v>
      </c>
      <c r="J59" s="4">
        <v>1774.55</v>
      </c>
      <c r="K59" s="1" t="s">
        <v>47</v>
      </c>
      <c r="L59" s="1" t="s">
        <v>48</v>
      </c>
      <c r="M59">
        <v>1</v>
      </c>
      <c r="N59" s="1" t="s">
        <v>282</v>
      </c>
      <c r="O59" s="1" t="s">
        <v>283</v>
      </c>
      <c r="P59" s="4">
        <v>38.9</v>
      </c>
      <c r="Q59" s="2">
        <v>45352</v>
      </c>
      <c r="R59" s="1" t="s">
        <v>284</v>
      </c>
      <c r="S59" s="1" t="s">
        <v>62</v>
      </c>
      <c r="T59" s="1" t="s">
        <v>98</v>
      </c>
      <c r="U59" s="5">
        <f>product_sales_data__1[[#This Row],[TotalPrice]]-product_sales_data__1[[#This Row],[ShippingCost]]</f>
        <v>1735.6499999999999</v>
      </c>
      <c r="V59" s="5">
        <f>product_sales_data__1[[#This Row],[Quantity]]*product_sales_data__1[[#This Row],[UnitPrice]]*product_sales_data__1[[#This Row],[Discount]]</f>
        <v>197.17200000000003</v>
      </c>
    </row>
    <row r="60" spans="1:22" x14ac:dyDescent="0.3">
      <c r="A60" s="1" t="s">
        <v>285</v>
      </c>
      <c r="B60" s="1" t="s">
        <v>34</v>
      </c>
      <c r="C60" s="1" t="s">
        <v>109</v>
      </c>
      <c r="D60">
        <v>10</v>
      </c>
      <c r="E60" s="4">
        <v>325.18</v>
      </c>
      <c r="F60" s="1" t="s">
        <v>36</v>
      </c>
      <c r="G60" s="1" t="s">
        <v>24</v>
      </c>
      <c r="H60">
        <v>0.1</v>
      </c>
      <c r="I60" s="1" t="s">
        <v>25</v>
      </c>
      <c r="J60" s="4">
        <v>2926.62</v>
      </c>
      <c r="K60" s="1" t="s">
        <v>47</v>
      </c>
      <c r="L60" s="1" t="s">
        <v>27</v>
      </c>
      <c r="M60">
        <v>0</v>
      </c>
      <c r="N60" s="1" t="s">
        <v>286</v>
      </c>
      <c r="O60" s="1" t="s">
        <v>287</v>
      </c>
      <c r="P60" s="4">
        <v>47.39</v>
      </c>
      <c r="Q60" s="2">
        <v>44987</v>
      </c>
      <c r="R60" s="1" t="s">
        <v>288</v>
      </c>
      <c r="S60" s="1" t="s">
        <v>42</v>
      </c>
      <c r="T60" s="1" t="s">
        <v>98</v>
      </c>
      <c r="U60" s="5">
        <f>product_sales_data__1[[#This Row],[TotalPrice]]-product_sales_data__1[[#This Row],[ShippingCost]]</f>
        <v>2879.23</v>
      </c>
      <c r="V60" s="5">
        <f>product_sales_data__1[[#This Row],[Quantity]]*product_sales_data__1[[#This Row],[UnitPrice]]*product_sales_data__1[[#This Row],[Discount]]</f>
        <v>325.18000000000006</v>
      </c>
    </row>
    <row r="61" spans="1:22" x14ac:dyDescent="0.3">
      <c r="A61" s="1" t="s">
        <v>289</v>
      </c>
      <c r="B61" s="1" t="s">
        <v>70</v>
      </c>
      <c r="C61" s="1" t="s">
        <v>127</v>
      </c>
      <c r="D61">
        <v>17</v>
      </c>
      <c r="E61" s="4">
        <v>542.82000000000005</v>
      </c>
      <c r="F61" s="1" t="s">
        <v>84</v>
      </c>
      <c r="G61" s="1" t="s">
        <v>24</v>
      </c>
      <c r="H61">
        <v>0</v>
      </c>
      <c r="I61" s="1" t="s">
        <v>25</v>
      </c>
      <c r="J61" s="4">
        <v>9227.94</v>
      </c>
      <c r="K61" s="1" t="s">
        <v>38</v>
      </c>
      <c r="L61" s="1" t="s">
        <v>27</v>
      </c>
      <c r="M61">
        <v>1</v>
      </c>
      <c r="N61" s="1" t="s">
        <v>290</v>
      </c>
      <c r="O61" s="1" t="s">
        <v>291</v>
      </c>
      <c r="P61" s="4">
        <v>7.13</v>
      </c>
      <c r="Q61" s="2">
        <v>45294</v>
      </c>
      <c r="R61" s="1" t="s">
        <v>292</v>
      </c>
      <c r="S61" s="1" t="s">
        <v>75</v>
      </c>
      <c r="T61" s="1" t="s">
        <v>187</v>
      </c>
      <c r="U61" s="5">
        <f>product_sales_data__1[[#This Row],[TotalPrice]]-product_sales_data__1[[#This Row],[ShippingCost]]</f>
        <v>9220.8100000000013</v>
      </c>
      <c r="V61" s="5">
        <f>product_sales_data__1[[#This Row],[Quantity]]*product_sales_data__1[[#This Row],[UnitPrice]]*product_sales_data__1[[#This Row],[Discount]]</f>
        <v>0</v>
      </c>
    </row>
    <row r="62" spans="1:22" x14ac:dyDescent="0.3">
      <c r="A62" s="1" t="s">
        <v>293</v>
      </c>
      <c r="B62" s="1" t="s">
        <v>21</v>
      </c>
      <c r="C62" s="1" t="s">
        <v>35</v>
      </c>
      <c r="D62">
        <v>11</v>
      </c>
      <c r="E62" s="4">
        <v>71.209999999999994</v>
      </c>
      <c r="F62" s="1" t="s">
        <v>23</v>
      </c>
      <c r="G62" s="1" t="s">
        <v>37</v>
      </c>
      <c r="H62">
        <v>0.05</v>
      </c>
      <c r="I62" s="1" t="s">
        <v>78</v>
      </c>
      <c r="J62" s="4">
        <v>744.14</v>
      </c>
      <c r="K62" s="1" t="s">
        <v>26</v>
      </c>
      <c r="L62" s="1" t="s">
        <v>48</v>
      </c>
      <c r="M62">
        <v>1</v>
      </c>
      <c r="N62" s="1" t="s">
        <v>294</v>
      </c>
      <c r="O62" s="1" t="s">
        <v>295</v>
      </c>
      <c r="P62" s="4">
        <v>44.2</v>
      </c>
      <c r="Q62" s="2">
        <v>45203</v>
      </c>
      <c r="R62" s="1" t="s">
        <v>296</v>
      </c>
      <c r="S62" s="1" t="s">
        <v>31</v>
      </c>
      <c r="T62" s="1" t="s">
        <v>32</v>
      </c>
      <c r="U62" s="5">
        <f>product_sales_data__1[[#This Row],[TotalPrice]]-product_sales_data__1[[#This Row],[ShippingCost]]</f>
        <v>699.93999999999994</v>
      </c>
      <c r="V62" s="5">
        <f>product_sales_data__1[[#This Row],[Quantity]]*product_sales_data__1[[#This Row],[UnitPrice]]*product_sales_data__1[[#This Row],[Discount]]</f>
        <v>39.165500000000002</v>
      </c>
    </row>
    <row r="63" spans="1:22" x14ac:dyDescent="0.3">
      <c r="A63" s="1" t="s">
        <v>297</v>
      </c>
      <c r="B63" s="1" t="s">
        <v>45</v>
      </c>
      <c r="C63" s="1" t="s">
        <v>140</v>
      </c>
      <c r="D63">
        <v>8</v>
      </c>
      <c r="E63" s="4">
        <v>486.07</v>
      </c>
      <c r="F63" s="1" t="s">
        <v>23</v>
      </c>
      <c r="G63" s="1" t="s">
        <v>37</v>
      </c>
      <c r="H63">
        <v>0</v>
      </c>
      <c r="I63" s="1" t="s">
        <v>46</v>
      </c>
      <c r="J63" s="4">
        <v>3888.56</v>
      </c>
      <c r="K63" s="1" t="s">
        <v>38</v>
      </c>
      <c r="L63" s="1" t="s">
        <v>85</v>
      </c>
      <c r="M63">
        <v>0</v>
      </c>
      <c r="N63" s="1" t="s">
        <v>298</v>
      </c>
      <c r="O63" s="1" t="s">
        <v>299</v>
      </c>
      <c r="P63" s="4">
        <v>10.68</v>
      </c>
      <c r="Q63" s="2">
        <v>45750</v>
      </c>
      <c r="R63" s="1" t="s">
        <v>300</v>
      </c>
      <c r="S63" s="1" t="s">
        <v>51</v>
      </c>
      <c r="T63" s="1" t="s">
        <v>147</v>
      </c>
      <c r="U63" s="5">
        <f>product_sales_data__1[[#This Row],[TotalPrice]]-product_sales_data__1[[#This Row],[ShippingCost]]</f>
        <v>3877.88</v>
      </c>
      <c r="V63" s="5">
        <f>product_sales_data__1[[#This Row],[Quantity]]*product_sales_data__1[[#This Row],[UnitPrice]]*product_sales_data__1[[#This Row],[Discount]]</f>
        <v>0</v>
      </c>
    </row>
    <row r="64" spans="1:22" x14ac:dyDescent="0.3">
      <c r="A64" s="1" t="s">
        <v>301</v>
      </c>
      <c r="B64" s="1" t="s">
        <v>70</v>
      </c>
      <c r="C64" s="1" t="s">
        <v>100</v>
      </c>
      <c r="D64">
        <v>6</v>
      </c>
      <c r="E64" s="4">
        <v>555.03</v>
      </c>
      <c r="F64" s="1" t="s">
        <v>36</v>
      </c>
      <c r="G64" s="1" t="s">
        <v>37</v>
      </c>
      <c r="H64">
        <v>0.1</v>
      </c>
      <c r="I64" s="1" t="s">
        <v>56</v>
      </c>
      <c r="J64" s="4">
        <v>2997.16</v>
      </c>
      <c r="K64" s="1" t="s">
        <v>101</v>
      </c>
      <c r="L64" s="1" t="s">
        <v>48</v>
      </c>
      <c r="M64">
        <v>1</v>
      </c>
      <c r="N64" s="1" t="s">
        <v>302</v>
      </c>
      <c r="O64" s="1" t="s">
        <v>303</v>
      </c>
      <c r="P64" s="4">
        <v>23.69</v>
      </c>
      <c r="Q64" s="2">
        <v>45603</v>
      </c>
      <c r="R64" s="1" t="s">
        <v>304</v>
      </c>
      <c r="S64" s="1" t="s">
        <v>75</v>
      </c>
      <c r="T64" s="1" t="s">
        <v>43</v>
      </c>
      <c r="U64" s="5">
        <f>product_sales_data__1[[#This Row],[TotalPrice]]-product_sales_data__1[[#This Row],[ShippingCost]]</f>
        <v>2973.47</v>
      </c>
      <c r="V64" s="5">
        <f>product_sales_data__1[[#This Row],[Quantity]]*product_sales_data__1[[#This Row],[UnitPrice]]*product_sales_data__1[[#This Row],[Discount]]</f>
        <v>333.01800000000003</v>
      </c>
    </row>
    <row r="65" spans="1:22" x14ac:dyDescent="0.3">
      <c r="A65" s="1" t="s">
        <v>305</v>
      </c>
      <c r="B65" s="1" t="s">
        <v>34</v>
      </c>
      <c r="C65" s="1" t="s">
        <v>140</v>
      </c>
      <c r="D65">
        <v>3</v>
      </c>
      <c r="E65" s="4">
        <v>503.55</v>
      </c>
      <c r="F65" s="1" t="s">
        <v>36</v>
      </c>
      <c r="G65" s="1" t="s">
        <v>24</v>
      </c>
      <c r="H65">
        <v>0.1</v>
      </c>
      <c r="I65" s="1" t="s">
        <v>94</v>
      </c>
      <c r="J65" s="4">
        <v>1359.59</v>
      </c>
      <c r="K65" s="1" t="s">
        <v>101</v>
      </c>
      <c r="L65" s="1" t="s">
        <v>27</v>
      </c>
      <c r="M65">
        <v>0</v>
      </c>
      <c r="N65" s="1" t="s">
        <v>306</v>
      </c>
      <c r="O65" s="1" t="s">
        <v>307</v>
      </c>
      <c r="P65" s="4">
        <v>37.49</v>
      </c>
      <c r="Q65" s="2">
        <v>45454</v>
      </c>
      <c r="R65" s="1" t="s">
        <v>308</v>
      </c>
      <c r="S65" s="1" t="s">
        <v>42</v>
      </c>
      <c r="T65" s="1" t="s">
        <v>105</v>
      </c>
      <c r="U65" s="5">
        <f>product_sales_data__1[[#This Row],[TotalPrice]]-product_sales_data__1[[#This Row],[ShippingCost]]</f>
        <v>1322.1</v>
      </c>
      <c r="V65" s="5">
        <f>product_sales_data__1[[#This Row],[Quantity]]*product_sales_data__1[[#This Row],[UnitPrice]]*product_sales_data__1[[#This Row],[Discount]]</f>
        <v>151.06500000000003</v>
      </c>
    </row>
    <row r="66" spans="1:22" x14ac:dyDescent="0.3">
      <c r="A66" s="1" t="s">
        <v>309</v>
      </c>
      <c r="B66" s="1" t="s">
        <v>70</v>
      </c>
      <c r="C66" s="1" t="s">
        <v>109</v>
      </c>
      <c r="D66">
        <v>5</v>
      </c>
      <c r="E66" s="4">
        <v>31.56</v>
      </c>
      <c r="F66" s="1" t="s">
        <v>55</v>
      </c>
      <c r="G66" s="1" t="s">
        <v>37</v>
      </c>
      <c r="H66">
        <v>0</v>
      </c>
      <c r="I66" s="1" t="s">
        <v>78</v>
      </c>
      <c r="J66" s="4">
        <v>157.80000000000001</v>
      </c>
      <c r="K66" s="1" t="s">
        <v>26</v>
      </c>
      <c r="L66" s="1" t="s">
        <v>58</v>
      </c>
      <c r="M66">
        <v>1</v>
      </c>
      <c r="N66" s="1" t="s">
        <v>310</v>
      </c>
      <c r="O66" s="1" t="s">
        <v>311</v>
      </c>
      <c r="P66" s="4">
        <v>29.56</v>
      </c>
      <c r="Q66" s="2">
        <v>45661</v>
      </c>
      <c r="R66" s="1" t="s">
        <v>312</v>
      </c>
      <c r="S66" s="1" t="s">
        <v>75</v>
      </c>
      <c r="T66" s="1" t="s">
        <v>187</v>
      </c>
      <c r="U66" s="5">
        <f>product_sales_data__1[[#This Row],[TotalPrice]]-product_sales_data__1[[#This Row],[ShippingCost]]</f>
        <v>128.24</v>
      </c>
      <c r="V66" s="5">
        <f>product_sales_data__1[[#This Row],[Quantity]]*product_sales_data__1[[#This Row],[UnitPrice]]*product_sales_data__1[[#This Row],[Discount]]</f>
        <v>0</v>
      </c>
    </row>
    <row r="67" spans="1:22" x14ac:dyDescent="0.3">
      <c r="A67" s="1" t="s">
        <v>313</v>
      </c>
      <c r="B67" s="1" t="s">
        <v>54</v>
      </c>
      <c r="C67" s="1" t="s">
        <v>100</v>
      </c>
      <c r="D67">
        <v>16</v>
      </c>
      <c r="E67" s="4">
        <v>72.92</v>
      </c>
      <c r="F67" s="1" t="s">
        <v>36</v>
      </c>
      <c r="G67" s="1" t="s">
        <v>24</v>
      </c>
      <c r="H67">
        <v>0.05</v>
      </c>
      <c r="I67" s="1" t="s">
        <v>56</v>
      </c>
      <c r="J67" s="4">
        <v>1108.3800000000001</v>
      </c>
      <c r="K67" s="1" t="s">
        <v>47</v>
      </c>
      <c r="L67" s="1" t="s">
        <v>85</v>
      </c>
      <c r="M67">
        <v>0</v>
      </c>
      <c r="N67" s="1" t="s">
        <v>314</v>
      </c>
      <c r="O67" s="1" t="s">
        <v>315</v>
      </c>
      <c r="P67" s="4">
        <v>5.7</v>
      </c>
      <c r="Q67" s="2">
        <v>45298</v>
      </c>
      <c r="R67" s="1" t="s">
        <v>316</v>
      </c>
      <c r="S67" s="1" t="s">
        <v>62</v>
      </c>
      <c r="T67" s="1" t="s">
        <v>187</v>
      </c>
      <c r="U67" s="5">
        <f>product_sales_data__1[[#This Row],[TotalPrice]]-product_sales_data__1[[#This Row],[ShippingCost]]</f>
        <v>1102.68</v>
      </c>
      <c r="V67" s="5">
        <f>product_sales_data__1[[#This Row],[Quantity]]*product_sales_data__1[[#This Row],[UnitPrice]]*product_sales_data__1[[#This Row],[Discount]]</f>
        <v>58.336000000000006</v>
      </c>
    </row>
    <row r="68" spans="1:22" x14ac:dyDescent="0.3">
      <c r="A68" s="1" t="s">
        <v>179</v>
      </c>
      <c r="B68" s="1" t="s">
        <v>54</v>
      </c>
      <c r="C68" s="1" t="s">
        <v>140</v>
      </c>
      <c r="D68">
        <v>18</v>
      </c>
      <c r="E68" s="4">
        <v>421.93</v>
      </c>
      <c r="F68" s="1" t="s">
        <v>55</v>
      </c>
      <c r="G68" s="1" t="s">
        <v>37</v>
      </c>
      <c r="H68">
        <v>0.05</v>
      </c>
      <c r="I68" s="1" t="s">
        <v>94</v>
      </c>
      <c r="J68" s="4">
        <v>7215</v>
      </c>
      <c r="K68" s="1" t="s">
        <v>57</v>
      </c>
      <c r="L68" s="1" t="s">
        <v>27</v>
      </c>
      <c r="M68">
        <v>0</v>
      </c>
      <c r="N68" s="1" t="s">
        <v>317</v>
      </c>
      <c r="O68" s="1" t="s">
        <v>318</v>
      </c>
      <c r="P68" s="4">
        <v>23.42</v>
      </c>
      <c r="Q68" s="2">
        <v>45181</v>
      </c>
      <c r="R68" s="1" t="s">
        <v>319</v>
      </c>
      <c r="S68" s="1" t="s">
        <v>62</v>
      </c>
      <c r="T68" s="1" t="s">
        <v>52</v>
      </c>
      <c r="U68" s="5">
        <f>product_sales_data__1[[#This Row],[TotalPrice]]-product_sales_data__1[[#This Row],[ShippingCost]]</f>
        <v>7191.58</v>
      </c>
      <c r="V68" s="5">
        <f>product_sales_data__1[[#This Row],[Quantity]]*product_sales_data__1[[#This Row],[UnitPrice]]*product_sales_data__1[[#This Row],[Discount]]</f>
        <v>379.73700000000002</v>
      </c>
    </row>
    <row r="69" spans="1:22" x14ac:dyDescent="0.3">
      <c r="A69" s="1" t="s">
        <v>320</v>
      </c>
      <c r="B69" s="1" t="s">
        <v>34</v>
      </c>
      <c r="C69" s="1" t="s">
        <v>109</v>
      </c>
      <c r="D69">
        <v>7</v>
      </c>
      <c r="E69" s="4">
        <v>247.53</v>
      </c>
      <c r="F69" s="1" t="s">
        <v>36</v>
      </c>
      <c r="G69" s="1" t="s">
        <v>24</v>
      </c>
      <c r="H69">
        <v>0.15</v>
      </c>
      <c r="I69" s="1" t="s">
        <v>25</v>
      </c>
      <c r="J69" s="4">
        <v>1472.8</v>
      </c>
      <c r="K69" s="1" t="s">
        <v>57</v>
      </c>
      <c r="L69" s="1" t="s">
        <v>85</v>
      </c>
      <c r="M69">
        <v>0</v>
      </c>
      <c r="N69" s="1" t="s">
        <v>321</v>
      </c>
      <c r="O69" s="1" t="s">
        <v>322</v>
      </c>
      <c r="P69" s="4">
        <v>13.63</v>
      </c>
      <c r="Q69" s="2">
        <v>45140</v>
      </c>
      <c r="R69" s="1" t="s">
        <v>323</v>
      </c>
      <c r="S69" s="1" t="s">
        <v>42</v>
      </c>
      <c r="T69" s="1" t="s">
        <v>82</v>
      </c>
      <c r="U69" s="5">
        <f>product_sales_data__1[[#This Row],[TotalPrice]]-product_sales_data__1[[#This Row],[ShippingCost]]</f>
        <v>1459.1699999999998</v>
      </c>
      <c r="V69" s="5">
        <f>product_sales_data__1[[#This Row],[Quantity]]*product_sales_data__1[[#This Row],[UnitPrice]]*product_sales_data__1[[#This Row],[Discount]]</f>
        <v>259.90649999999999</v>
      </c>
    </row>
    <row r="70" spans="1:22" x14ac:dyDescent="0.3">
      <c r="A70" s="1" t="s">
        <v>99</v>
      </c>
      <c r="B70" s="1" t="s">
        <v>34</v>
      </c>
      <c r="C70" s="1" t="s">
        <v>127</v>
      </c>
      <c r="D70">
        <v>7</v>
      </c>
      <c r="E70" s="4">
        <v>498.32</v>
      </c>
      <c r="F70" s="1" t="s">
        <v>23</v>
      </c>
      <c r="G70" s="1" t="s">
        <v>24</v>
      </c>
      <c r="H70">
        <v>0.1</v>
      </c>
      <c r="I70" s="1" t="s">
        <v>25</v>
      </c>
      <c r="J70" s="4">
        <v>3139.42</v>
      </c>
      <c r="K70" s="1" t="s">
        <v>101</v>
      </c>
      <c r="L70" s="1" t="s">
        <v>27</v>
      </c>
      <c r="M70">
        <v>1</v>
      </c>
      <c r="N70" s="1" t="s">
        <v>324</v>
      </c>
      <c r="O70" s="1" t="s">
        <v>325</v>
      </c>
      <c r="P70" s="4">
        <v>27.65</v>
      </c>
      <c r="Q70" s="2">
        <v>45085</v>
      </c>
      <c r="R70" s="1" t="s">
        <v>139</v>
      </c>
      <c r="S70" s="1" t="s">
        <v>42</v>
      </c>
      <c r="T70" s="1" t="s">
        <v>105</v>
      </c>
      <c r="U70" s="5">
        <f>product_sales_data__1[[#This Row],[TotalPrice]]-product_sales_data__1[[#This Row],[ShippingCost]]</f>
        <v>3111.77</v>
      </c>
      <c r="V70" s="5">
        <f>product_sales_data__1[[#This Row],[Quantity]]*product_sales_data__1[[#This Row],[UnitPrice]]*product_sales_data__1[[#This Row],[Discount]]</f>
        <v>348.82400000000001</v>
      </c>
    </row>
    <row r="71" spans="1:22" x14ac:dyDescent="0.3">
      <c r="A71" s="1" t="s">
        <v>326</v>
      </c>
      <c r="B71" s="1" t="s">
        <v>45</v>
      </c>
      <c r="C71" s="1" t="s">
        <v>140</v>
      </c>
      <c r="D71">
        <v>7</v>
      </c>
      <c r="E71" s="4">
        <v>248.1</v>
      </c>
      <c r="F71" s="1" t="s">
        <v>36</v>
      </c>
      <c r="G71" s="1" t="s">
        <v>37</v>
      </c>
      <c r="H71">
        <v>0</v>
      </c>
      <c r="I71" s="1" t="s">
        <v>78</v>
      </c>
      <c r="J71" s="4">
        <v>1736.7</v>
      </c>
      <c r="K71" s="1" t="s">
        <v>47</v>
      </c>
      <c r="L71" s="1" t="s">
        <v>27</v>
      </c>
      <c r="M71">
        <v>0</v>
      </c>
      <c r="N71" s="1" t="s">
        <v>327</v>
      </c>
      <c r="O71" s="1" t="s">
        <v>328</v>
      </c>
      <c r="P71" s="4">
        <v>31.8</v>
      </c>
      <c r="Q71" s="2">
        <v>45690</v>
      </c>
      <c r="R71" s="1" t="s">
        <v>329</v>
      </c>
      <c r="S71" s="1" t="s">
        <v>51</v>
      </c>
      <c r="T71" s="1" t="s">
        <v>199</v>
      </c>
      <c r="U71" s="5">
        <f>product_sales_data__1[[#This Row],[TotalPrice]]-product_sales_data__1[[#This Row],[ShippingCost]]</f>
        <v>1704.9</v>
      </c>
      <c r="V71" s="5">
        <f>product_sales_data__1[[#This Row],[Quantity]]*product_sales_data__1[[#This Row],[UnitPrice]]*product_sales_data__1[[#This Row],[Discount]]</f>
        <v>0</v>
      </c>
    </row>
    <row r="72" spans="1:22" x14ac:dyDescent="0.3">
      <c r="A72" s="1" t="s">
        <v>125</v>
      </c>
      <c r="B72" s="1" t="s">
        <v>54</v>
      </c>
      <c r="C72" s="1" t="s">
        <v>140</v>
      </c>
      <c r="D72">
        <v>3</v>
      </c>
      <c r="E72" s="4">
        <v>486.52</v>
      </c>
      <c r="F72" s="1" t="s">
        <v>23</v>
      </c>
      <c r="G72" s="1" t="s">
        <v>24</v>
      </c>
      <c r="H72">
        <v>0.1</v>
      </c>
      <c r="I72" s="1" t="s">
        <v>46</v>
      </c>
      <c r="J72" s="4">
        <v>1313.6</v>
      </c>
      <c r="K72" s="1" t="s">
        <v>57</v>
      </c>
      <c r="L72" s="1" t="s">
        <v>48</v>
      </c>
      <c r="M72">
        <v>0</v>
      </c>
      <c r="N72" s="1" t="s">
        <v>330</v>
      </c>
      <c r="O72" s="1" t="s">
        <v>331</v>
      </c>
      <c r="P72" s="4">
        <v>16.5</v>
      </c>
      <c r="Q72" s="2">
        <v>45234</v>
      </c>
      <c r="R72" s="1" t="s">
        <v>332</v>
      </c>
      <c r="S72" s="1" t="s">
        <v>62</v>
      </c>
      <c r="T72" s="1" t="s">
        <v>43</v>
      </c>
      <c r="U72" s="5">
        <f>product_sales_data__1[[#This Row],[TotalPrice]]-product_sales_data__1[[#This Row],[ShippingCost]]</f>
        <v>1297.0999999999999</v>
      </c>
      <c r="V72" s="5">
        <f>product_sales_data__1[[#This Row],[Quantity]]*product_sales_data__1[[#This Row],[UnitPrice]]*product_sales_data__1[[#This Row],[Discount]]</f>
        <v>145.95599999999999</v>
      </c>
    </row>
    <row r="73" spans="1:22" x14ac:dyDescent="0.3">
      <c r="A73" s="1" t="s">
        <v>333</v>
      </c>
      <c r="B73" s="1" t="s">
        <v>21</v>
      </c>
      <c r="C73" s="1" t="s">
        <v>127</v>
      </c>
      <c r="D73">
        <v>18</v>
      </c>
      <c r="E73" s="4">
        <v>415.04</v>
      </c>
      <c r="F73" s="1" t="s">
        <v>36</v>
      </c>
      <c r="G73" s="1" t="s">
        <v>24</v>
      </c>
      <c r="H73">
        <v>0.1</v>
      </c>
      <c r="I73" s="1" t="s">
        <v>65</v>
      </c>
      <c r="J73" s="4">
        <v>6723.65</v>
      </c>
      <c r="K73" s="1" t="s">
        <v>47</v>
      </c>
      <c r="L73" s="1" t="s">
        <v>27</v>
      </c>
      <c r="M73">
        <v>0</v>
      </c>
      <c r="N73" s="1" t="s">
        <v>334</v>
      </c>
      <c r="O73" s="1" t="s">
        <v>335</v>
      </c>
      <c r="P73" s="4">
        <v>33.58</v>
      </c>
      <c r="Q73" s="2">
        <v>45511</v>
      </c>
      <c r="R73" s="1" t="s">
        <v>336</v>
      </c>
      <c r="S73" s="1" t="s">
        <v>31</v>
      </c>
      <c r="T73" s="1" t="s">
        <v>82</v>
      </c>
      <c r="U73" s="5">
        <f>product_sales_data__1[[#This Row],[TotalPrice]]-product_sales_data__1[[#This Row],[ShippingCost]]</f>
        <v>6690.07</v>
      </c>
      <c r="V73" s="5">
        <f>product_sales_data__1[[#This Row],[Quantity]]*product_sales_data__1[[#This Row],[UnitPrice]]*product_sales_data__1[[#This Row],[Discount]]</f>
        <v>747.07200000000012</v>
      </c>
    </row>
    <row r="74" spans="1:22" x14ac:dyDescent="0.3">
      <c r="A74" s="1" t="s">
        <v>320</v>
      </c>
      <c r="B74" s="1" t="s">
        <v>45</v>
      </c>
      <c r="C74" s="1" t="s">
        <v>140</v>
      </c>
      <c r="D74">
        <v>19</v>
      </c>
      <c r="E74" s="4">
        <v>165.38</v>
      </c>
      <c r="F74" s="1" t="s">
        <v>23</v>
      </c>
      <c r="G74" s="1" t="s">
        <v>24</v>
      </c>
      <c r="H74">
        <v>0.15</v>
      </c>
      <c r="I74" s="1" t="s">
        <v>25</v>
      </c>
      <c r="J74" s="4">
        <v>2670.89</v>
      </c>
      <c r="K74" s="1" t="s">
        <v>26</v>
      </c>
      <c r="L74" s="1" t="s">
        <v>48</v>
      </c>
      <c r="M74">
        <v>0</v>
      </c>
      <c r="N74" s="1" t="s">
        <v>337</v>
      </c>
      <c r="O74" s="1" t="s">
        <v>338</v>
      </c>
      <c r="P74" s="4">
        <v>25.2</v>
      </c>
      <c r="Q74" s="2">
        <v>45140</v>
      </c>
      <c r="R74" s="1" t="s">
        <v>195</v>
      </c>
      <c r="S74" s="1" t="s">
        <v>51</v>
      </c>
      <c r="T74" s="1" t="s">
        <v>82</v>
      </c>
      <c r="U74" s="5">
        <f>product_sales_data__1[[#This Row],[TotalPrice]]-product_sales_data__1[[#This Row],[ShippingCost]]</f>
        <v>2645.69</v>
      </c>
      <c r="V74" s="5">
        <f>product_sales_data__1[[#This Row],[Quantity]]*product_sales_data__1[[#This Row],[UnitPrice]]*product_sales_data__1[[#This Row],[Discount]]</f>
        <v>471.33299999999997</v>
      </c>
    </row>
    <row r="75" spans="1:22" x14ac:dyDescent="0.3">
      <c r="A75" s="1" t="s">
        <v>339</v>
      </c>
      <c r="B75" s="1" t="s">
        <v>54</v>
      </c>
      <c r="C75" s="1" t="s">
        <v>22</v>
      </c>
      <c r="D75">
        <v>2</v>
      </c>
      <c r="E75" s="4">
        <v>117.47</v>
      </c>
      <c r="F75" s="1" t="s">
        <v>36</v>
      </c>
      <c r="G75" s="1" t="s">
        <v>24</v>
      </c>
      <c r="H75">
        <v>0</v>
      </c>
      <c r="I75" s="1" t="s">
        <v>65</v>
      </c>
      <c r="J75" s="4">
        <v>234.94</v>
      </c>
      <c r="K75" s="1" t="s">
        <v>101</v>
      </c>
      <c r="L75" s="1" t="s">
        <v>85</v>
      </c>
      <c r="M75">
        <v>0</v>
      </c>
      <c r="N75" s="1" t="s">
        <v>340</v>
      </c>
      <c r="O75" s="1" t="s">
        <v>341</v>
      </c>
      <c r="P75" s="4">
        <v>6.58</v>
      </c>
      <c r="Q75" s="2">
        <v>45539</v>
      </c>
      <c r="R75" s="1" t="s">
        <v>342</v>
      </c>
      <c r="S75" s="1" t="s">
        <v>62</v>
      </c>
      <c r="T75" s="1" t="s">
        <v>52</v>
      </c>
      <c r="U75" s="5">
        <f>product_sales_data__1[[#This Row],[TotalPrice]]-product_sales_data__1[[#This Row],[ShippingCost]]</f>
        <v>228.35999999999999</v>
      </c>
      <c r="V75" s="5">
        <f>product_sales_data__1[[#This Row],[Quantity]]*product_sales_data__1[[#This Row],[UnitPrice]]*product_sales_data__1[[#This Row],[Discount]]</f>
        <v>0</v>
      </c>
    </row>
    <row r="76" spans="1:22" x14ac:dyDescent="0.3">
      <c r="A76" s="1" t="s">
        <v>343</v>
      </c>
      <c r="B76" s="1" t="s">
        <v>54</v>
      </c>
      <c r="C76" s="1" t="s">
        <v>109</v>
      </c>
      <c r="D76">
        <v>19</v>
      </c>
      <c r="E76" s="4">
        <v>208.72</v>
      </c>
      <c r="F76" s="1" t="s">
        <v>55</v>
      </c>
      <c r="G76" s="1" t="s">
        <v>37</v>
      </c>
      <c r="H76">
        <v>0.05</v>
      </c>
      <c r="I76" s="1" t="s">
        <v>56</v>
      </c>
      <c r="J76" s="4">
        <v>3767.4</v>
      </c>
      <c r="K76" s="1" t="s">
        <v>101</v>
      </c>
      <c r="L76" s="1" t="s">
        <v>85</v>
      </c>
      <c r="M76">
        <v>0</v>
      </c>
      <c r="N76" s="1" t="s">
        <v>344</v>
      </c>
      <c r="O76" s="1" t="s">
        <v>345</v>
      </c>
      <c r="P76" s="4">
        <v>38.409999999999997</v>
      </c>
      <c r="Q76" s="2">
        <v>45331</v>
      </c>
      <c r="R76" s="1" t="s">
        <v>156</v>
      </c>
      <c r="S76" s="1" t="s">
        <v>62</v>
      </c>
      <c r="T76" s="1" t="s">
        <v>199</v>
      </c>
      <c r="U76" s="5">
        <f>product_sales_data__1[[#This Row],[TotalPrice]]-product_sales_data__1[[#This Row],[ShippingCost]]</f>
        <v>3728.9900000000002</v>
      </c>
      <c r="V76" s="5">
        <f>product_sales_data__1[[#This Row],[Quantity]]*product_sales_data__1[[#This Row],[UnitPrice]]*product_sales_data__1[[#This Row],[Discount]]</f>
        <v>198.28399999999999</v>
      </c>
    </row>
    <row r="77" spans="1:22" x14ac:dyDescent="0.3">
      <c r="A77" s="1" t="s">
        <v>346</v>
      </c>
      <c r="B77" s="1" t="s">
        <v>54</v>
      </c>
      <c r="C77" s="1" t="s">
        <v>100</v>
      </c>
      <c r="D77">
        <v>2</v>
      </c>
      <c r="E77" s="4">
        <v>580.19000000000005</v>
      </c>
      <c r="F77" s="1" t="s">
        <v>23</v>
      </c>
      <c r="G77" s="1" t="s">
        <v>24</v>
      </c>
      <c r="H77">
        <v>0.05</v>
      </c>
      <c r="I77" s="1" t="s">
        <v>78</v>
      </c>
      <c r="J77" s="4">
        <v>1102.3599999999999</v>
      </c>
      <c r="K77" s="1" t="s">
        <v>38</v>
      </c>
      <c r="L77" s="1" t="s">
        <v>27</v>
      </c>
      <c r="M77">
        <v>0</v>
      </c>
      <c r="N77" s="1" t="s">
        <v>347</v>
      </c>
      <c r="O77" s="1" t="s">
        <v>348</v>
      </c>
      <c r="P77" s="4">
        <v>7.33</v>
      </c>
      <c r="Q77" s="2">
        <v>45692</v>
      </c>
      <c r="R77" s="1" t="s">
        <v>349</v>
      </c>
      <c r="S77" s="1" t="s">
        <v>62</v>
      </c>
      <c r="T77" s="1" t="s">
        <v>199</v>
      </c>
      <c r="U77" s="5">
        <f>product_sales_data__1[[#This Row],[TotalPrice]]-product_sales_data__1[[#This Row],[ShippingCost]]</f>
        <v>1095.03</v>
      </c>
      <c r="V77" s="5">
        <f>product_sales_data__1[[#This Row],[Quantity]]*product_sales_data__1[[#This Row],[UnitPrice]]*product_sales_data__1[[#This Row],[Discount]]</f>
        <v>58.019000000000005</v>
      </c>
    </row>
    <row r="78" spans="1:22" x14ac:dyDescent="0.3">
      <c r="A78" s="1" t="s">
        <v>350</v>
      </c>
      <c r="B78" s="1" t="s">
        <v>70</v>
      </c>
      <c r="C78" s="1" t="s">
        <v>71</v>
      </c>
      <c r="D78">
        <v>1</v>
      </c>
      <c r="E78" s="4">
        <v>94.33</v>
      </c>
      <c r="F78" s="1" t="s">
        <v>84</v>
      </c>
      <c r="G78" s="1" t="s">
        <v>24</v>
      </c>
      <c r="H78">
        <v>0</v>
      </c>
      <c r="I78" s="1" t="s">
        <v>46</v>
      </c>
      <c r="J78" s="4">
        <v>94.33</v>
      </c>
      <c r="K78" s="1" t="s">
        <v>26</v>
      </c>
      <c r="L78" s="1" t="s">
        <v>48</v>
      </c>
      <c r="M78">
        <v>0</v>
      </c>
      <c r="N78" s="1" t="s">
        <v>351</v>
      </c>
      <c r="O78" s="1" t="s">
        <v>352</v>
      </c>
      <c r="P78" s="4">
        <v>49.17</v>
      </c>
      <c r="Q78" s="2">
        <v>45481</v>
      </c>
      <c r="R78" s="1" t="s">
        <v>353</v>
      </c>
      <c r="S78" s="1" t="s">
        <v>75</v>
      </c>
      <c r="T78" s="1" t="s">
        <v>117</v>
      </c>
      <c r="U78" s="5">
        <f>product_sales_data__1[[#This Row],[TotalPrice]]-product_sales_data__1[[#This Row],[ShippingCost]]</f>
        <v>45.16</v>
      </c>
      <c r="V78" s="5">
        <f>product_sales_data__1[[#This Row],[Quantity]]*product_sales_data__1[[#This Row],[UnitPrice]]*product_sales_data__1[[#This Row],[Discount]]</f>
        <v>0</v>
      </c>
    </row>
    <row r="79" spans="1:22" x14ac:dyDescent="0.3">
      <c r="A79" s="1" t="s">
        <v>354</v>
      </c>
      <c r="B79" s="1" t="s">
        <v>34</v>
      </c>
      <c r="C79" s="1" t="s">
        <v>22</v>
      </c>
      <c r="D79">
        <v>4</v>
      </c>
      <c r="E79" s="4">
        <v>551.71</v>
      </c>
      <c r="F79" s="1" t="s">
        <v>84</v>
      </c>
      <c r="G79" s="1" t="s">
        <v>37</v>
      </c>
      <c r="H79">
        <v>0.05</v>
      </c>
      <c r="I79" s="1" t="s">
        <v>65</v>
      </c>
      <c r="J79" s="4">
        <v>2096.5</v>
      </c>
      <c r="K79" s="1" t="s">
        <v>57</v>
      </c>
      <c r="L79" s="1" t="s">
        <v>48</v>
      </c>
      <c r="M79">
        <v>1</v>
      </c>
      <c r="N79" s="1" t="s">
        <v>355</v>
      </c>
      <c r="O79" s="1" t="s">
        <v>356</v>
      </c>
      <c r="P79" s="4">
        <v>26.32</v>
      </c>
      <c r="Q79" s="2">
        <v>45268</v>
      </c>
      <c r="R79" s="1" t="s">
        <v>357</v>
      </c>
      <c r="S79" s="1" t="s">
        <v>42</v>
      </c>
      <c r="T79" s="1" t="s">
        <v>76</v>
      </c>
      <c r="U79" s="5">
        <f>product_sales_data__1[[#This Row],[TotalPrice]]-product_sales_data__1[[#This Row],[ShippingCost]]</f>
        <v>2070.1799999999998</v>
      </c>
      <c r="V79" s="5">
        <f>product_sales_data__1[[#This Row],[Quantity]]*product_sales_data__1[[#This Row],[UnitPrice]]*product_sales_data__1[[#This Row],[Discount]]</f>
        <v>110.34200000000001</v>
      </c>
    </row>
    <row r="80" spans="1:22" x14ac:dyDescent="0.3">
      <c r="A80" s="1" t="s">
        <v>358</v>
      </c>
      <c r="B80" s="1" t="s">
        <v>34</v>
      </c>
      <c r="C80" s="1" t="s">
        <v>71</v>
      </c>
      <c r="D80">
        <v>20</v>
      </c>
      <c r="E80" s="4">
        <v>273.55</v>
      </c>
      <c r="F80" s="1" t="s">
        <v>55</v>
      </c>
      <c r="G80" s="1" t="s">
        <v>37</v>
      </c>
      <c r="H80">
        <v>0.15</v>
      </c>
      <c r="I80" s="1" t="s">
        <v>56</v>
      </c>
      <c r="J80" s="4">
        <v>4650.3500000000004</v>
      </c>
      <c r="K80" s="1" t="s">
        <v>38</v>
      </c>
      <c r="L80" s="1" t="s">
        <v>48</v>
      </c>
      <c r="M80">
        <v>0</v>
      </c>
      <c r="N80" s="1" t="s">
        <v>359</v>
      </c>
      <c r="O80" s="1" t="s">
        <v>360</v>
      </c>
      <c r="P80" s="4">
        <v>14.76</v>
      </c>
      <c r="Q80" s="2">
        <v>44935</v>
      </c>
      <c r="R80" s="1" t="s">
        <v>361</v>
      </c>
      <c r="S80" s="1" t="s">
        <v>42</v>
      </c>
      <c r="T80" s="1" t="s">
        <v>187</v>
      </c>
      <c r="U80" s="5">
        <f>product_sales_data__1[[#This Row],[TotalPrice]]-product_sales_data__1[[#This Row],[ShippingCost]]</f>
        <v>4635.59</v>
      </c>
      <c r="V80" s="5">
        <f>product_sales_data__1[[#This Row],[Quantity]]*product_sales_data__1[[#This Row],[UnitPrice]]*product_sales_data__1[[#This Row],[Discount]]</f>
        <v>820.65</v>
      </c>
    </row>
    <row r="81" spans="1:22" x14ac:dyDescent="0.3">
      <c r="A81" s="1" t="s">
        <v>362</v>
      </c>
      <c r="B81" s="1" t="s">
        <v>54</v>
      </c>
      <c r="C81" s="1" t="s">
        <v>109</v>
      </c>
      <c r="D81">
        <v>6</v>
      </c>
      <c r="E81" s="4">
        <v>187.06</v>
      </c>
      <c r="F81" s="1" t="s">
        <v>23</v>
      </c>
      <c r="G81" s="1" t="s">
        <v>24</v>
      </c>
      <c r="H81">
        <v>0.1</v>
      </c>
      <c r="I81" s="1" t="s">
        <v>56</v>
      </c>
      <c r="J81" s="4">
        <v>1010.12</v>
      </c>
      <c r="K81" s="1" t="s">
        <v>38</v>
      </c>
      <c r="L81" s="1" t="s">
        <v>85</v>
      </c>
      <c r="M81">
        <v>0</v>
      </c>
      <c r="N81" s="1" t="s">
        <v>363</v>
      </c>
      <c r="O81" s="1" t="s">
        <v>364</v>
      </c>
      <c r="P81" s="4">
        <v>11.03</v>
      </c>
      <c r="Q81" s="2">
        <v>45420</v>
      </c>
      <c r="R81" s="1" t="s">
        <v>236</v>
      </c>
      <c r="S81" s="1" t="s">
        <v>62</v>
      </c>
      <c r="T81" s="1" t="s">
        <v>63</v>
      </c>
      <c r="U81" s="5">
        <f>product_sales_data__1[[#This Row],[TotalPrice]]-product_sales_data__1[[#This Row],[ShippingCost]]</f>
        <v>999.09</v>
      </c>
      <c r="V81" s="5">
        <f>product_sales_data__1[[#This Row],[Quantity]]*product_sales_data__1[[#This Row],[UnitPrice]]*product_sales_data__1[[#This Row],[Discount]]</f>
        <v>112.23600000000002</v>
      </c>
    </row>
    <row r="82" spans="1:22" x14ac:dyDescent="0.3">
      <c r="A82" s="1" t="s">
        <v>365</v>
      </c>
      <c r="B82" s="1" t="s">
        <v>45</v>
      </c>
      <c r="C82" s="1" t="s">
        <v>109</v>
      </c>
      <c r="D82">
        <v>1</v>
      </c>
      <c r="E82" s="4">
        <v>259.87</v>
      </c>
      <c r="F82" s="1" t="s">
        <v>55</v>
      </c>
      <c r="G82" s="1" t="s">
        <v>37</v>
      </c>
      <c r="H82">
        <v>0.15</v>
      </c>
      <c r="I82" s="1" t="s">
        <v>65</v>
      </c>
      <c r="J82" s="4">
        <v>220.89</v>
      </c>
      <c r="K82" s="1" t="s">
        <v>57</v>
      </c>
      <c r="L82" s="1" t="s">
        <v>85</v>
      </c>
      <c r="M82">
        <v>0</v>
      </c>
      <c r="N82" s="1" t="s">
        <v>366</v>
      </c>
      <c r="O82" s="1" t="s">
        <v>367</v>
      </c>
      <c r="P82" s="4">
        <v>19.2</v>
      </c>
      <c r="Q82" s="2">
        <v>45357</v>
      </c>
      <c r="R82" s="1" t="s">
        <v>368</v>
      </c>
      <c r="S82" s="1" t="s">
        <v>51</v>
      </c>
      <c r="T82" s="1" t="s">
        <v>98</v>
      </c>
      <c r="U82" s="5">
        <f>product_sales_data__1[[#This Row],[TotalPrice]]-product_sales_data__1[[#This Row],[ShippingCost]]</f>
        <v>201.69</v>
      </c>
      <c r="V82" s="5">
        <f>product_sales_data__1[[#This Row],[Quantity]]*product_sales_data__1[[#This Row],[UnitPrice]]*product_sales_data__1[[#This Row],[Discount]]</f>
        <v>38.980499999999999</v>
      </c>
    </row>
    <row r="83" spans="1:22" x14ac:dyDescent="0.3">
      <c r="A83" s="1" t="s">
        <v>369</v>
      </c>
      <c r="B83" s="1" t="s">
        <v>45</v>
      </c>
      <c r="C83" s="1" t="s">
        <v>109</v>
      </c>
      <c r="D83">
        <v>20</v>
      </c>
      <c r="E83" s="4">
        <v>268.25</v>
      </c>
      <c r="F83" s="1" t="s">
        <v>55</v>
      </c>
      <c r="G83" s="1" t="s">
        <v>37</v>
      </c>
      <c r="H83">
        <v>0.05</v>
      </c>
      <c r="I83" s="1" t="s">
        <v>78</v>
      </c>
      <c r="J83" s="4">
        <v>5096.75</v>
      </c>
      <c r="K83" s="1" t="s">
        <v>47</v>
      </c>
      <c r="L83" s="1" t="s">
        <v>85</v>
      </c>
      <c r="M83">
        <v>0</v>
      </c>
      <c r="N83" s="1" t="s">
        <v>370</v>
      </c>
      <c r="O83" s="1" t="s">
        <v>371</v>
      </c>
      <c r="P83" s="4">
        <v>20.96</v>
      </c>
      <c r="Q83" s="2">
        <v>45149</v>
      </c>
      <c r="R83" s="1" t="s">
        <v>372</v>
      </c>
      <c r="S83" s="1" t="s">
        <v>51</v>
      </c>
      <c r="T83" s="1" t="s">
        <v>82</v>
      </c>
      <c r="U83" s="5">
        <f>product_sales_data__1[[#This Row],[TotalPrice]]-product_sales_data__1[[#This Row],[ShippingCost]]</f>
        <v>5075.79</v>
      </c>
      <c r="V83" s="5">
        <f>product_sales_data__1[[#This Row],[Quantity]]*product_sales_data__1[[#This Row],[UnitPrice]]*product_sales_data__1[[#This Row],[Discount]]</f>
        <v>268.25</v>
      </c>
    </row>
    <row r="84" spans="1:22" x14ac:dyDescent="0.3">
      <c r="A84" s="1" t="s">
        <v>346</v>
      </c>
      <c r="B84" s="1" t="s">
        <v>21</v>
      </c>
      <c r="C84" s="1" t="s">
        <v>140</v>
      </c>
      <c r="D84">
        <v>12</v>
      </c>
      <c r="E84" s="4">
        <v>413.45</v>
      </c>
      <c r="F84" s="1" t="s">
        <v>55</v>
      </c>
      <c r="G84" s="1" t="s">
        <v>37</v>
      </c>
      <c r="H84">
        <v>0.15</v>
      </c>
      <c r="I84" s="1" t="s">
        <v>94</v>
      </c>
      <c r="J84" s="4">
        <v>4217.1899999999996</v>
      </c>
      <c r="K84" s="1" t="s">
        <v>47</v>
      </c>
      <c r="L84" s="1" t="s">
        <v>85</v>
      </c>
      <c r="M84">
        <v>0</v>
      </c>
      <c r="N84" s="1" t="s">
        <v>373</v>
      </c>
      <c r="O84" s="1" t="s">
        <v>374</v>
      </c>
      <c r="P84" s="4">
        <v>23.25</v>
      </c>
      <c r="Q84" s="2">
        <v>45692</v>
      </c>
      <c r="R84" s="1" t="s">
        <v>375</v>
      </c>
      <c r="S84" s="1" t="s">
        <v>31</v>
      </c>
      <c r="T84" s="1" t="s">
        <v>199</v>
      </c>
      <c r="U84" s="5">
        <f>product_sales_data__1[[#This Row],[TotalPrice]]-product_sales_data__1[[#This Row],[ShippingCost]]</f>
        <v>4193.9399999999996</v>
      </c>
      <c r="V84" s="5">
        <f>product_sales_data__1[[#This Row],[Quantity]]*product_sales_data__1[[#This Row],[UnitPrice]]*product_sales_data__1[[#This Row],[Discount]]</f>
        <v>744.20999999999992</v>
      </c>
    </row>
    <row r="85" spans="1:22" x14ac:dyDescent="0.3">
      <c r="A85" s="1" t="s">
        <v>229</v>
      </c>
      <c r="B85" s="1" t="s">
        <v>21</v>
      </c>
      <c r="C85" s="1" t="s">
        <v>35</v>
      </c>
      <c r="D85">
        <v>19</v>
      </c>
      <c r="E85" s="4">
        <v>446.25</v>
      </c>
      <c r="F85" s="1" t="s">
        <v>23</v>
      </c>
      <c r="G85" s="1" t="s">
        <v>37</v>
      </c>
      <c r="H85">
        <v>0.1</v>
      </c>
      <c r="I85" s="1" t="s">
        <v>65</v>
      </c>
      <c r="J85" s="4">
        <v>7630.88</v>
      </c>
      <c r="K85" s="1" t="s">
        <v>57</v>
      </c>
      <c r="L85" s="1" t="s">
        <v>48</v>
      </c>
      <c r="M85">
        <v>0</v>
      </c>
      <c r="N85" s="1" t="s">
        <v>376</v>
      </c>
      <c r="O85" s="1" t="s">
        <v>377</v>
      </c>
      <c r="P85" s="4">
        <v>14.88</v>
      </c>
      <c r="Q85" s="2">
        <v>45997</v>
      </c>
      <c r="R85" s="1" t="s">
        <v>378</v>
      </c>
      <c r="S85" s="1" t="s">
        <v>31</v>
      </c>
      <c r="T85" s="1" t="s">
        <v>76</v>
      </c>
      <c r="U85" s="5">
        <f>product_sales_data__1[[#This Row],[TotalPrice]]-product_sales_data__1[[#This Row],[ShippingCost]]</f>
        <v>7616</v>
      </c>
      <c r="V85" s="5">
        <f>product_sales_data__1[[#This Row],[Quantity]]*product_sales_data__1[[#This Row],[UnitPrice]]*product_sales_data__1[[#This Row],[Discount]]</f>
        <v>847.875</v>
      </c>
    </row>
    <row r="86" spans="1:22" x14ac:dyDescent="0.3">
      <c r="A86" s="1" t="s">
        <v>379</v>
      </c>
      <c r="B86" s="1" t="s">
        <v>70</v>
      </c>
      <c r="C86" s="1" t="s">
        <v>109</v>
      </c>
      <c r="D86">
        <v>3</v>
      </c>
      <c r="E86" s="4">
        <v>71.91</v>
      </c>
      <c r="F86" s="1" t="s">
        <v>23</v>
      </c>
      <c r="G86" s="1" t="s">
        <v>24</v>
      </c>
      <c r="H86">
        <v>0</v>
      </c>
      <c r="I86" s="1" t="s">
        <v>25</v>
      </c>
      <c r="J86" s="4">
        <v>215.73</v>
      </c>
      <c r="K86" s="1" t="s">
        <v>57</v>
      </c>
      <c r="L86" s="1" t="s">
        <v>27</v>
      </c>
      <c r="M86">
        <v>1</v>
      </c>
      <c r="N86" s="1" t="s">
        <v>380</v>
      </c>
      <c r="O86" s="1" t="s">
        <v>381</v>
      </c>
      <c r="P86" s="4">
        <v>46.25</v>
      </c>
      <c r="Q86" s="2">
        <v>45114</v>
      </c>
      <c r="R86" s="1" t="s">
        <v>382</v>
      </c>
      <c r="S86" s="1" t="s">
        <v>75</v>
      </c>
      <c r="T86" s="1" t="s">
        <v>117</v>
      </c>
      <c r="U86" s="5">
        <f>product_sales_data__1[[#This Row],[TotalPrice]]-product_sales_data__1[[#This Row],[ShippingCost]]</f>
        <v>169.48</v>
      </c>
      <c r="V86" s="5">
        <f>product_sales_data__1[[#This Row],[Quantity]]*product_sales_data__1[[#This Row],[UnitPrice]]*product_sales_data__1[[#This Row],[Discount]]</f>
        <v>0</v>
      </c>
    </row>
    <row r="87" spans="1:22" x14ac:dyDescent="0.3">
      <c r="A87" s="1" t="s">
        <v>383</v>
      </c>
      <c r="B87" s="1" t="s">
        <v>70</v>
      </c>
      <c r="C87" s="1" t="s">
        <v>109</v>
      </c>
      <c r="D87">
        <v>20</v>
      </c>
      <c r="E87" s="4">
        <v>576.29999999999995</v>
      </c>
      <c r="F87" s="1" t="s">
        <v>55</v>
      </c>
      <c r="G87" s="1" t="s">
        <v>24</v>
      </c>
      <c r="H87">
        <v>0.05</v>
      </c>
      <c r="I87" s="1" t="s">
        <v>65</v>
      </c>
      <c r="J87" s="4">
        <v>10949.7</v>
      </c>
      <c r="K87" s="1" t="s">
        <v>101</v>
      </c>
      <c r="L87" s="1" t="s">
        <v>48</v>
      </c>
      <c r="M87">
        <v>0</v>
      </c>
      <c r="N87" s="1" t="s">
        <v>384</v>
      </c>
      <c r="O87" s="1" t="s">
        <v>385</v>
      </c>
      <c r="P87" s="4">
        <v>25.22</v>
      </c>
      <c r="Q87" s="2">
        <v>45422</v>
      </c>
      <c r="R87" s="1" t="s">
        <v>386</v>
      </c>
      <c r="S87" s="1" t="s">
        <v>75</v>
      </c>
      <c r="T87" s="1" t="s">
        <v>63</v>
      </c>
      <c r="U87" s="5">
        <f>product_sales_data__1[[#This Row],[TotalPrice]]-product_sales_data__1[[#This Row],[ShippingCost]]</f>
        <v>10924.480000000001</v>
      </c>
      <c r="V87" s="5">
        <f>product_sales_data__1[[#This Row],[Quantity]]*product_sales_data__1[[#This Row],[UnitPrice]]*product_sales_data__1[[#This Row],[Discount]]</f>
        <v>576.30000000000007</v>
      </c>
    </row>
    <row r="88" spans="1:22" x14ac:dyDescent="0.3">
      <c r="A88" s="1" t="s">
        <v>309</v>
      </c>
      <c r="B88" s="1" t="s">
        <v>54</v>
      </c>
      <c r="C88" s="1" t="s">
        <v>140</v>
      </c>
      <c r="D88">
        <v>8</v>
      </c>
      <c r="E88" s="4">
        <v>96.19</v>
      </c>
      <c r="F88" s="1" t="s">
        <v>84</v>
      </c>
      <c r="G88" s="1" t="s">
        <v>24</v>
      </c>
      <c r="H88">
        <v>0.05</v>
      </c>
      <c r="I88" s="1" t="s">
        <v>46</v>
      </c>
      <c r="J88" s="4">
        <v>731.04</v>
      </c>
      <c r="K88" s="1" t="s">
        <v>38</v>
      </c>
      <c r="L88" s="1" t="s">
        <v>58</v>
      </c>
      <c r="M88">
        <v>0</v>
      </c>
      <c r="N88" s="1" t="s">
        <v>387</v>
      </c>
      <c r="O88" s="1" t="s">
        <v>388</v>
      </c>
      <c r="P88" s="4">
        <v>34.07</v>
      </c>
      <c r="Q88" s="2">
        <v>45661</v>
      </c>
      <c r="R88" s="1" t="s">
        <v>312</v>
      </c>
      <c r="S88" s="1" t="s">
        <v>62</v>
      </c>
      <c r="T88" s="1" t="s">
        <v>187</v>
      </c>
      <c r="U88" s="5">
        <f>product_sales_data__1[[#This Row],[TotalPrice]]-product_sales_data__1[[#This Row],[ShippingCost]]</f>
        <v>696.96999999999991</v>
      </c>
      <c r="V88" s="5">
        <f>product_sales_data__1[[#This Row],[Quantity]]*product_sales_data__1[[#This Row],[UnitPrice]]*product_sales_data__1[[#This Row],[Discount]]</f>
        <v>38.475999999999999</v>
      </c>
    </row>
    <row r="89" spans="1:22" x14ac:dyDescent="0.3">
      <c r="A89" s="1" t="s">
        <v>389</v>
      </c>
      <c r="B89" s="1" t="s">
        <v>54</v>
      </c>
      <c r="C89" s="1" t="s">
        <v>127</v>
      </c>
      <c r="D89">
        <v>14</v>
      </c>
      <c r="E89" s="4">
        <v>16.329999999999998</v>
      </c>
      <c r="F89" s="1" t="s">
        <v>23</v>
      </c>
      <c r="G89" s="1" t="s">
        <v>24</v>
      </c>
      <c r="H89">
        <v>0.1</v>
      </c>
      <c r="I89" s="1" t="s">
        <v>78</v>
      </c>
      <c r="J89" s="4">
        <v>205.76</v>
      </c>
      <c r="K89" s="1" t="s">
        <v>38</v>
      </c>
      <c r="L89" s="1" t="s">
        <v>27</v>
      </c>
      <c r="M89">
        <v>0</v>
      </c>
      <c r="N89" s="1" t="s">
        <v>390</v>
      </c>
      <c r="O89" s="1" t="s">
        <v>391</v>
      </c>
      <c r="P89" s="4">
        <v>22.72</v>
      </c>
      <c r="Q89" s="2">
        <v>45241</v>
      </c>
      <c r="R89" s="1" t="s">
        <v>392</v>
      </c>
      <c r="S89" s="1" t="s">
        <v>62</v>
      </c>
      <c r="T89" s="1" t="s">
        <v>43</v>
      </c>
      <c r="U89" s="5">
        <f>product_sales_data__1[[#This Row],[TotalPrice]]-product_sales_data__1[[#This Row],[ShippingCost]]</f>
        <v>183.04</v>
      </c>
      <c r="V89" s="5">
        <f>product_sales_data__1[[#This Row],[Quantity]]*product_sales_data__1[[#This Row],[UnitPrice]]*product_sales_data__1[[#This Row],[Discount]]</f>
        <v>22.861999999999998</v>
      </c>
    </row>
    <row r="90" spans="1:22" x14ac:dyDescent="0.3">
      <c r="A90" s="1" t="s">
        <v>393</v>
      </c>
      <c r="B90" s="1" t="s">
        <v>45</v>
      </c>
      <c r="C90" s="1" t="s">
        <v>22</v>
      </c>
      <c r="D90">
        <v>17</v>
      </c>
      <c r="E90" s="4">
        <v>480.62</v>
      </c>
      <c r="F90" s="1" t="s">
        <v>36</v>
      </c>
      <c r="G90" s="1" t="s">
        <v>24</v>
      </c>
      <c r="H90">
        <v>0.15</v>
      </c>
      <c r="I90" s="1" t="s">
        <v>46</v>
      </c>
      <c r="J90" s="4">
        <v>6944.96</v>
      </c>
      <c r="K90" s="1" t="s">
        <v>26</v>
      </c>
      <c r="L90" s="1" t="s">
        <v>85</v>
      </c>
      <c r="M90">
        <v>0</v>
      </c>
      <c r="N90" s="1" t="s">
        <v>394</v>
      </c>
      <c r="O90" s="1" t="s">
        <v>395</v>
      </c>
      <c r="P90" s="4">
        <v>37.090000000000003</v>
      </c>
      <c r="Q90" s="2">
        <v>45295</v>
      </c>
      <c r="R90" s="1" t="s">
        <v>339</v>
      </c>
      <c r="S90" s="1" t="s">
        <v>51</v>
      </c>
      <c r="T90" s="1" t="s">
        <v>187</v>
      </c>
      <c r="U90" s="5">
        <f>product_sales_data__1[[#This Row],[TotalPrice]]-product_sales_data__1[[#This Row],[ShippingCost]]</f>
        <v>6907.87</v>
      </c>
      <c r="V90" s="5">
        <f>product_sales_data__1[[#This Row],[Quantity]]*product_sales_data__1[[#This Row],[UnitPrice]]*product_sales_data__1[[#This Row],[Discount]]</f>
        <v>1225.5809999999999</v>
      </c>
    </row>
    <row r="91" spans="1:22" x14ac:dyDescent="0.3">
      <c r="A91" s="1" t="s">
        <v>266</v>
      </c>
      <c r="B91" s="1" t="s">
        <v>45</v>
      </c>
      <c r="C91" s="1" t="s">
        <v>22</v>
      </c>
      <c r="D91">
        <v>11</v>
      </c>
      <c r="E91" s="4">
        <v>286.05</v>
      </c>
      <c r="F91" s="1" t="s">
        <v>84</v>
      </c>
      <c r="G91" s="1" t="s">
        <v>37</v>
      </c>
      <c r="H91">
        <v>0.1</v>
      </c>
      <c r="I91" s="1" t="s">
        <v>94</v>
      </c>
      <c r="J91" s="4">
        <v>2831.9</v>
      </c>
      <c r="K91" s="1" t="s">
        <v>38</v>
      </c>
      <c r="L91" s="1" t="s">
        <v>48</v>
      </c>
      <c r="M91">
        <v>1</v>
      </c>
      <c r="N91" s="1" t="s">
        <v>396</v>
      </c>
      <c r="O91" s="1" t="s">
        <v>397</v>
      </c>
      <c r="P91" s="4">
        <v>8.59</v>
      </c>
      <c r="Q91" s="2">
        <v>45607</v>
      </c>
      <c r="R91" s="1" t="s">
        <v>398</v>
      </c>
      <c r="S91" s="1" t="s">
        <v>51</v>
      </c>
      <c r="T91" s="1" t="s">
        <v>43</v>
      </c>
      <c r="U91" s="5">
        <f>product_sales_data__1[[#This Row],[TotalPrice]]-product_sales_data__1[[#This Row],[ShippingCost]]</f>
        <v>2823.31</v>
      </c>
      <c r="V91" s="5">
        <f>product_sales_data__1[[#This Row],[Quantity]]*product_sales_data__1[[#This Row],[UnitPrice]]*product_sales_data__1[[#This Row],[Discount]]</f>
        <v>314.65500000000003</v>
      </c>
    </row>
    <row r="92" spans="1:22" x14ac:dyDescent="0.3">
      <c r="A92" s="1" t="s">
        <v>399</v>
      </c>
      <c r="B92" s="1" t="s">
        <v>21</v>
      </c>
      <c r="C92" s="1" t="s">
        <v>22</v>
      </c>
      <c r="D92">
        <v>16</v>
      </c>
      <c r="E92" s="4">
        <v>40.729999999999997</v>
      </c>
      <c r="F92" s="1" t="s">
        <v>55</v>
      </c>
      <c r="G92" s="1" t="s">
        <v>37</v>
      </c>
      <c r="H92">
        <v>0</v>
      </c>
      <c r="I92" s="1" t="s">
        <v>25</v>
      </c>
      <c r="J92" s="4">
        <v>651.67999999999995</v>
      </c>
      <c r="K92" s="1" t="s">
        <v>101</v>
      </c>
      <c r="L92" s="1" t="s">
        <v>48</v>
      </c>
      <c r="M92">
        <v>0</v>
      </c>
      <c r="N92" s="1" t="s">
        <v>400</v>
      </c>
      <c r="O92" s="1" t="s">
        <v>401</v>
      </c>
      <c r="P92" s="4">
        <v>24.72</v>
      </c>
      <c r="Q92" s="2">
        <v>45393</v>
      </c>
      <c r="R92" s="1" t="s">
        <v>263</v>
      </c>
      <c r="S92" s="1" t="s">
        <v>31</v>
      </c>
      <c r="T92" s="1" t="s">
        <v>147</v>
      </c>
      <c r="U92" s="5">
        <f>product_sales_data__1[[#This Row],[TotalPrice]]-product_sales_data__1[[#This Row],[ShippingCost]]</f>
        <v>626.95999999999992</v>
      </c>
      <c r="V92" s="5">
        <f>product_sales_data__1[[#This Row],[Quantity]]*product_sales_data__1[[#This Row],[UnitPrice]]*product_sales_data__1[[#This Row],[Discount]]</f>
        <v>0</v>
      </c>
    </row>
    <row r="93" spans="1:22" x14ac:dyDescent="0.3">
      <c r="A93" s="1" t="s">
        <v>402</v>
      </c>
      <c r="B93" s="1" t="s">
        <v>45</v>
      </c>
      <c r="C93" s="1" t="s">
        <v>35</v>
      </c>
      <c r="D93">
        <v>11</v>
      </c>
      <c r="E93" s="4">
        <v>468.22</v>
      </c>
      <c r="F93" s="1" t="s">
        <v>55</v>
      </c>
      <c r="G93" s="1" t="s">
        <v>37</v>
      </c>
      <c r="H93">
        <v>0</v>
      </c>
      <c r="I93" s="1" t="s">
        <v>46</v>
      </c>
      <c r="J93" s="4">
        <v>5150.42</v>
      </c>
      <c r="K93" s="1" t="s">
        <v>38</v>
      </c>
      <c r="L93" s="1" t="s">
        <v>27</v>
      </c>
      <c r="M93">
        <v>0</v>
      </c>
      <c r="N93" s="1" t="s">
        <v>403</v>
      </c>
      <c r="O93" s="1" t="s">
        <v>404</v>
      </c>
      <c r="P93" s="4">
        <v>19.920000000000002</v>
      </c>
      <c r="Q93" s="2">
        <v>44927</v>
      </c>
      <c r="R93" s="1" t="s">
        <v>33</v>
      </c>
      <c r="S93" s="1" t="s">
        <v>51</v>
      </c>
      <c r="T93" s="1" t="s">
        <v>187</v>
      </c>
      <c r="U93" s="5">
        <f>product_sales_data__1[[#This Row],[TotalPrice]]-product_sales_data__1[[#This Row],[ShippingCost]]</f>
        <v>5130.5</v>
      </c>
      <c r="V93" s="5">
        <f>product_sales_data__1[[#This Row],[Quantity]]*product_sales_data__1[[#This Row],[UnitPrice]]*product_sales_data__1[[#This Row],[Discount]]</f>
        <v>0</v>
      </c>
    </row>
    <row r="94" spans="1:22" x14ac:dyDescent="0.3">
      <c r="A94" s="1" t="s">
        <v>405</v>
      </c>
      <c r="B94" s="1" t="s">
        <v>45</v>
      </c>
      <c r="C94" s="1" t="s">
        <v>140</v>
      </c>
      <c r="D94">
        <v>13</v>
      </c>
      <c r="E94" s="4">
        <v>134.19999999999999</v>
      </c>
      <c r="F94" s="1" t="s">
        <v>84</v>
      </c>
      <c r="G94" s="1" t="s">
        <v>24</v>
      </c>
      <c r="H94">
        <v>0.05</v>
      </c>
      <c r="I94" s="1" t="s">
        <v>65</v>
      </c>
      <c r="J94" s="4">
        <v>1657.37</v>
      </c>
      <c r="K94" s="1" t="s">
        <v>101</v>
      </c>
      <c r="L94" s="1" t="s">
        <v>27</v>
      </c>
      <c r="M94">
        <v>0</v>
      </c>
      <c r="N94" s="1" t="s">
        <v>406</v>
      </c>
      <c r="O94" s="1" t="s">
        <v>407</v>
      </c>
      <c r="P94" s="4">
        <v>9.6</v>
      </c>
      <c r="Q94" s="2">
        <v>44962</v>
      </c>
      <c r="R94" s="1" t="s">
        <v>20</v>
      </c>
      <c r="S94" s="1" t="s">
        <v>51</v>
      </c>
      <c r="T94" s="1" t="s">
        <v>199</v>
      </c>
      <c r="U94" s="5">
        <f>product_sales_data__1[[#This Row],[TotalPrice]]-product_sales_data__1[[#This Row],[ShippingCost]]</f>
        <v>1647.77</v>
      </c>
      <c r="V94" s="5">
        <f>product_sales_data__1[[#This Row],[Quantity]]*product_sales_data__1[[#This Row],[UnitPrice]]*product_sales_data__1[[#This Row],[Discount]]</f>
        <v>87.23</v>
      </c>
    </row>
    <row r="95" spans="1:22" x14ac:dyDescent="0.3">
      <c r="A95" s="1" t="s">
        <v>33</v>
      </c>
      <c r="B95" s="1" t="s">
        <v>21</v>
      </c>
      <c r="C95" s="1" t="s">
        <v>22</v>
      </c>
      <c r="D95">
        <v>6</v>
      </c>
      <c r="E95" s="4">
        <v>202.57</v>
      </c>
      <c r="F95" s="1" t="s">
        <v>55</v>
      </c>
      <c r="G95" s="1" t="s">
        <v>37</v>
      </c>
      <c r="H95">
        <v>0.05</v>
      </c>
      <c r="I95" s="1" t="s">
        <v>65</v>
      </c>
      <c r="J95" s="4">
        <v>1154.6500000000001</v>
      </c>
      <c r="K95" s="1" t="s">
        <v>57</v>
      </c>
      <c r="L95" s="1" t="s">
        <v>85</v>
      </c>
      <c r="M95">
        <v>0</v>
      </c>
      <c r="N95" s="1" t="s">
        <v>408</v>
      </c>
      <c r="O95" s="1" t="s">
        <v>409</v>
      </c>
      <c r="P95" s="4">
        <v>24.39</v>
      </c>
      <c r="Q95" s="2">
        <v>45231</v>
      </c>
      <c r="R95" s="1" t="s">
        <v>41</v>
      </c>
      <c r="S95" s="1" t="s">
        <v>31</v>
      </c>
      <c r="T95" s="1" t="s">
        <v>43</v>
      </c>
      <c r="U95" s="5">
        <f>product_sales_data__1[[#This Row],[TotalPrice]]-product_sales_data__1[[#This Row],[ShippingCost]]</f>
        <v>1130.26</v>
      </c>
      <c r="V95" s="5">
        <f>product_sales_data__1[[#This Row],[Quantity]]*product_sales_data__1[[#This Row],[UnitPrice]]*product_sales_data__1[[#This Row],[Discount]]</f>
        <v>60.771000000000008</v>
      </c>
    </row>
    <row r="96" spans="1:22" x14ac:dyDescent="0.3">
      <c r="A96" s="1" t="s">
        <v>410</v>
      </c>
      <c r="B96" s="1" t="s">
        <v>34</v>
      </c>
      <c r="C96" s="1" t="s">
        <v>100</v>
      </c>
      <c r="D96">
        <v>13</v>
      </c>
      <c r="E96" s="4">
        <v>306.16000000000003</v>
      </c>
      <c r="F96" s="1" t="s">
        <v>84</v>
      </c>
      <c r="G96" s="1" t="s">
        <v>24</v>
      </c>
      <c r="H96">
        <v>0.15</v>
      </c>
      <c r="I96" s="1" t="s">
        <v>56</v>
      </c>
      <c r="J96" s="4">
        <v>3383.07</v>
      </c>
      <c r="K96" s="1" t="s">
        <v>47</v>
      </c>
      <c r="L96" s="1" t="s">
        <v>58</v>
      </c>
      <c r="M96">
        <v>0</v>
      </c>
      <c r="N96" s="1" t="s">
        <v>411</v>
      </c>
      <c r="O96" s="1" t="s">
        <v>412</v>
      </c>
      <c r="P96" s="4">
        <v>25.16</v>
      </c>
      <c r="Q96" s="2">
        <v>45663</v>
      </c>
      <c r="R96" s="1" t="s">
        <v>413</v>
      </c>
      <c r="S96" s="1" t="s">
        <v>42</v>
      </c>
      <c r="T96" s="1" t="s">
        <v>187</v>
      </c>
      <c r="U96" s="5">
        <f>product_sales_data__1[[#This Row],[TotalPrice]]-product_sales_data__1[[#This Row],[ShippingCost]]</f>
        <v>3357.9100000000003</v>
      </c>
      <c r="V96" s="5">
        <f>product_sales_data__1[[#This Row],[Quantity]]*product_sales_data__1[[#This Row],[UnitPrice]]*product_sales_data__1[[#This Row],[Discount]]</f>
        <v>597.01200000000006</v>
      </c>
    </row>
    <row r="97" spans="1:22" x14ac:dyDescent="0.3">
      <c r="A97" s="1" t="s">
        <v>414</v>
      </c>
      <c r="B97" s="1" t="s">
        <v>70</v>
      </c>
      <c r="C97" s="1" t="s">
        <v>71</v>
      </c>
      <c r="D97">
        <v>20</v>
      </c>
      <c r="E97" s="4">
        <v>337.37</v>
      </c>
      <c r="F97" s="1" t="s">
        <v>36</v>
      </c>
      <c r="G97" s="1" t="s">
        <v>37</v>
      </c>
      <c r="H97">
        <v>0.1</v>
      </c>
      <c r="I97" s="1" t="s">
        <v>78</v>
      </c>
      <c r="J97" s="4">
        <v>6072.66</v>
      </c>
      <c r="K97" s="1" t="s">
        <v>57</v>
      </c>
      <c r="L97" s="1" t="s">
        <v>48</v>
      </c>
      <c r="M97">
        <v>0</v>
      </c>
      <c r="N97" s="1" t="s">
        <v>415</v>
      </c>
      <c r="O97" s="1" t="s">
        <v>416</v>
      </c>
      <c r="P97" s="4">
        <v>43.17</v>
      </c>
      <c r="Q97" s="2">
        <v>45573</v>
      </c>
      <c r="R97" s="1" t="s">
        <v>353</v>
      </c>
      <c r="S97" s="1" t="s">
        <v>75</v>
      </c>
      <c r="T97" s="1" t="s">
        <v>32</v>
      </c>
      <c r="U97" s="5">
        <f>product_sales_data__1[[#This Row],[TotalPrice]]-product_sales_data__1[[#This Row],[ShippingCost]]</f>
        <v>6029.49</v>
      </c>
      <c r="V97" s="5">
        <f>product_sales_data__1[[#This Row],[Quantity]]*product_sales_data__1[[#This Row],[UnitPrice]]*product_sales_data__1[[#This Row],[Discount]]</f>
        <v>674.74</v>
      </c>
    </row>
    <row r="98" spans="1:22" x14ac:dyDescent="0.3">
      <c r="A98" s="1" t="s">
        <v>417</v>
      </c>
      <c r="B98" s="1" t="s">
        <v>34</v>
      </c>
      <c r="C98" s="1" t="s">
        <v>71</v>
      </c>
      <c r="D98">
        <v>12</v>
      </c>
      <c r="E98" s="4">
        <v>34.24</v>
      </c>
      <c r="F98" s="1" t="s">
        <v>36</v>
      </c>
      <c r="G98" s="1" t="s">
        <v>37</v>
      </c>
      <c r="H98">
        <v>0.1</v>
      </c>
      <c r="I98" s="1" t="s">
        <v>56</v>
      </c>
      <c r="J98" s="4">
        <v>369.79</v>
      </c>
      <c r="K98" s="1" t="s">
        <v>47</v>
      </c>
      <c r="L98" s="1" t="s">
        <v>48</v>
      </c>
      <c r="M98">
        <v>0</v>
      </c>
      <c r="N98" s="1" t="s">
        <v>418</v>
      </c>
      <c r="O98" s="1" t="s">
        <v>419</v>
      </c>
      <c r="P98" s="4">
        <v>17.64</v>
      </c>
      <c r="Q98" s="2">
        <v>45691</v>
      </c>
      <c r="R98" s="1" t="s">
        <v>300</v>
      </c>
      <c r="S98" s="1" t="s">
        <v>42</v>
      </c>
      <c r="T98" s="1" t="s">
        <v>199</v>
      </c>
      <c r="U98" s="5">
        <f>product_sales_data__1[[#This Row],[TotalPrice]]-product_sales_data__1[[#This Row],[ShippingCost]]</f>
        <v>352.15000000000003</v>
      </c>
      <c r="V98" s="5">
        <f>product_sales_data__1[[#This Row],[Quantity]]*product_sales_data__1[[#This Row],[UnitPrice]]*product_sales_data__1[[#This Row],[Discount]]</f>
        <v>41.088000000000001</v>
      </c>
    </row>
    <row r="99" spans="1:22" x14ac:dyDescent="0.3">
      <c r="A99" s="1" t="s">
        <v>420</v>
      </c>
      <c r="B99" s="1" t="s">
        <v>34</v>
      </c>
      <c r="C99" s="1" t="s">
        <v>127</v>
      </c>
      <c r="D99">
        <v>7</v>
      </c>
      <c r="E99" s="4">
        <v>208.86</v>
      </c>
      <c r="F99" s="1" t="s">
        <v>23</v>
      </c>
      <c r="G99" s="1" t="s">
        <v>37</v>
      </c>
      <c r="H99">
        <v>0</v>
      </c>
      <c r="I99" s="1" t="s">
        <v>56</v>
      </c>
      <c r="J99" s="4">
        <v>1462.02</v>
      </c>
      <c r="K99" s="1" t="s">
        <v>47</v>
      </c>
      <c r="L99" s="1" t="s">
        <v>85</v>
      </c>
      <c r="M99">
        <v>0</v>
      </c>
      <c r="N99" s="1" t="s">
        <v>421</v>
      </c>
      <c r="O99" s="1" t="s">
        <v>422</v>
      </c>
      <c r="P99" s="4">
        <v>20.64</v>
      </c>
      <c r="Q99" s="2">
        <v>45292</v>
      </c>
      <c r="R99" s="1" t="s">
        <v>423</v>
      </c>
      <c r="S99" s="1" t="s">
        <v>42</v>
      </c>
      <c r="T99" s="1" t="s">
        <v>187</v>
      </c>
      <c r="U99" s="5">
        <f>product_sales_data__1[[#This Row],[TotalPrice]]-product_sales_data__1[[#This Row],[ShippingCost]]</f>
        <v>1441.3799999999999</v>
      </c>
      <c r="V99" s="5">
        <f>product_sales_data__1[[#This Row],[Quantity]]*product_sales_data__1[[#This Row],[UnitPrice]]*product_sales_data__1[[#This Row],[Discount]]</f>
        <v>0</v>
      </c>
    </row>
    <row r="100" spans="1:22" x14ac:dyDescent="0.3">
      <c r="A100" s="1" t="s">
        <v>424</v>
      </c>
      <c r="B100" s="1" t="s">
        <v>34</v>
      </c>
      <c r="C100" s="1" t="s">
        <v>100</v>
      </c>
      <c r="D100">
        <v>2</v>
      </c>
      <c r="E100" s="4">
        <v>374.59</v>
      </c>
      <c r="F100" s="1" t="s">
        <v>36</v>
      </c>
      <c r="G100" s="1" t="s">
        <v>24</v>
      </c>
      <c r="H100">
        <v>0.15</v>
      </c>
      <c r="I100" s="1" t="s">
        <v>46</v>
      </c>
      <c r="J100" s="4">
        <v>636.79999999999995</v>
      </c>
      <c r="K100" s="1" t="s">
        <v>26</v>
      </c>
      <c r="L100" s="1" t="s">
        <v>58</v>
      </c>
      <c r="M100">
        <v>0</v>
      </c>
      <c r="N100" s="1" t="s">
        <v>425</v>
      </c>
      <c r="O100" s="1" t="s">
        <v>426</v>
      </c>
      <c r="P100" s="4">
        <v>34.64</v>
      </c>
      <c r="Q100" s="2">
        <v>45205</v>
      </c>
      <c r="R100" s="1" t="s">
        <v>427</v>
      </c>
      <c r="S100" s="1" t="s">
        <v>42</v>
      </c>
      <c r="T100" s="1" t="s">
        <v>32</v>
      </c>
      <c r="U100" s="5">
        <f>product_sales_data__1[[#This Row],[TotalPrice]]-product_sales_data__1[[#This Row],[ShippingCost]]</f>
        <v>602.16</v>
      </c>
      <c r="V100" s="5">
        <f>product_sales_data__1[[#This Row],[Quantity]]*product_sales_data__1[[#This Row],[UnitPrice]]*product_sales_data__1[[#This Row],[Discount]]</f>
        <v>112.377</v>
      </c>
    </row>
    <row r="101" spans="1:22" x14ac:dyDescent="0.3">
      <c r="A101" s="1" t="s">
        <v>428</v>
      </c>
      <c r="B101" s="1" t="s">
        <v>21</v>
      </c>
      <c r="C101" s="1" t="s">
        <v>127</v>
      </c>
      <c r="D101">
        <v>3</v>
      </c>
      <c r="E101" s="4">
        <v>506.33</v>
      </c>
      <c r="F101" s="1" t="s">
        <v>23</v>
      </c>
      <c r="G101" s="1" t="s">
        <v>37</v>
      </c>
      <c r="H101">
        <v>0.15</v>
      </c>
      <c r="I101" s="1" t="s">
        <v>56</v>
      </c>
      <c r="J101" s="4">
        <v>1291.1400000000001</v>
      </c>
      <c r="K101" s="1" t="s">
        <v>38</v>
      </c>
      <c r="L101" s="1" t="s">
        <v>85</v>
      </c>
      <c r="M101">
        <v>0</v>
      </c>
      <c r="N101" s="1" t="s">
        <v>429</v>
      </c>
      <c r="O101" s="1" t="s">
        <v>430</v>
      </c>
      <c r="P101" s="4">
        <v>25.71</v>
      </c>
      <c r="Q101" s="2">
        <v>45109</v>
      </c>
      <c r="R101" s="1" t="s">
        <v>195</v>
      </c>
      <c r="S101" s="1" t="s">
        <v>31</v>
      </c>
      <c r="T101" s="1" t="s">
        <v>117</v>
      </c>
      <c r="U101" s="5">
        <f>product_sales_data__1[[#This Row],[TotalPrice]]-product_sales_data__1[[#This Row],[ShippingCost]]</f>
        <v>1265.43</v>
      </c>
      <c r="V101" s="5">
        <f>product_sales_data__1[[#This Row],[Quantity]]*product_sales_data__1[[#This Row],[UnitPrice]]*product_sales_data__1[[#This Row],[Discount]]</f>
        <v>227.8485</v>
      </c>
    </row>
    <row r="102" spans="1:22" x14ac:dyDescent="0.3">
      <c r="A102" s="1" t="s">
        <v>53</v>
      </c>
      <c r="B102" s="1" t="s">
        <v>34</v>
      </c>
      <c r="C102" s="1" t="s">
        <v>109</v>
      </c>
      <c r="D102">
        <v>18</v>
      </c>
      <c r="E102" s="4">
        <v>375.96</v>
      </c>
      <c r="F102" s="1" t="s">
        <v>55</v>
      </c>
      <c r="G102" s="1" t="s">
        <v>24</v>
      </c>
      <c r="H102">
        <v>0.05</v>
      </c>
      <c r="I102" s="1" t="s">
        <v>78</v>
      </c>
      <c r="J102" s="4">
        <v>6428.92</v>
      </c>
      <c r="K102" s="1" t="s">
        <v>38</v>
      </c>
      <c r="L102" s="1" t="s">
        <v>58</v>
      </c>
      <c r="M102">
        <v>0</v>
      </c>
      <c r="N102" s="1" t="s">
        <v>431</v>
      </c>
      <c r="O102" s="1" t="s">
        <v>432</v>
      </c>
      <c r="P102" s="4">
        <v>26.78</v>
      </c>
      <c r="Q102" s="2">
        <v>45780</v>
      </c>
      <c r="R102" s="1" t="s">
        <v>118</v>
      </c>
      <c r="S102" s="1" t="s">
        <v>42</v>
      </c>
      <c r="T102" s="1" t="s">
        <v>63</v>
      </c>
      <c r="U102" s="5">
        <f>product_sales_data__1[[#This Row],[TotalPrice]]-product_sales_data__1[[#This Row],[ShippingCost]]</f>
        <v>6402.14</v>
      </c>
      <c r="V102" s="5">
        <f>product_sales_data__1[[#This Row],[Quantity]]*product_sales_data__1[[#This Row],[UnitPrice]]*product_sales_data__1[[#This Row],[Discount]]</f>
        <v>338.36400000000003</v>
      </c>
    </row>
    <row r="103" spans="1:22" x14ac:dyDescent="0.3">
      <c r="A103" s="1" t="s">
        <v>433</v>
      </c>
      <c r="B103" s="1" t="s">
        <v>21</v>
      </c>
      <c r="C103" s="1" t="s">
        <v>140</v>
      </c>
      <c r="D103">
        <v>10</v>
      </c>
      <c r="E103" s="4">
        <v>538.47</v>
      </c>
      <c r="F103" s="1" t="s">
        <v>55</v>
      </c>
      <c r="G103" s="1" t="s">
        <v>37</v>
      </c>
      <c r="H103">
        <v>0.1</v>
      </c>
      <c r="I103" s="1" t="s">
        <v>94</v>
      </c>
      <c r="J103" s="4">
        <v>4846.2299999999996</v>
      </c>
      <c r="K103" s="1" t="s">
        <v>57</v>
      </c>
      <c r="L103" s="1" t="s">
        <v>27</v>
      </c>
      <c r="M103">
        <v>1</v>
      </c>
      <c r="N103" s="1" t="s">
        <v>434</v>
      </c>
      <c r="O103" s="1" t="s">
        <v>435</v>
      </c>
      <c r="P103" s="4">
        <v>17.25</v>
      </c>
      <c r="Q103" s="2">
        <v>44959</v>
      </c>
      <c r="R103" s="1" t="s">
        <v>436</v>
      </c>
      <c r="S103" s="1" t="s">
        <v>31</v>
      </c>
      <c r="T103" s="1" t="s">
        <v>199</v>
      </c>
      <c r="U103" s="5">
        <f>product_sales_data__1[[#This Row],[TotalPrice]]-product_sales_data__1[[#This Row],[ShippingCost]]</f>
        <v>4828.9799999999996</v>
      </c>
      <c r="V103" s="5">
        <f>product_sales_data__1[[#This Row],[Quantity]]*product_sales_data__1[[#This Row],[UnitPrice]]*product_sales_data__1[[#This Row],[Discount]]</f>
        <v>538.47000000000014</v>
      </c>
    </row>
    <row r="104" spans="1:22" x14ac:dyDescent="0.3">
      <c r="A104" s="1" t="s">
        <v>437</v>
      </c>
      <c r="B104" s="1" t="s">
        <v>21</v>
      </c>
      <c r="C104" s="1" t="s">
        <v>35</v>
      </c>
      <c r="D104">
        <v>10</v>
      </c>
      <c r="E104" s="4">
        <v>217.43</v>
      </c>
      <c r="F104" s="1" t="s">
        <v>84</v>
      </c>
      <c r="G104" s="1" t="s">
        <v>37</v>
      </c>
      <c r="H104">
        <v>0.15</v>
      </c>
      <c r="I104" s="1" t="s">
        <v>94</v>
      </c>
      <c r="J104" s="4">
        <v>1848.16</v>
      </c>
      <c r="K104" s="1" t="s">
        <v>101</v>
      </c>
      <c r="L104" s="1" t="s">
        <v>85</v>
      </c>
      <c r="M104">
        <v>0</v>
      </c>
      <c r="N104" s="1" t="s">
        <v>438</v>
      </c>
      <c r="O104" s="1" t="s">
        <v>439</v>
      </c>
      <c r="P104" s="4">
        <v>33.14</v>
      </c>
      <c r="Q104" s="2">
        <v>45079</v>
      </c>
      <c r="R104" s="1" t="s">
        <v>440</v>
      </c>
      <c r="S104" s="1" t="s">
        <v>31</v>
      </c>
      <c r="T104" s="1" t="s">
        <v>105</v>
      </c>
      <c r="U104" s="5">
        <f>product_sales_data__1[[#This Row],[TotalPrice]]-product_sales_data__1[[#This Row],[ShippingCost]]</f>
        <v>1815.02</v>
      </c>
      <c r="V104" s="5">
        <f>product_sales_data__1[[#This Row],[Quantity]]*product_sales_data__1[[#This Row],[UnitPrice]]*product_sales_data__1[[#This Row],[Discount]]</f>
        <v>326.14500000000004</v>
      </c>
    </row>
    <row r="105" spans="1:22" x14ac:dyDescent="0.3">
      <c r="A105" s="1" t="s">
        <v>172</v>
      </c>
      <c r="B105" s="1" t="s">
        <v>70</v>
      </c>
      <c r="C105" s="1" t="s">
        <v>35</v>
      </c>
      <c r="D105">
        <v>5</v>
      </c>
      <c r="E105" s="4">
        <v>89.03</v>
      </c>
      <c r="F105" s="1" t="s">
        <v>36</v>
      </c>
      <c r="G105" s="1" t="s">
        <v>24</v>
      </c>
      <c r="H105">
        <v>0.1</v>
      </c>
      <c r="I105" s="1" t="s">
        <v>56</v>
      </c>
      <c r="J105" s="4">
        <v>400.64</v>
      </c>
      <c r="K105" s="1" t="s">
        <v>38</v>
      </c>
      <c r="L105" s="1" t="s">
        <v>27</v>
      </c>
      <c r="M105">
        <v>0</v>
      </c>
      <c r="N105" s="1" t="s">
        <v>441</v>
      </c>
      <c r="O105" s="1" t="s">
        <v>442</v>
      </c>
      <c r="P105" s="4">
        <v>22.42</v>
      </c>
      <c r="Q105" s="2">
        <v>45811</v>
      </c>
      <c r="R105" s="1" t="s">
        <v>443</v>
      </c>
      <c r="S105" s="1" t="s">
        <v>75</v>
      </c>
      <c r="T105" s="1" t="s">
        <v>105</v>
      </c>
      <c r="U105" s="5">
        <f>product_sales_data__1[[#This Row],[TotalPrice]]-product_sales_data__1[[#This Row],[ShippingCost]]</f>
        <v>378.21999999999997</v>
      </c>
      <c r="V105" s="5">
        <f>product_sales_data__1[[#This Row],[Quantity]]*product_sales_data__1[[#This Row],[UnitPrice]]*product_sales_data__1[[#This Row],[Discount]]</f>
        <v>44.515000000000001</v>
      </c>
    </row>
    <row r="106" spans="1:22" x14ac:dyDescent="0.3">
      <c r="A106" s="1" t="s">
        <v>64</v>
      </c>
      <c r="B106" s="1" t="s">
        <v>54</v>
      </c>
      <c r="C106" s="1" t="s">
        <v>109</v>
      </c>
      <c r="D106">
        <v>8</v>
      </c>
      <c r="E106" s="4">
        <v>294.76</v>
      </c>
      <c r="F106" s="1" t="s">
        <v>36</v>
      </c>
      <c r="G106" s="1" t="s">
        <v>37</v>
      </c>
      <c r="H106">
        <v>0.1</v>
      </c>
      <c r="I106" s="1" t="s">
        <v>78</v>
      </c>
      <c r="J106" s="4">
        <v>2122.27</v>
      </c>
      <c r="K106" s="1" t="s">
        <v>26</v>
      </c>
      <c r="L106" s="1" t="s">
        <v>58</v>
      </c>
      <c r="M106">
        <v>0</v>
      </c>
      <c r="N106" s="1" t="s">
        <v>444</v>
      </c>
      <c r="O106" s="1" t="s">
        <v>445</v>
      </c>
      <c r="P106" s="4">
        <v>36.04</v>
      </c>
      <c r="Q106" s="2">
        <v>45569</v>
      </c>
      <c r="R106" s="1" t="s">
        <v>446</v>
      </c>
      <c r="S106" s="1" t="s">
        <v>62</v>
      </c>
      <c r="T106" s="1" t="s">
        <v>32</v>
      </c>
      <c r="U106" s="5">
        <f>product_sales_data__1[[#This Row],[TotalPrice]]-product_sales_data__1[[#This Row],[ShippingCost]]</f>
        <v>2086.23</v>
      </c>
      <c r="V106" s="5">
        <f>product_sales_data__1[[#This Row],[Quantity]]*product_sales_data__1[[#This Row],[UnitPrice]]*product_sales_data__1[[#This Row],[Discount]]</f>
        <v>235.80799999999999</v>
      </c>
    </row>
    <row r="107" spans="1:22" x14ac:dyDescent="0.3">
      <c r="A107" s="1" t="s">
        <v>362</v>
      </c>
      <c r="B107" s="1" t="s">
        <v>70</v>
      </c>
      <c r="C107" s="1" t="s">
        <v>71</v>
      </c>
      <c r="D107">
        <v>19</v>
      </c>
      <c r="E107" s="4">
        <v>271.22000000000003</v>
      </c>
      <c r="F107" s="1" t="s">
        <v>84</v>
      </c>
      <c r="G107" s="1" t="s">
        <v>24</v>
      </c>
      <c r="H107">
        <v>0.1</v>
      </c>
      <c r="I107" s="1" t="s">
        <v>25</v>
      </c>
      <c r="J107" s="4">
        <v>4637.8599999999997</v>
      </c>
      <c r="K107" s="1" t="s">
        <v>101</v>
      </c>
      <c r="L107" s="1" t="s">
        <v>27</v>
      </c>
      <c r="M107">
        <v>0</v>
      </c>
      <c r="N107" s="1" t="s">
        <v>447</v>
      </c>
      <c r="O107" s="1" t="s">
        <v>448</v>
      </c>
      <c r="P107" s="4">
        <v>35.33</v>
      </c>
      <c r="Q107" s="2">
        <v>45420</v>
      </c>
      <c r="R107" s="1" t="s">
        <v>449</v>
      </c>
      <c r="S107" s="1" t="s">
        <v>75</v>
      </c>
      <c r="T107" s="1" t="s">
        <v>63</v>
      </c>
      <c r="U107" s="5">
        <f>product_sales_data__1[[#This Row],[TotalPrice]]-product_sales_data__1[[#This Row],[ShippingCost]]</f>
        <v>4602.53</v>
      </c>
      <c r="V107" s="5">
        <f>product_sales_data__1[[#This Row],[Quantity]]*product_sales_data__1[[#This Row],[UnitPrice]]*product_sales_data__1[[#This Row],[Discount]]</f>
        <v>515.3180000000001</v>
      </c>
    </row>
    <row r="108" spans="1:22" x14ac:dyDescent="0.3">
      <c r="A108" s="1" t="s">
        <v>450</v>
      </c>
      <c r="B108" s="1" t="s">
        <v>54</v>
      </c>
      <c r="C108" s="1" t="s">
        <v>100</v>
      </c>
      <c r="D108">
        <v>19</v>
      </c>
      <c r="E108" s="4">
        <v>212.83</v>
      </c>
      <c r="F108" s="1" t="s">
        <v>55</v>
      </c>
      <c r="G108" s="1" t="s">
        <v>24</v>
      </c>
      <c r="H108">
        <v>0.15</v>
      </c>
      <c r="I108" s="1" t="s">
        <v>46</v>
      </c>
      <c r="J108" s="4">
        <v>3437.2</v>
      </c>
      <c r="K108" s="1" t="s">
        <v>26</v>
      </c>
      <c r="L108" s="1" t="s">
        <v>27</v>
      </c>
      <c r="M108">
        <v>0</v>
      </c>
      <c r="N108" s="1" t="s">
        <v>451</v>
      </c>
      <c r="O108" s="1" t="s">
        <v>452</v>
      </c>
      <c r="P108" s="4">
        <v>42.88</v>
      </c>
      <c r="Q108" s="2">
        <v>45147</v>
      </c>
      <c r="R108" s="1" t="s">
        <v>453</v>
      </c>
      <c r="S108" s="1" t="s">
        <v>62</v>
      </c>
      <c r="T108" s="1" t="s">
        <v>82</v>
      </c>
      <c r="U108" s="5">
        <f>product_sales_data__1[[#This Row],[TotalPrice]]-product_sales_data__1[[#This Row],[ShippingCost]]</f>
        <v>3394.3199999999997</v>
      </c>
      <c r="V108" s="5">
        <f>product_sales_data__1[[#This Row],[Quantity]]*product_sales_data__1[[#This Row],[UnitPrice]]*product_sales_data__1[[#This Row],[Discount]]</f>
        <v>606.56550000000004</v>
      </c>
    </row>
    <row r="109" spans="1:22" x14ac:dyDescent="0.3">
      <c r="A109" s="1" t="s">
        <v>33</v>
      </c>
      <c r="B109" s="1" t="s">
        <v>70</v>
      </c>
      <c r="C109" s="1" t="s">
        <v>109</v>
      </c>
      <c r="D109">
        <v>12</v>
      </c>
      <c r="E109" s="4">
        <v>521.53</v>
      </c>
      <c r="F109" s="1" t="s">
        <v>55</v>
      </c>
      <c r="G109" s="1" t="s">
        <v>37</v>
      </c>
      <c r="H109">
        <v>0</v>
      </c>
      <c r="I109" s="1" t="s">
        <v>65</v>
      </c>
      <c r="J109" s="4">
        <v>6258.36</v>
      </c>
      <c r="K109" s="1" t="s">
        <v>101</v>
      </c>
      <c r="L109" s="1" t="s">
        <v>58</v>
      </c>
      <c r="M109">
        <v>1</v>
      </c>
      <c r="N109" s="1" t="s">
        <v>454</v>
      </c>
      <c r="O109" s="1" t="s">
        <v>455</v>
      </c>
      <c r="P109" s="4">
        <v>49.59</v>
      </c>
      <c r="Q109" s="2">
        <v>45231</v>
      </c>
      <c r="R109" s="1" t="s">
        <v>456</v>
      </c>
      <c r="S109" s="1" t="s">
        <v>75</v>
      </c>
      <c r="T109" s="1" t="s">
        <v>43</v>
      </c>
      <c r="U109" s="5">
        <f>product_sales_data__1[[#This Row],[TotalPrice]]-product_sales_data__1[[#This Row],[ShippingCost]]</f>
        <v>6208.7699999999995</v>
      </c>
      <c r="V109" s="5">
        <f>product_sales_data__1[[#This Row],[Quantity]]*product_sales_data__1[[#This Row],[UnitPrice]]*product_sales_data__1[[#This Row],[Discount]]</f>
        <v>0</v>
      </c>
    </row>
    <row r="110" spans="1:22" x14ac:dyDescent="0.3">
      <c r="A110" s="1" t="s">
        <v>457</v>
      </c>
      <c r="B110" s="1" t="s">
        <v>21</v>
      </c>
      <c r="C110" s="1" t="s">
        <v>22</v>
      </c>
      <c r="D110">
        <v>17</v>
      </c>
      <c r="E110" s="4">
        <v>468.19</v>
      </c>
      <c r="F110" s="1" t="s">
        <v>55</v>
      </c>
      <c r="G110" s="1" t="s">
        <v>37</v>
      </c>
      <c r="H110">
        <v>0.05</v>
      </c>
      <c r="I110" s="1" t="s">
        <v>78</v>
      </c>
      <c r="J110" s="4">
        <v>7561.27</v>
      </c>
      <c r="K110" s="1" t="s">
        <v>47</v>
      </c>
      <c r="L110" s="1" t="s">
        <v>48</v>
      </c>
      <c r="M110">
        <v>0</v>
      </c>
      <c r="N110" s="1" t="s">
        <v>458</v>
      </c>
      <c r="O110" s="1" t="s">
        <v>459</v>
      </c>
      <c r="P110" s="4">
        <v>13.84</v>
      </c>
      <c r="Q110" s="2">
        <v>45023</v>
      </c>
      <c r="R110" s="1" t="s">
        <v>379</v>
      </c>
      <c r="S110" s="1" t="s">
        <v>31</v>
      </c>
      <c r="T110" s="1" t="s">
        <v>147</v>
      </c>
      <c r="U110" s="5">
        <f>product_sales_data__1[[#This Row],[TotalPrice]]-product_sales_data__1[[#This Row],[ShippingCost]]</f>
        <v>7547.43</v>
      </c>
      <c r="V110" s="5">
        <f>product_sales_data__1[[#This Row],[Quantity]]*product_sales_data__1[[#This Row],[UnitPrice]]*product_sales_data__1[[#This Row],[Discount]]</f>
        <v>397.9615</v>
      </c>
    </row>
    <row r="111" spans="1:22" x14ac:dyDescent="0.3">
      <c r="A111" s="1" t="s">
        <v>460</v>
      </c>
      <c r="B111" s="1" t="s">
        <v>45</v>
      </c>
      <c r="C111" s="1" t="s">
        <v>127</v>
      </c>
      <c r="D111">
        <v>9</v>
      </c>
      <c r="E111" s="4">
        <v>8.81</v>
      </c>
      <c r="F111" s="1" t="s">
        <v>55</v>
      </c>
      <c r="G111" s="1" t="s">
        <v>37</v>
      </c>
      <c r="H111">
        <v>0.15</v>
      </c>
      <c r="I111" s="1" t="s">
        <v>25</v>
      </c>
      <c r="J111" s="4">
        <v>67.400000000000006</v>
      </c>
      <c r="K111" s="1" t="s">
        <v>26</v>
      </c>
      <c r="L111" s="1" t="s">
        <v>58</v>
      </c>
      <c r="M111">
        <v>0</v>
      </c>
      <c r="N111" s="1" t="s">
        <v>461</v>
      </c>
      <c r="O111" s="1" t="s">
        <v>462</v>
      </c>
      <c r="P111" s="4">
        <v>42.7</v>
      </c>
      <c r="Q111" s="2">
        <v>45872</v>
      </c>
      <c r="R111" s="1" t="s">
        <v>463</v>
      </c>
      <c r="S111" s="1" t="s">
        <v>51</v>
      </c>
      <c r="T111" s="1" t="s">
        <v>82</v>
      </c>
      <c r="U111" s="5">
        <f>product_sales_data__1[[#This Row],[TotalPrice]]-product_sales_data__1[[#This Row],[ShippingCost]]</f>
        <v>24.700000000000003</v>
      </c>
      <c r="V111" s="5">
        <f>product_sales_data__1[[#This Row],[Quantity]]*product_sales_data__1[[#This Row],[UnitPrice]]*product_sales_data__1[[#This Row],[Discount]]</f>
        <v>11.893500000000001</v>
      </c>
    </row>
    <row r="112" spans="1:22" x14ac:dyDescent="0.3">
      <c r="A112" s="1" t="s">
        <v>464</v>
      </c>
      <c r="B112" s="1" t="s">
        <v>34</v>
      </c>
      <c r="C112" s="1" t="s">
        <v>35</v>
      </c>
      <c r="D112">
        <v>6</v>
      </c>
      <c r="E112" s="4">
        <v>521.1</v>
      </c>
      <c r="F112" s="1" t="s">
        <v>84</v>
      </c>
      <c r="G112" s="1" t="s">
        <v>24</v>
      </c>
      <c r="H112">
        <v>0.15</v>
      </c>
      <c r="I112" s="1" t="s">
        <v>56</v>
      </c>
      <c r="J112" s="4">
        <v>2657.61</v>
      </c>
      <c r="K112" s="1" t="s">
        <v>47</v>
      </c>
      <c r="L112" s="1" t="s">
        <v>48</v>
      </c>
      <c r="M112">
        <v>0</v>
      </c>
      <c r="N112" s="1" t="s">
        <v>465</v>
      </c>
      <c r="O112" s="1" t="s">
        <v>466</v>
      </c>
      <c r="P112" s="4">
        <v>31.14</v>
      </c>
      <c r="Q112" s="2">
        <v>45932</v>
      </c>
      <c r="R112" s="1" t="s">
        <v>277</v>
      </c>
      <c r="S112" s="1" t="s">
        <v>42</v>
      </c>
      <c r="T112" s="1" t="s">
        <v>32</v>
      </c>
      <c r="U112" s="5">
        <f>product_sales_data__1[[#This Row],[TotalPrice]]-product_sales_data__1[[#This Row],[ShippingCost]]</f>
        <v>2626.4700000000003</v>
      </c>
      <c r="V112" s="5">
        <f>product_sales_data__1[[#This Row],[Quantity]]*product_sales_data__1[[#This Row],[UnitPrice]]*product_sales_data__1[[#This Row],[Discount]]</f>
        <v>468.99</v>
      </c>
    </row>
    <row r="113" spans="1:22" x14ac:dyDescent="0.3">
      <c r="A113" s="1" t="s">
        <v>467</v>
      </c>
      <c r="B113" s="1" t="s">
        <v>70</v>
      </c>
      <c r="C113" s="1" t="s">
        <v>140</v>
      </c>
      <c r="D113">
        <v>3</v>
      </c>
      <c r="E113" s="4">
        <v>142.27000000000001</v>
      </c>
      <c r="F113" s="1" t="s">
        <v>55</v>
      </c>
      <c r="G113" s="1" t="s">
        <v>37</v>
      </c>
      <c r="H113">
        <v>0.05</v>
      </c>
      <c r="I113" s="1" t="s">
        <v>94</v>
      </c>
      <c r="J113" s="4">
        <v>405.47</v>
      </c>
      <c r="K113" s="1" t="s">
        <v>26</v>
      </c>
      <c r="L113" s="1" t="s">
        <v>58</v>
      </c>
      <c r="M113">
        <v>0</v>
      </c>
      <c r="N113" s="1" t="s">
        <v>468</v>
      </c>
      <c r="O113" s="1" t="s">
        <v>469</v>
      </c>
      <c r="P113" s="4">
        <v>32.799999999999997</v>
      </c>
      <c r="Q113" s="2">
        <v>45180</v>
      </c>
      <c r="R113" s="1" t="s">
        <v>372</v>
      </c>
      <c r="S113" s="1" t="s">
        <v>75</v>
      </c>
      <c r="T113" s="1" t="s">
        <v>52</v>
      </c>
      <c r="U113" s="5">
        <f>product_sales_data__1[[#This Row],[TotalPrice]]-product_sales_data__1[[#This Row],[ShippingCost]]</f>
        <v>372.67</v>
      </c>
      <c r="V113" s="5">
        <f>product_sales_data__1[[#This Row],[Quantity]]*product_sales_data__1[[#This Row],[UnitPrice]]*product_sales_data__1[[#This Row],[Discount]]</f>
        <v>21.340500000000006</v>
      </c>
    </row>
    <row r="114" spans="1:22" x14ac:dyDescent="0.3">
      <c r="A114" s="1" t="s">
        <v>470</v>
      </c>
      <c r="B114" s="1" t="s">
        <v>54</v>
      </c>
      <c r="C114" s="1" t="s">
        <v>71</v>
      </c>
      <c r="D114">
        <v>12</v>
      </c>
      <c r="E114" s="4">
        <v>17.760000000000002</v>
      </c>
      <c r="F114" s="1" t="s">
        <v>55</v>
      </c>
      <c r="G114" s="1" t="s">
        <v>37</v>
      </c>
      <c r="H114">
        <v>0.1</v>
      </c>
      <c r="I114" s="1" t="s">
        <v>46</v>
      </c>
      <c r="J114" s="4">
        <v>191.81</v>
      </c>
      <c r="K114" s="1" t="s">
        <v>26</v>
      </c>
      <c r="L114" s="1" t="s">
        <v>85</v>
      </c>
      <c r="M114">
        <v>0</v>
      </c>
      <c r="N114" s="1" t="s">
        <v>471</v>
      </c>
      <c r="O114" s="1" t="s">
        <v>472</v>
      </c>
      <c r="P114" s="4">
        <v>12.18</v>
      </c>
      <c r="Q114" s="2">
        <v>44996</v>
      </c>
      <c r="R114" s="1" t="s">
        <v>389</v>
      </c>
      <c r="S114" s="1" t="s">
        <v>62</v>
      </c>
      <c r="T114" s="1" t="s">
        <v>98</v>
      </c>
      <c r="U114" s="5">
        <f>product_sales_data__1[[#This Row],[TotalPrice]]-product_sales_data__1[[#This Row],[ShippingCost]]</f>
        <v>179.63</v>
      </c>
      <c r="V114" s="5">
        <f>product_sales_data__1[[#This Row],[Quantity]]*product_sales_data__1[[#This Row],[UnitPrice]]*product_sales_data__1[[#This Row],[Discount]]</f>
        <v>21.312000000000001</v>
      </c>
    </row>
    <row r="115" spans="1:22" x14ac:dyDescent="0.3">
      <c r="A115" s="1" t="s">
        <v>473</v>
      </c>
      <c r="B115" s="1" t="s">
        <v>45</v>
      </c>
      <c r="C115" s="1" t="s">
        <v>35</v>
      </c>
      <c r="D115">
        <v>16</v>
      </c>
      <c r="E115" s="4">
        <v>89.76</v>
      </c>
      <c r="F115" s="1" t="s">
        <v>84</v>
      </c>
      <c r="G115" s="1" t="s">
        <v>24</v>
      </c>
      <c r="H115">
        <v>0</v>
      </c>
      <c r="I115" s="1" t="s">
        <v>25</v>
      </c>
      <c r="J115" s="4">
        <v>1436.16</v>
      </c>
      <c r="K115" s="1" t="s">
        <v>38</v>
      </c>
      <c r="L115" s="1" t="s">
        <v>27</v>
      </c>
      <c r="M115">
        <v>1</v>
      </c>
      <c r="N115" s="1" t="s">
        <v>474</v>
      </c>
      <c r="O115" s="1" t="s">
        <v>475</v>
      </c>
      <c r="P115" s="4">
        <v>44.69</v>
      </c>
      <c r="Q115" s="2">
        <v>45333</v>
      </c>
      <c r="R115" s="1" t="s">
        <v>476</v>
      </c>
      <c r="S115" s="1" t="s">
        <v>51</v>
      </c>
      <c r="T115" s="1" t="s">
        <v>199</v>
      </c>
      <c r="U115" s="5">
        <f>product_sales_data__1[[#This Row],[TotalPrice]]-product_sales_data__1[[#This Row],[ShippingCost]]</f>
        <v>1391.47</v>
      </c>
      <c r="V115" s="5">
        <f>product_sales_data__1[[#This Row],[Quantity]]*product_sales_data__1[[#This Row],[UnitPrice]]*product_sales_data__1[[#This Row],[Discount]]</f>
        <v>0</v>
      </c>
    </row>
    <row r="116" spans="1:22" x14ac:dyDescent="0.3">
      <c r="A116" s="1" t="s">
        <v>33</v>
      </c>
      <c r="B116" s="1" t="s">
        <v>34</v>
      </c>
      <c r="C116" s="1" t="s">
        <v>109</v>
      </c>
      <c r="D116">
        <v>9</v>
      </c>
      <c r="E116" s="4">
        <v>15.58</v>
      </c>
      <c r="F116" s="1" t="s">
        <v>55</v>
      </c>
      <c r="G116" s="1" t="s">
        <v>37</v>
      </c>
      <c r="H116">
        <v>0.1</v>
      </c>
      <c r="I116" s="1" t="s">
        <v>56</v>
      </c>
      <c r="J116" s="4">
        <v>126.2</v>
      </c>
      <c r="K116" s="1" t="s">
        <v>57</v>
      </c>
      <c r="L116" s="1" t="s">
        <v>85</v>
      </c>
      <c r="M116">
        <v>1</v>
      </c>
      <c r="N116" s="1" t="s">
        <v>477</v>
      </c>
      <c r="O116" s="1" t="s">
        <v>478</v>
      </c>
      <c r="P116" s="4">
        <v>27.81</v>
      </c>
      <c r="Q116" s="2">
        <v>45231</v>
      </c>
      <c r="R116" s="1" t="s">
        <v>479</v>
      </c>
      <c r="S116" s="1" t="s">
        <v>42</v>
      </c>
      <c r="T116" s="1" t="s">
        <v>43</v>
      </c>
      <c r="U116" s="5">
        <f>product_sales_data__1[[#This Row],[TotalPrice]]-product_sales_data__1[[#This Row],[ShippingCost]]</f>
        <v>98.39</v>
      </c>
      <c r="V116" s="5">
        <f>product_sales_data__1[[#This Row],[Quantity]]*product_sales_data__1[[#This Row],[UnitPrice]]*product_sales_data__1[[#This Row],[Discount]]</f>
        <v>14.022</v>
      </c>
    </row>
    <row r="117" spans="1:22" x14ac:dyDescent="0.3">
      <c r="A117" s="1" t="s">
        <v>89</v>
      </c>
      <c r="B117" s="1" t="s">
        <v>21</v>
      </c>
      <c r="C117" s="1" t="s">
        <v>22</v>
      </c>
      <c r="D117">
        <v>13</v>
      </c>
      <c r="E117" s="4">
        <v>466.54</v>
      </c>
      <c r="F117" s="1" t="s">
        <v>36</v>
      </c>
      <c r="G117" s="1" t="s">
        <v>24</v>
      </c>
      <c r="H117">
        <v>0</v>
      </c>
      <c r="I117" s="1" t="s">
        <v>65</v>
      </c>
      <c r="J117" s="4">
        <v>6065.02</v>
      </c>
      <c r="K117" s="1" t="s">
        <v>47</v>
      </c>
      <c r="L117" s="1" t="s">
        <v>85</v>
      </c>
      <c r="M117">
        <v>0</v>
      </c>
      <c r="N117" s="1" t="s">
        <v>480</v>
      </c>
      <c r="O117" s="1" t="s">
        <v>481</v>
      </c>
      <c r="P117" s="4">
        <v>18.63</v>
      </c>
      <c r="Q117" s="2">
        <v>45783</v>
      </c>
      <c r="R117" s="1" t="s">
        <v>232</v>
      </c>
      <c r="S117" s="1" t="s">
        <v>31</v>
      </c>
      <c r="T117" s="1" t="s">
        <v>63</v>
      </c>
      <c r="U117" s="5">
        <f>product_sales_data__1[[#This Row],[TotalPrice]]-product_sales_data__1[[#This Row],[ShippingCost]]</f>
        <v>6046.39</v>
      </c>
      <c r="V117" s="5">
        <f>product_sales_data__1[[#This Row],[Quantity]]*product_sales_data__1[[#This Row],[UnitPrice]]*product_sales_data__1[[#This Row],[Discount]]</f>
        <v>0</v>
      </c>
    </row>
    <row r="118" spans="1:22" x14ac:dyDescent="0.3">
      <c r="A118" s="1" t="s">
        <v>482</v>
      </c>
      <c r="B118" s="1" t="s">
        <v>34</v>
      </c>
      <c r="C118" s="1" t="s">
        <v>71</v>
      </c>
      <c r="D118">
        <v>17</v>
      </c>
      <c r="E118" s="4">
        <v>523.04</v>
      </c>
      <c r="F118" s="1" t="s">
        <v>84</v>
      </c>
      <c r="G118" s="1" t="s">
        <v>37</v>
      </c>
      <c r="H118">
        <v>0.05</v>
      </c>
      <c r="I118" s="1" t="s">
        <v>65</v>
      </c>
      <c r="J118" s="4">
        <v>8447.1</v>
      </c>
      <c r="K118" s="1" t="s">
        <v>38</v>
      </c>
      <c r="L118" s="1" t="s">
        <v>85</v>
      </c>
      <c r="M118">
        <v>0</v>
      </c>
      <c r="N118" s="1" t="s">
        <v>483</v>
      </c>
      <c r="O118" s="1" t="s">
        <v>484</v>
      </c>
      <c r="P118" s="4">
        <v>37.380000000000003</v>
      </c>
      <c r="Q118" s="2">
        <v>45483</v>
      </c>
      <c r="R118" s="1" t="s">
        <v>485</v>
      </c>
      <c r="S118" s="1" t="s">
        <v>42</v>
      </c>
      <c r="T118" s="1" t="s">
        <v>117</v>
      </c>
      <c r="U118" s="5">
        <f>product_sales_data__1[[#This Row],[TotalPrice]]-product_sales_data__1[[#This Row],[ShippingCost]]</f>
        <v>8409.7200000000012</v>
      </c>
      <c r="V118" s="5">
        <f>product_sales_data__1[[#This Row],[Quantity]]*product_sales_data__1[[#This Row],[UnitPrice]]*product_sales_data__1[[#This Row],[Discount]]</f>
        <v>444.58400000000006</v>
      </c>
    </row>
    <row r="119" spans="1:22" x14ac:dyDescent="0.3">
      <c r="A119" s="1" t="s">
        <v>486</v>
      </c>
      <c r="B119" s="1" t="s">
        <v>21</v>
      </c>
      <c r="C119" s="1" t="s">
        <v>100</v>
      </c>
      <c r="D119">
        <v>17</v>
      </c>
      <c r="E119" s="4">
        <v>376.4</v>
      </c>
      <c r="F119" s="1" t="s">
        <v>36</v>
      </c>
      <c r="G119" s="1" t="s">
        <v>24</v>
      </c>
      <c r="H119">
        <v>0</v>
      </c>
      <c r="I119" s="1" t="s">
        <v>25</v>
      </c>
      <c r="J119" s="4">
        <v>6398.8</v>
      </c>
      <c r="K119" s="1" t="s">
        <v>38</v>
      </c>
      <c r="L119" s="1" t="s">
        <v>85</v>
      </c>
      <c r="M119">
        <v>0</v>
      </c>
      <c r="N119" s="1" t="s">
        <v>487</v>
      </c>
      <c r="O119" s="1" t="s">
        <v>488</v>
      </c>
      <c r="P119" s="4">
        <v>33.380000000000003</v>
      </c>
      <c r="Q119" s="2">
        <v>45264</v>
      </c>
      <c r="R119" s="1" t="s">
        <v>489</v>
      </c>
      <c r="S119" s="1" t="s">
        <v>31</v>
      </c>
      <c r="T119" s="1" t="s">
        <v>76</v>
      </c>
      <c r="U119" s="5">
        <f>product_sales_data__1[[#This Row],[TotalPrice]]-product_sales_data__1[[#This Row],[ShippingCost]]</f>
        <v>6365.42</v>
      </c>
      <c r="V119" s="5">
        <f>product_sales_data__1[[#This Row],[Quantity]]*product_sales_data__1[[#This Row],[UnitPrice]]*product_sales_data__1[[#This Row],[Discount]]</f>
        <v>0</v>
      </c>
    </row>
    <row r="120" spans="1:22" x14ac:dyDescent="0.3">
      <c r="A120" s="1" t="s">
        <v>490</v>
      </c>
      <c r="B120" s="1" t="s">
        <v>34</v>
      </c>
      <c r="C120" s="1" t="s">
        <v>140</v>
      </c>
      <c r="D120">
        <v>5</v>
      </c>
      <c r="E120" s="4">
        <v>95.19</v>
      </c>
      <c r="F120" s="1" t="s">
        <v>84</v>
      </c>
      <c r="G120" s="1" t="s">
        <v>37</v>
      </c>
      <c r="H120">
        <v>0.15</v>
      </c>
      <c r="I120" s="1" t="s">
        <v>56</v>
      </c>
      <c r="J120" s="4">
        <v>404.56</v>
      </c>
      <c r="K120" s="1" t="s">
        <v>101</v>
      </c>
      <c r="L120" s="1" t="s">
        <v>27</v>
      </c>
      <c r="M120">
        <v>0</v>
      </c>
      <c r="N120" s="1" t="s">
        <v>491</v>
      </c>
      <c r="O120" s="1" t="s">
        <v>492</v>
      </c>
      <c r="P120" s="4">
        <v>48.55</v>
      </c>
      <c r="Q120" s="2">
        <v>45088</v>
      </c>
      <c r="R120" s="1" t="s">
        <v>392</v>
      </c>
      <c r="S120" s="1" t="s">
        <v>42</v>
      </c>
      <c r="T120" s="1" t="s">
        <v>105</v>
      </c>
      <c r="U120" s="5">
        <f>product_sales_data__1[[#This Row],[TotalPrice]]-product_sales_data__1[[#This Row],[ShippingCost]]</f>
        <v>356.01</v>
      </c>
      <c r="V120" s="5">
        <f>product_sales_data__1[[#This Row],[Quantity]]*product_sales_data__1[[#This Row],[UnitPrice]]*product_sales_data__1[[#This Row],[Discount]]</f>
        <v>71.392499999999998</v>
      </c>
    </row>
    <row r="121" spans="1:22" x14ac:dyDescent="0.3">
      <c r="A121" s="1" t="s">
        <v>493</v>
      </c>
      <c r="B121" s="1" t="s">
        <v>34</v>
      </c>
      <c r="C121" s="1" t="s">
        <v>71</v>
      </c>
      <c r="D121">
        <v>13</v>
      </c>
      <c r="E121" s="4">
        <v>114.03</v>
      </c>
      <c r="F121" s="1" t="s">
        <v>84</v>
      </c>
      <c r="G121" s="1" t="s">
        <v>37</v>
      </c>
      <c r="H121">
        <v>0</v>
      </c>
      <c r="I121" s="1" t="s">
        <v>94</v>
      </c>
      <c r="J121" s="4">
        <v>1482.39</v>
      </c>
      <c r="K121" s="1" t="s">
        <v>47</v>
      </c>
      <c r="L121" s="1" t="s">
        <v>48</v>
      </c>
      <c r="M121">
        <v>0</v>
      </c>
      <c r="N121" s="1" t="s">
        <v>494</v>
      </c>
      <c r="O121" s="1" t="s">
        <v>495</v>
      </c>
      <c r="P121" s="4">
        <v>43.81</v>
      </c>
      <c r="Q121" s="2">
        <v>45575</v>
      </c>
      <c r="R121" s="1" t="s">
        <v>496</v>
      </c>
      <c r="S121" s="1" t="s">
        <v>42</v>
      </c>
      <c r="T121" s="1" t="s">
        <v>32</v>
      </c>
      <c r="U121" s="5">
        <f>product_sales_data__1[[#This Row],[TotalPrice]]-product_sales_data__1[[#This Row],[ShippingCost]]</f>
        <v>1438.5800000000002</v>
      </c>
      <c r="V121" s="5">
        <f>product_sales_data__1[[#This Row],[Quantity]]*product_sales_data__1[[#This Row],[UnitPrice]]*product_sales_data__1[[#This Row],[Discount]]</f>
        <v>0</v>
      </c>
    </row>
    <row r="122" spans="1:22" x14ac:dyDescent="0.3">
      <c r="A122" s="1" t="s">
        <v>497</v>
      </c>
      <c r="B122" s="1" t="s">
        <v>21</v>
      </c>
      <c r="C122" s="1" t="s">
        <v>109</v>
      </c>
      <c r="D122">
        <v>18</v>
      </c>
      <c r="E122" s="4">
        <v>336.48</v>
      </c>
      <c r="F122" s="1" t="s">
        <v>23</v>
      </c>
      <c r="G122" s="1" t="s">
        <v>37</v>
      </c>
      <c r="H122">
        <v>0</v>
      </c>
      <c r="I122" s="1" t="s">
        <v>56</v>
      </c>
      <c r="J122" s="4">
        <v>6056.64</v>
      </c>
      <c r="K122" s="1" t="s">
        <v>26</v>
      </c>
      <c r="L122" s="1" t="s">
        <v>27</v>
      </c>
      <c r="M122">
        <v>0</v>
      </c>
      <c r="N122" s="1" t="s">
        <v>498</v>
      </c>
      <c r="O122" s="1" t="s">
        <v>499</v>
      </c>
      <c r="P122" s="4">
        <v>18.59</v>
      </c>
      <c r="Q122" s="2">
        <v>45048</v>
      </c>
      <c r="R122" s="1" t="s">
        <v>428</v>
      </c>
      <c r="S122" s="1" t="s">
        <v>31</v>
      </c>
      <c r="T122" s="1" t="s">
        <v>63</v>
      </c>
      <c r="U122" s="5">
        <f>product_sales_data__1[[#This Row],[TotalPrice]]-product_sales_data__1[[#This Row],[ShippingCost]]</f>
        <v>6038.05</v>
      </c>
      <c r="V122" s="5">
        <f>product_sales_data__1[[#This Row],[Quantity]]*product_sales_data__1[[#This Row],[UnitPrice]]*product_sales_data__1[[#This Row],[Discount]]</f>
        <v>0</v>
      </c>
    </row>
    <row r="123" spans="1:22" x14ac:dyDescent="0.3">
      <c r="A123" s="1" t="s">
        <v>500</v>
      </c>
      <c r="B123" s="1" t="s">
        <v>45</v>
      </c>
      <c r="C123" s="1" t="s">
        <v>127</v>
      </c>
      <c r="D123">
        <v>9</v>
      </c>
      <c r="E123" s="4">
        <v>24.44</v>
      </c>
      <c r="F123" s="1" t="s">
        <v>36</v>
      </c>
      <c r="G123" s="1" t="s">
        <v>24</v>
      </c>
      <c r="H123">
        <v>0.15</v>
      </c>
      <c r="I123" s="1" t="s">
        <v>65</v>
      </c>
      <c r="J123" s="4">
        <v>186.97</v>
      </c>
      <c r="K123" s="1" t="s">
        <v>57</v>
      </c>
      <c r="L123" s="1" t="s">
        <v>58</v>
      </c>
      <c r="M123">
        <v>1</v>
      </c>
      <c r="N123" s="1" t="s">
        <v>501</v>
      </c>
      <c r="O123" s="1" t="s">
        <v>502</v>
      </c>
      <c r="P123" s="4">
        <v>22.06</v>
      </c>
      <c r="Q123" s="2">
        <v>45390</v>
      </c>
      <c r="R123" s="1" t="s">
        <v>503</v>
      </c>
      <c r="S123" s="1" t="s">
        <v>51</v>
      </c>
      <c r="T123" s="1" t="s">
        <v>147</v>
      </c>
      <c r="U123" s="5">
        <f>product_sales_data__1[[#This Row],[TotalPrice]]-product_sales_data__1[[#This Row],[ShippingCost]]</f>
        <v>164.91</v>
      </c>
      <c r="V123" s="5">
        <f>product_sales_data__1[[#This Row],[Quantity]]*product_sales_data__1[[#This Row],[UnitPrice]]*product_sales_data__1[[#This Row],[Discount]]</f>
        <v>32.994</v>
      </c>
    </row>
    <row r="124" spans="1:22" x14ac:dyDescent="0.3">
      <c r="A124" s="1" t="s">
        <v>365</v>
      </c>
      <c r="B124" s="1" t="s">
        <v>34</v>
      </c>
      <c r="C124" s="1" t="s">
        <v>109</v>
      </c>
      <c r="D124">
        <v>15</v>
      </c>
      <c r="E124" s="4">
        <v>10.220000000000001</v>
      </c>
      <c r="F124" s="1" t="s">
        <v>36</v>
      </c>
      <c r="G124" s="1" t="s">
        <v>37</v>
      </c>
      <c r="H124">
        <v>0</v>
      </c>
      <c r="I124" s="1" t="s">
        <v>25</v>
      </c>
      <c r="J124" s="4">
        <v>153.30000000000001</v>
      </c>
      <c r="K124" s="1" t="s">
        <v>57</v>
      </c>
      <c r="L124" s="1" t="s">
        <v>85</v>
      </c>
      <c r="M124">
        <v>0</v>
      </c>
      <c r="N124" s="1" t="s">
        <v>504</v>
      </c>
      <c r="O124" s="1" t="s">
        <v>505</v>
      </c>
      <c r="P124" s="4">
        <v>36.270000000000003</v>
      </c>
      <c r="Q124" s="2">
        <v>45357</v>
      </c>
      <c r="R124" s="1" t="s">
        <v>506</v>
      </c>
      <c r="S124" s="1" t="s">
        <v>42</v>
      </c>
      <c r="T124" s="1" t="s">
        <v>98</v>
      </c>
      <c r="U124" s="5">
        <f>product_sales_data__1[[#This Row],[TotalPrice]]-product_sales_data__1[[#This Row],[ShippingCost]]</f>
        <v>117.03</v>
      </c>
      <c r="V124" s="5">
        <f>product_sales_data__1[[#This Row],[Quantity]]*product_sales_data__1[[#This Row],[UnitPrice]]*product_sales_data__1[[#This Row],[Discount]]</f>
        <v>0</v>
      </c>
    </row>
    <row r="125" spans="1:22" x14ac:dyDescent="0.3">
      <c r="A125" s="1" t="s">
        <v>507</v>
      </c>
      <c r="B125" s="1" t="s">
        <v>34</v>
      </c>
      <c r="C125" s="1" t="s">
        <v>127</v>
      </c>
      <c r="D125">
        <v>9</v>
      </c>
      <c r="E125" s="4">
        <v>124.17</v>
      </c>
      <c r="F125" s="1" t="s">
        <v>36</v>
      </c>
      <c r="G125" s="1" t="s">
        <v>24</v>
      </c>
      <c r="H125">
        <v>0</v>
      </c>
      <c r="I125" s="1" t="s">
        <v>65</v>
      </c>
      <c r="J125" s="4">
        <v>1117.53</v>
      </c>
      <c r="K125" s="1" t="s">
        <v>38</v>
      </c>
      <c r="L125" s="1" t="s">
        <v>27</v>
      </c>
      <c r="M125">
        <v>0</v>
      </c>
      <c r="N125" s="1" t="s">
        <v>508</v>
      </c>
      <c r="O125" s="1" t="s">
        <v>509</v>
      </c>
      <c r="P125" s="4">
        <v>13.31</v>
      </c>
      <c r="Q125" s="2">
        <v>45813</v>
      </c>
      <c r="R125" s="1" t="s">
        <v>510</v>
      </c>
      <c r="S125" s="1" t="s">
        <v>42</v>
      </c>
      <c r="T125" s="1" t="s">
        <v>105</v>
      </c>
      <c r="U125" s="5">
        <f>product_sales_data__1[[#This Row],[TotalPrice]]-product_sales_data__1[[#This Row],[ShippingCost]]</f>
        <v>1104.22</v>
      </c>
      <c r="V125" s="5">
        <f>product_sales_data__1[[#This Row],[Quantity]]*product_sales_data__1[[#This Row],[UnitPrice]]*product_sales_data__1[[#This Row],[Discount]]</f>
        <v>0</v>
      </c>
    </row>
    <row r="126" spans="1:22" x14ac:dyDescent="0.3">
      <c r="A126" s="1" t="s">
        <v>511</v>
      </c>
      <c r="B126" s="1" t="s">
        <v>54</v>
      </c>
      <c r="C126" s="1" t="s">
        <v>127</v>
      </c>
      <c r="D126">
        <v>11</v>
      </c>
      <c r="E126" s="4">
        <v>151.25</v>
      </c>
      <c r="F126" s="1" t="s">
        <v>23</v>
      </c>
      <c r="G126" s="1" t="s">
        <v>24</v>
      </c>
      <c r="H126">
        <v>0.1</v>
      </c>
      <c r="I126" s="1" t="s">
        <v>56</v>
      </c>
      <c r="J126" s="4">
        <v>1497.38</v>
      </c>
      <c r="K126" s="1" t="s">
        <v>101</v>
      </c>
      <c r="L126" s="1" t="s">
        <v>48</v>
      </c>
      <c r="M126">
        <v>1</v>
      </c>
      <c r="N126" s="1" t="s">
        <v>512</v>
      </c>
      <c r="O126" s="1" t="s">
        <v>513</v>
      </c>
      <c r="P126" s="4">
        <v>22.65</v>
      </c>
      <c r="Q126" s="2">
        <v>45506</v>
      </c>
      <c r="R126" s="1" t="s">
        <v>514</v>
      </c>
      <c r="S126" s="1" t="s">
        <v>62</v>
      </c>
      <c r="T126" s="1" t="s">
        <v>82</v>
      </c>
      <c r="U126" s="5">
        <f>product_sales_data__1[[#This Row],[TotalPrice]]-product_sales_data__1[[#This Row],[ShippingCost]]</f>
        <v>1474.73</v>
      </c>
      <c r="V126" s="5">
        <f>product_sales_data__1[[#This Row],[Quantity]]*product_sales_data__1[[#This Row],[UnitPrice]]*product_sales_data__1[[#This Row],[Discount]]</f>
        <v>166.375</v>
      </c>
    </row>
    <row r="127" spans="1:22" x14ac:dyDescent="0.3">
      <c r="A127" s="1" t="s">
        <v>515</v>
      </c>
      <c r="B127" s="1" t="s">
        <v>70</v>
      </c>
      <c r="C127" s="1" t="s">
        <v>22</v>
      </c>
      <c r="D127">
        <v>3</v>
      </c>
      <c r="E127" s="4">
        <v>204.79</v>
      </c>
      <c r="F127" s="1" t="s">
        <v>23</v>
      </c>
      <c r="G127" s="1" t="s">
        <v>37</v>
      </c>
      <c r="H127">
        <v>0.1</v>
      </c>
      <c r="I127" s="1" t="s">
        <v>56</v>
      </c>
      <c r="J127" s="4">
        <v>552.92999999999995</v>
      </c>
      <c r="K127" s="1" t="s">
        <v>26</v>
      </c>
      <c r="L127" s="1" t="s">
        <v>85</v>
      </c>
      <c r="M127">
        <v>1</v>
      </c>
      <c r="N127" s="1" t="s">
        <v>516</v>
      </c>
      <c r="O127" s="1" t="s">
        <v>517</v>
      </c>
      <c r="P127" s="4">
        <v>7.72</v>
      </c>
      <c r="Q127" s="2">
        <v>45297</v>
      </c>
      <c r="R127" s="1" t="s">
        <v>143</v>
      </c>
      <c r="S127" s="1" t="s">
        <v>75</v>
      </c>
      <c r="T127" s="1" t="s">
        <v>187</v>
      </c>
      <c r="U127" s="5">
        <f>product_sales_data__1[[#This Row],[TotalPrice]]-product_sales_data__1[[#This Row],[ShippingCost]]</f>
        <v>545.20999999999992</v>
      </c>
      <c r="V127" s="5">
        <f>product_sales_data__1[[#This Row],[Quantity]]*product_sales_data__1[[#This Row],[UnitPrice]]*product_sales_data__1[[#This Row],[Discount]]</f>
        <v>61.437000000000005</v>
      </c>
    </row>
    <row r="128" spans="1:22" x14ac:dyDescent="0.3">
      <c r="A128" s="1" t="s">
        <v>113</v>
      </c>
      <c r="B128" s="1" t="s">
        <v>34</v>
      </c>
      <c r="C128" s="1" t="s">
        <v>35</v>
      </c>
      <c r="D128">
        <v>8</v>
      </c>
      <c r="E128" s="4">
        <v>367.89</v>
      </c>
      <c r="F128" s="1" t="s">
        <v>23</v>
      </c>
      <c r="G128" s="1" t="s">
        <v>37</v>
      </c>
      <c r="H128">
        <v>0.05</v>
      </c>
      <c r="I128" s="1" t="s">
        <v>25</v>
      </c>
      <c r="J128" s="4">
        <v>2795.96</v>
      </c>
      <c r="K128" s="1" t="s">
        <v>47</v>
      </c>
      <c r="L128" s="1" t="s">
        <v>85</v>
      </c>
      <c r="M128">
        <v>0</v>
      </c>
      <c r="N128" s="1" t="s">
        <v>518</v>
      </c>
      <c r="O128" s="1" t="s">
        <v>519</v>
      </c>
      <c r="P128" s="4">
        <v>18.100000000000001</v>
      </c>
      <c r="Q128" s="2">
        <v>45485</v>
      </c>
      <c r="R128" s="1" t="s">
        <v>520</v>
      </c>
      <c r="S128" s="1" t="s">
        <v>42</v>
      </c>
      <c r="T128" s="1" t="s">
        <v>117</v>
      </c>
      <c r="U128" s="5">
        <f>product_sales_data__1[[#This Row],[TotalPrice]]-product_sales_data__1[[#This Row],[ShippingCost]]</f>
        <v>2777.86</v>
      </c>
      <c r="V128" s="5">
        <f>product_sales_data__1[[#This Row],[Quantity]]*product_sales_data__1[[#This Row],[UnitPrice]]*product_sales_data__1[[#This Row],[Discount]]</f>
        <v>147.15600000000001</v>
      </c>
    </row>
    <row r="129" spans="1:22" x14ac:dyDescent="0.3">
      <c r="A129" s="1" t="s">
        <v>521</v>
      </c>
      <c r="B129" s="1" t="s">
        <v>45</v>
      </c>
      <c r="C129" s="1" t="s">
        <v>127</v>
      </c>
      <c r="D129">
        <v>12</v>
      </c>
      <c r="E129" s="4">
        <v>169.2</v>
      </c>
      <c r="F129" s="1" t="s">
        <v>36</v>
      </c>
      <c r="G129" s="1" t="s">
        <v>37</v>
      </c>
      <c r="H129">
        <v>0.05</v>
      </c>
      <c r="I129" s="1" t="s">
        <v>78</v>
      </c>
      <c r="J129" s="4">
        <v>1928.88</v>
      </c>
      <c r="K129" s="1" t="s">
        <v>57</v>
      </c>
      <c r="L129" s="1" t="s">
        <v>58</v>
      </c>
      <c r="M129">
        <v>0</v>
      </c>
      <c r="N129" s="1" t="s">
        <v>522</v>
      </c>
      <c r="O129" s="1" t="s">
        <v>523</v>
      </c>
      <c r="P129" s="4">
        <v>28.65</v>
      </c>
      <c r="Q129" s="2">
        <v>45054</v>
      </c>
      <c r="R129" s="1" t="s">
        <v>357</v>
      </c>
      <c r="S129" s="1" t="s">
        <v>51</v>
      </c>
      <c r="T129" s="1" t="s">
        <v>63</v>
      </c>
      <c r="U129" s="5">
        <f>product_sales_data__1[[#This Row],[TotalPrice]]-product_sales_data__1[[#This Row],[ShippingCost]]</f>
        <v>1900.23</v>
      </c>
      <c r="V129" s="5">
        <f>product_sales_data__1[[#This Row],[Quantity]]*product_sales_data__1[[#This Row],[UnitPrice]]*product_sales_data__1[[#This Row],[Discount]]</f>
        <v>101.52</v>
      </c>
    </row>
    <row r="130" spans="1:22" x14ac:dyDescent="0.3">
      <c r="A130" s="1" t="s">
        <v>361</v>
      </c>
      <c r="B130" s="1" t="s">
        <v>45</v>
      </c>
      <c r="C130" s="1" t="s">
        <v>71</v>
      </c>
      <c r="D130">
        <v>14</v>
      </c>
      <c r="E130" s="4">
        <v>52.09</v>
      </c>
      <c r="F130" s="1" t="s">
        <v>84</v>
      </c>
      <c r="G130" s="1" t="s">
        <v>37</v>
      </c>
      <c r="H130">
        <v>0</v>
      </c>
      <c r="I130" s="1" t="s">
        <v>94</v>
      </c>
      <c r="J130" s="4">
        <v>729.26</v>
      </c>
      <c r="K130" s="1" t="s">
        <v>57</v>
      </c>
      <c r="L130" s="1" t="s">
        <v>48</v>
      </c>
      <c r="M130">
        <v>1</v>
      </c>
      <c r="N130" s="1" t="s">
        <v>524</v>
      </c>
      <c r="O130" s="1" t="s">
        <v>525</v>
      </c>
      <c r="P130" s="4">
        <v>48.02</v>
      </c>
      <c r="Q130" s="2">
        <v>45116</v>
      </c>
      <c r="R130" s="1" t="s">
        <v>526</v>
      </c>
      <c r="S130" s="1" t="s">
        <v>51</v>
      </c>
      <c r="T130" s="1" t="s">
        <v>117</v>
      </c>
      <c r="U130" s="5">
        <f>product_sales_data__1[[#This Row],[TotalPrice]]-product_sales_data__1[[#This Row],[ShippingCost]]</f>
        <v>681.24</v>
      </c>
      <c r="V130" s="5">
        <f>product_sales_data__1[[#This Row],[Quantity]]*product_sales_data__1[[#This Row],[UnitPrice]]*product_sales_data__1[[#This Row],[Discount]]</f>
        <v>0</v>
      </c>
    </row>
    <row r="131" spans="1:22" x14ac:dyDescent="0.3">
      <c r="A131" s="1" t="s">
        <v>182</v>
      </c>
      <c r="B131" s="1" t="s">
        <v>21</v>
      </c>
      <c r="C131" s="1" t="s">
        <v>127</v>
      </c>
      <c r="D131">
        <v>7</v>
      </c>
      <c r="E131" s="4">
        <v>570.01</v>
      </c>
      <c r="F131" s="1" t="s">
        <v>36</v>
      </c>
      <c r="G131" s="1" t="s">
        <v>24</v>
      </c>
      <c r="H131">
        <v>0</v>
      </c>
      <c r="I131" s="1" t="s">
        <v>46</v>
      </c>
      <c r="J131" s="4">
        <v>3990.07</v>
      </c>
      <c r="K131" s="1" t="s">
        <v>101</v>
      </c>
      <c r="L131" s="1" t="s">
        <v>27</v>
      </c>
      <c r="M131">
        <v>0</v>
      </c>
      <c r="N131" s="1" t="s">
        <v>527</v>
      </c>
      <c r="O131" s="1" t="s">
        <v>528</v>
      </c>
      <c r="P131" s="4">
        <v>42.33</v>
      </c>
      <c r="Q131" s="2">
        <v>45272</v>
      </c>
      <c r="R131" s="1" t="s">
        <v>529</v>
      </c>
      <c r="S131" s="1" t="s">
        <v>31</v>
      </c>
      <c r="T131" s="1" t="s">
        <v>76</v>
      </c>
      <c r="U131" s="5">
        <f>product_sales_data__1[[#This Row],[TotalPrice]]-product_sales_data__1[[#This Row],[ShippingCost]]</f>
        <v>3947.7400000000002</v>
      </c>
      <c r="V131" s="5">
        <f>product_sales_data__1[[#This Row],[Quantity]]*product_sales_data__1[[#This Row],[UnitPrice]]*product_sales_data__1[[#This Row],[Discount]]</f>
        <v>0</v>
      </c>
    </row>
    <row r="132" spans="1:22" x14ac:dyDescent="0.3">
      <c r="A132" s="1" t="s">
        <v>530</v>
      </c>
      <c r="B132" s="1" t="s">
        <v>21</v>
      </c>
      <c r="C132" s="1" t="s">
        <v>100</v>
      </c>
      <c r="D132">
        <v>8</v>
      </c>
      <c r="E132" s="4">
        <v>294.51</v>
      </c>
      <c r="F132" s="1" t="s">
        <v>84</v>
      </c>
      <c r="G132" s="1" t="s">
        <v>24</v>
      </c>
      <c r="H132">
        <v>0.15</v>
      </c>
      <c r="I132" s="1" t="s">
        <v>78</v>
      </c>
      <c r="J132" s="4">
        <v>2002.67</v>
      </c>
      <c r="K132" s="1" t="s">
        <v>57</v>
      </c>
      <c r="L132" s="1" t="s">
        <v>48</v>
      </c>
      <c r="M132">
        <v>0</v>
      </c>
      <c r="N132" s="1" t="s">
        <v>531</v>
      </c>
      <c r="O132" s="1" t="s">
        <v>532</v>
      </c>
      <c r="P132" s="4">
        <v>10.46</v>
      </c>
      <c r="Q132" s="2">
        <v>45752</v>
      </c>
      <c r="R132" s="1" t="s">
        <v>533</v>
      </c>
      <c r="S132" s="1" t="s">
        <v>31</v>
      </c>
      <c r="T132" s="1" t="s">
        <v>147</v>
      </c>
      <c r="U132" s="5">
        <f>product_sales_data__1[[#This Row],[TotalPrice]]-product_sales_data__1[[#This Row],[ShippingCost]]</f>
        <v>1992.21</v>
      </c>
      <c r="V132" s="5">
        <f>product_sales_data__1[[#This Row],[Quantity]]*product_sales_data__1[[#This Row],[UnitPrice]]*product_sales_data__1[[#This Row],[Discount]]</f>
        <v>353.41199999999998</v>
      </c>
    </row>
    <row r="133" spans="1:22" x14ac:dyDescent="0.3">
      <c r="A133" s="1" t="s">
        <v>534</v>
      </c>
      <c r="B133" s="1" t="s">
        <v>21</v>
      </c>
      <c r="C133" s="1" t="s">
        <v>22</v>
      </c>
      <c r="D133">
        <v>2</v>
      </c>
      <c r="E133" s="4">
        <v>97.5</v>
      </c>
      <c r="F133" s="1" t="s">
        <v>55</v>
      </c>
      <c r="G133" s="1" t="s">
        <v>37</v>
      </c>
      <c r="H133">
        <v>0.1</v>
      </c>
      <c r="I133" s="1" t="s">
        <v>25</v>
      </c>
      <c r="J133" s="4">
        <v>175.5</v>
      </c>
      <c r="K133" s="1" t="s">
        <v>47</v>
      </c>
      <c r="L133" s="1" t="s">
        <v>48</v>
      </c>
      <c r="M133">
        <v>1</v>
      </c>
      <c r="N133" s="1" t="s">
        <v>535</v>
      </c>
      <c r="O133" s="1" t="s">
        <v>536</v>
      </c>
      <c r="P133" s="4">
        <v>46.37</v>
      </c>
      <c r="Q133" s="2">
        <v>44990</v>
      </c>
      <c r="R133" s="1" t="s">
        <v>537</v>
      </c>
      <c r="S133" s="1" t="s">
        <v>31</v>
      </c>
      <c r="T133" s="1" t="s">
        <v>98</v>
      </c>
      <c r="U133" s="5">
        <f>product_sales_data__1[[#This Row],[TotalPrice]]-product_sales_data__1[[#This Row],[ShippingCost]]</f>
        <v>129.13</v>
      </c>
      <c r="V133" s="5">
        <f>product_sales_data__1[[#This Row],[Quantity]]*product_sales_data__1[[#This Row],[UnitPrice]]*product_sales_data__1[[#This Row],[Discount]]</f>
        <v>19.5</v>
      </c>
    </row>
    <row r="134" spans="1:22" x14ac:dyDescent="0.3">
      <c r="A134" s="1" t="s">
        <v>53</v>
      </c>
      <c r="B134" s="1" t="s">
        <v>34</v>
      </c>
      <c r="C134" s="1" t="s">
        <v>71</v>
      </c>
      <c r="D134">
        <v>6</v>
      </c>
      <c r="E134" s="4">
        <v>525.42999999999995</v>
      </c>
      <c r="F134" s="1" t="s">
        <v>36</v>
      </c>
      <c r="G134" s="1" t="s">
        <v>24</v>
      </c>
      <c r="H134">
        <v>0.05</v>
      </c>
      <c r="I134" s="1" t="s">
        <v>25</v>
      </c>
      <c r="J134" s="4">
        <v>2994.95</v>
      </c>
      <c r="K134" s="1" t="s">
        <v>101</v>
      </c>
      <c r="L134" s="1" t="s">
        <v>48</v>
      </c>
      <c r="M134">
        <v>0</v>
      </c>
      <c r="N134" s="1" t="s">
        <v>538</v>
      </c>
      <c r="O134" s="1" t="s">
        <v>539</v>
      </c>
      <c r="P134" s="4">
        <v>39.28</v>
      </c>
      <c r="Q134" s="2">
        <v>45780</v>
      </c>
      <c r="R134" s="1" t="s">
        <v>540</v>
      </c>
      <c r="S134" s="1" t="s">
        <v>42</v>
      </c>
      <c r="T134" s="1" t="s">
        <v>63</v>
      </c>
      <c r="U134" s="5">
        <f>product_sales_data__1[[#This Row],[TotalPrice]]-product_sales_data__1[[#This Row],[ShippingCost]]</f>
        <v>2955.6699999999996</v>
      </c>
      <c r="V134" s="5">
        <f>product_sales_data__1[[#This Row],[Quantity]]*product_sales_data__1[[#This Row],[UnitPrice]]*product_sales_data__1[[#This Row],[Discount]]</f>
        <v>157.62900000000002</v>
      </c>
    </row>
    <row r="135" spans="1:22" x14ac:dyDescent="0.3">
      <c r="A135" s="1" t="s">
        <v>99</v>
      </c>
      <c r="B135" s="1" t="s">
        <v>54</v>
      </c>
      <c r="C135" s="1" t="s">
        <v>109</v>
      </c>
      <c r="D135">
        <v>4</v>
      </c>
      <c r="E135" s="4">
        <v>555.86</v>
      </c>
      <c r="F135" s="1" t="s">
        <v>36</v>
      </c>
      <c r="G135" s="1" t="s">
        <v>37</v>
      </c>
      <c r="H135">
        <v>0.05</v>
      </c>
      <c r="I135" s="1" t="s">
        <v>94</v>
      </c>
      <c r="J135" s="4">
        <v>2112.27</v>
      </c>
      <c r="K135" s="1" t="s">
        <v>47</v>
      </c>
      <c r="L135" s="1" t="s">
        <v>85</v>
      </c>
      <c r="M135">
        <v>0</v>
      </c>
      <c r="N135" s="1" t="s">
        <v>541</v>
      </c>
      <c r="O135" s="1" t="s">
        <v>542</v>
      </c>
      <c r="P135" s="4">
        <v>28.92</v>
      </c>
      <c r="Q135" s="2">
        <v>45085</v>
      </c>
      <c r="R135" s="1" t="s">
        <v>543</v>
      </c>
      <c r="S135" s="1" t="s">
        <v>62</v>
      </c>
      <c r="T135" s="1" t="s">
        <v>105</v>
      </c>
      <c r="U135" s="5">
        <f>product_sales_data__1[[#This Row],[TotalPrice]]-product_sales_data__1[[#This Row],[ShippingCost]]</f>
        <v>2083.35</v>
      </c>
      <c r="V135" s="5">
        <f>product_sales_data__1[[#This Row],[Quantity]]*product_sales_data__1[[#This Row],[UnitPrice]]*product_sales_data__1[[#This Row],[Discount]]</f>
        <v>111.17200000000001</v>
      </c>
    </row>
    <row r="136" spans="1:22" x14ac:dyDescent="0.3">
      <c r="A136" s="1" t="s">
        <v>544</v>
      </c>
      <c r="B136" s="1" t="s">
        <v>45</v>
      </c>
      <c r="C136" s="1" t="s">
        <v>127</v>
      </c>
      <c r="D136">
        <v>15</v>
      </c>
      <c r="E136" s="4">
        <v>202.72</v>
      </c>
      <c r="F136" s="1" t="s">
        <v>55</v>
      </c>
      <c r="G136" s="1" t="s">
        <v>37</v>
      </c>
      <c r="H136">
        <v>0.05</v>
      </c>
      <c r="I136" s="1" t="s">
        <v>65</v>
      </c>
      <c r="J136" s="4">
        <v>2888.76</v>
      </c>
      <c r="K136" s="1" t="s">
        <v>38</v>
      </c>
      <c r="L136" s="1" t="s">
        <v>27</v>
      </c>
      <c r="M136">
        <v>1</v>
      </c>
      <c r="N136" s="1" t="s">
        <v>545</v>
      </c>
      <c r="O136" s="1" t="s">
        <v>546</v>
      </c>
      <c r="P136" s="4">
        <v>41.61</v>
      </c>
      <c r="Q136" s="2">
        <v>45605</v>
      </c>
      <c r="R136" s="1" t="s">
        <v>547</v>
      </c>
      <c r="S136" s="1" t="s">
        <v>51</v>
      </c>
      <c r="T136" s="1" t="s">
        <v>43</v>
      </c>
      <c r="U136" s="5">
        <f>product_sales_data__1[[#This Row],[TotalPrice]]-product_sales_data__1[[#This Row],[ShippingCost]]</f>
        <v>2847.15</v>
      </c>
      <c r="V136" s="5">
        <f>product_sales_data__1[[#This Row],[Quantity]]*product_sales_data__1[[#This Row],[UnitPrice]]*product_sales_data__1[[#This Row],[Discount]]</f>
        <v>152.04000000000002</v>
      </c>
    </row>
    <row r="137" spans="1:22" x14ac:dyDescent="0.3">
      <c r="A137" s="1" t="s">
        <v>548</v>
      </c>
      <c r="B137" s="1" t="s">
        <v>45</v>
      </c>
      <c r="C137" s="1" t="s">
        <v>35</v>
      </c>
      <c r="D137">
        <v>4</v>
      </c>
      <c r="E137" s="4">
        <v>353.7</v>
      </c>
      <c r="F137" s="1" t="s">
        <v>84</v>
      </c>
      <c r="G137" s="1" t="s">
        <v>24</v>
      </c>
      <c r="H137">
        <v>0</v>
      </c>
      <c r="I137" s="1" t="s">
        <v>56</v>
      </c>
      <c r="J137" s="4">
        <v>1414.8</v>
      </c>
      <c r="K137" s="1" t="s">
        <v>101</v>
      </c>
      <c r="L137" s="1" t="s">
        <v>85</v>
      </c>
      <c r="M137">
        <v>0</v>
      </c>
      <c r="N137" s="1" t="s">
        <v>549</v>
      </c>
      <c r="O137" s="1" t="s">
        <v>550</v>
      </c>
      <c r="P137" s="4">
        <v>41.98</v>
      </c>
      <c r="Q137" s="2">
        <v>45870</v>
      </c>
      <c r="R137" s="1" t="s">
        <v>207</v>
      </c>
      <c r="S137" s="1" t="s">
        <v>51</v>
      </c>
      <c r="T137" s="1" t="s">
        <v>82</v>
      </c>
      <c r="U137" s="5">
        <f>product_sales_data__1[[#This Row],[TotalPrice]]-product_sales_data__1[[#This Row],[ShippingCost]]</f>
        <v>1372.82</v>
      </c>
      <c r="V137" s="5">
        <f>product_sales_data__1[[#This Row],[Quantity]]*product_sales_data__1[[#This Row],[UnitPrice]]*product_sales_data__1[[#This Row],[Discount]]</f>
        <v>0</v>
      </c>
    </row>
    <row r="138" spans="1:22" x14ac:dyDescent="0.3">
      <c r="A138" s="1" t="s">
        <v>551</v>
      </c>
      <c r="B138" s="1" t="s">
        <v>45</v>
      </c>
      <c r="C138" s="1" t="s">
        <v>35</v>
      </c>
      <c r="D138">
        <v>3</v>
      </c>
      <c r="E138" s="4">
        <v>149.25</v>
      </c>
      <c r="F138" s="1" t="s">
        <v>55</v>
      </c>
      <c r="G138" s="1" t="s">
        <v>24</v>
      </c>
      <c r="H138">
        <v>0</v>
      </c>
      <c r="I138" s="1" t="s">
        <v>46</v>
      </c>
      <c r="J138" s="4">
        <v>447.75</v>
      </c>
      <c r="K138" s="1" t="s">
        <v>38</v>
      </c>
      <c r="L138" s="1" t="s">
        <v>48</v>
      </c>
      <c r="M138">
        <v>1</v>
      </c>
      <c r="N138" s="1" t="s">
        <v>552</v>
      </c>
      <c r="O138" s="1" t="s">
        <v>553</v>
      </c>
      <c r="P138" s="4">
        <v>13.17</v>
      </c>
      <c r="Q138" s="2">
        <v>45634</v>
      </c>
      <c r="R138" s="1" t="s">
        <v>503</v>
      </c>
      <c r="S138" s="1" t="s">
        <v>51</v>
      </c>
      <c r="T138" s="1" t="s">
        <v>76</v>
      </c>
      <c r="U138" s="5">
        <f>product_sales_data__1[[#This Row],[TotalPrice]]-product_sales_data__1[[#This Row],[ShippingCost]]</f>
        <v>434.58</v>
      </c>
      <c r="V138" s="5">
        <f>product_sales_data__1[[#This Row],[Quantity]]*product_sales_data__1[[#This Row],[UnitPrice]]*product_sales_data__1[[#This Row],[Discount]]</f>
        <v>0</v>
      </c>
    </row>
    <row r="139" spans="1:22" x14ac:dyDescent="0.3">
      <c r="A139" s="1" t="s">
        <v>554</v>
      </c>
      <c r="B139" s="1" t="s">
        <v>45</v>
      </c>
      <c r="C139" s="1" t="s">
        <v>71</v>
      </c>
      <c r="D139">
        <v>7</v>
      </c>
      <c r="E139" s="4">
        <v>241.76</v>
      </c>
      <c r="F139" s="1" t="s">
        <v>55</v>
      </c>
      <c r="G139" s="1" t="s">
        <v>24</v>
      </c>
      <c r="H139">
        <v>0</v>
      </c>
      <c r="I139" s="1" t="s">
        <v>46</v>
      </c>
      <c r="J139" s="4">
        <v>1692.32</v>
      </c>
      <c r="K139" s="1" t="s">
        <v>26</v>
      </c>
      <c r="L139" s="1" t="s">
        <v>58</v>
      </c>
      <c r="M139">
        <v>0</v>
      </c>
      <c r="N139" s="1" t="s">
        <v>555</v>
      </c>
      <c r="O139" s="1" t="s">
        <v>556</v>
      </c>
      <c r="P139" s="4">
        <v>48.13</v>
      </c>
      <c r="Q139" s="2">
        <v>44928</v>
      </c>
      <c r="R139" s="1" t="s">
        <v>557</v>
      </c>
      <c r="S139" s="1" t="s">
        <v>51</v>
      </c>
      <c r="T139" s="1" t="s">
        <v>187</v>
      </c>
      <c r="U139" s="5">
        <f>product_sales_data__1[[#This Row],[TotalPrice]]-product_sales_data__1[[#This Row],[ShippingCost]]</f>
        <v>1644.1899999999998</v>
      </c>
      <c r="V139" s="5">
        <f>product_sales_data__1[[#This Row],[Quantity]]*product_sales_data__1[[#This Row],[UnitPrice]]*product_sales_data__1[[#This Row],[Discount]]</f>
        <v>0</v>
      </c>
    </row>
    <row r="140" spans="1:22" x14ac:dyDescent="0.3">
      <c r="A140" s="1" t="s">
        <v>521</v>
      </c>
      <c r="B140" s="1" t="s">
        <v>45</v>
      </c>
      <c r="C140" s="1" t="s">
        <v>109</v>
      </c>
      <c r="D140">
        <v>9</v>
      </c>
      <c r="E140" s="4">
        <v>245.14</v>
      </c>
      <c r="F140" s="1" t="s">
        <v>23</v>
      </c>
      <c r="G140" s="1" t="s">
        <v>24</v>
      </c>
      <c r="H140">
        <v>0</v>
      </c>
      <c r="I140" s="1" t="s">
        <v>25</v>
      </c>
      <c r="J140" s="4">
        <v>2206.2600000000002</v>
      </c>
      <c r="K140" s="1" t="s">
        <v>26</v>
      </c>
      <c r="L140" s="1" t="s">
        <v>58</v>
      </c>
      <c r="M140">
        <v>1</v>
      </c>
      <c r="N140" s="1" t="s">
        <v>558</v>
      </c>
      <c r="O140" s="1" t="s">
        <v>559</v>
      </c>
      <c r="P140" s="4">
        <v>44.6</v>
      </c>
      <c r="Q140" s="2">
        <v>45054</v>
      </c>
      <c r="R140" s="1" t="s">
        <v>104</v>
      </c>
      <c r="S140" s="1" t="s">
        <v>51</v>
      </c>
      <c r="T140" s="1" t="s">
        <v>63</v>
      </c>
      <c r="U140" s="5">
        <f>product_sales_data__1[[#This Row],[TotalPrice]]-product_sales_data__1[[#This Row],[ShippingCost]]</f>
        <v>2161.6600000000003</v>
      </c>
      <c r="V140" s="5">
        <f>product_sales_data__1[[#This Row],[Quantity]]*product_sales_data__1[[#This Row],[UnitPrice]]*product_sales_data__1[[#This Row],[Discount]]</f>
        <v>0</v>
      </c>
    </row>
    <row r="141" spans="1:22" x14ac:dyDescent="0.3">
      <c r="A141" s="1" t="s">
        <v>506</v>
      </c>
      <c r="B141" s="1" t="s">
        <v>34</v>
      </c>
      <c r="C141" s="1" t="s">
        <v>22</v>
      </c>
      <c r="D141">
        <v>1</v>
      </c>
      <c r="E141" s="4">
        <v>423.08</v>
      </c>
      <c r="F141" s="1" t="s">
        <v>23</v>
      </c>
      <c r="G141" s="1" t="s">
        <v>24</v>
      </c>
      <c r="H141">
        <v>0.05</v>
      </c>
      <c r="I141" s="1" t="s">
        <v>94</v>
      </c>
      <c r="J141" s="4">
        <v>401.93</v>
      </c>
      <c r="K141" s="1" t="s">
        <v>57</v>
      </c>
      <c r="L141" s="1" t="s">
        <v>27</v>
      </c>
      <c r="M141">
        <v>0</v>
      </c>
      <c r="N141" s="1" t="s">
        <v>560</v>
      </c>
      <c r="O141" s="1" t="s">
        <v>561</v>
      </c>
      <c r="P141" s="4">
        <v>31.75</v>
      </c>
      <c r="Q141" s="2">
        <v>45479</v>
      </c>
      <c r="R141" s="1" t="s">
        <v>562</v>
      </c>
      <c r="S141" s="1" t="s">
        <v>42</v>
      </c>
      <c r="T141" s="1" t="s">
        <v>117</v>
      </c>
      <c r="U141" s="5">
        <f>product_sales_data__1[[#This Row],[TotalPrice]]-product_sales_data__1[[#This Row],[ShippingCost]]</f>
        <v>370.18</v>
      </c>
      <c r="V141" s="5">
        <f>product_sales_data__1[[#This Row],[Quantity]]*product_sales_data__1[[#This Row],[UnitPrice]]*product_sales_data__1[[#This Row],[Discount]]</f>
        <v>21.154</v>
      </c>
    </row>
    <row r="142" spans="1:22" x14ac:dyDescent="0.3">
      <c r="A142" s="1" t="s">
        <v>563</v>
      </c>
      <c r="B142" s="1" t="s">
        <v>34</v>
      </c>
      <c r="C142" s="1" t="s">
        <v>140</v>
      </c>
      <c r="D142">
        <v>2</v>
      </c>
      <c r="E142" s="4">
        <v>279.38</v>
      </c>
      <c r="F142" s="1" t="s">
        <v>55</v>
      </c>
      <c r="G142" s="1" t="s">
        <v>37</v>
      </c>
      <c r="H142">
        <v>0.1</v>
      </c>
      <c r="I142" s="1" t="s">
        <v>46</v>
      </c>
      <c r="J142" s="4">
        <v>502.88</v>
      </c>
      <c r="K142" s="1" t="s">
        <v>26</v>
      </c>
      <c r="L142" s="1" t="s">
        <v>85</v>
      </c>
      <c r="M142">
        <v>0</v>
      </c>
      <c r="N142" s="1" t="s">
        <v>564</v>
      </c>
      <c r="O142" s="1" t="s">
        <v>565</v>
      </c>
      <c r="P142" s="4">
        <v>22.95</v>
      </c>
      <c r="Q142" s="2">
        <v>44932</v>
      </c>
      <c r="R142" s="1" t="s">
        <v>566</v>
      </c>
      <c r="S142" s="1" t="s">
        <v>42</v>
      </c>
      <c r="T142" s="1" t="s">
        <v>187</v>
      </c>
      <c r="U142" s="5">
        <f>product_sales_data__1[[#This Row],[TotalPrice]]-product_sales_data__1[[#This Row],[ShippingCost]]</f>
        <v>479.93</v>
      </c>
      <c r="V142" s="5">
        <f>product_sales_data__1[[#This Row],[Quantity]]*product_sales_data__1[[#This Row],[UnitPrice]]*product_sales_data__1[[#This Row],[Discount]]</f>
        <v>55.876000000000005</v>
      </c>
    </row>
    <row r="143" spans="1:22" x14ac:dyDescent="0.3">
      <c r="A143" s="1" t="s">
        <v>567</v>
      </c>
      <c r="B143" s="1" t="s">
        <v>45</v>
      </c>
      <c r="C143" s="1" t="s">
        <v>71</v>
      </c>
      <c r="D143">
        <v>13</v>
      </c>
      <c r="E143" s="4">
        <v>186.69</v>
      </c>
      <c r="F143" s="1" t="s">
        <v>55</v>
      </c>
      <c r="G143" s="1" t="s">
        <v>24</v>
      </c>
      <c r="H143">
        <v>0</v>
      </c>
      <c r="I143" s="1" t="s">
        <v>94</v>
      </c>
      <c r="J143" s="4">
        <v>2426.9699999999998</v>
      </c>
      <c r="K143" s="1" t="s">
        <v>47</v>
      </c>
      <c r="L143" s="1" t="s">
        <v>85</v>
      </c>
      <c r="M143">
        <v>0</v>
      </c>
      <c r="N143" s="1" t="s">
        <v>568</v>
      </c>
      <c r="O143" s="1" t="s">
        <v>569</v>
      </c>
      <c r="P143" s="4">
        <v>19.920000000000002</v>
      </c>
      <c r="Q143" s="2">
        <v>45839</v>
      </c>
      <c r="R143" s="1" t="s">
        <v>570</v>
      </c>
      <c r="S143" s="1" t="s">
        <v>51</v>
      </c>
      <c r="T143" s="1" t="s">
        <v>117</v>
      </c>
      <c r="U143" s="5">
        <f>product_sales_data__1[[#This Row],[TotalPrice]]-product_sales_data__1[[#This Row],[ShippingCost]]</f>
        <v>2407.0499999999997</v>
      </c>
      <c r="V143" s="5">
        <f>product_sales_data__1[[#This Row],[Quantity]]*product_sales_data__1[[#This Row],[UnitPrice]]*product_sales_data__1[[#This Row],[Discount]]</f>
        <v>0</v>
      </c>
    </row>
    <row r="144" spans="1:22" x14ac:dyDescent="0.3">
      <c r="A144" s="1" t="s">
        <v>151</v>
      </c>
      <c r="B144" s="1" t="s">
        <v>34</v>
      </c>
      <c r="C144" s="1" t="s">
        <v>71</v>
      </c>
      <c r="D144">
        <v>16</v>
      </c>
      <c r="E144" s="4">
        <v>34.659999999999997</v>
      </c>
      <c r="F144" s="1" t="s">
        <v>36</v>
      </c>
      <c r="G144" s="1" t="s">
        <v>37</v>
      </c>
      <c r="H144">
        <v>0.05</v>
      </c>
      <c r="I144" s="1" t="s">
        <v>25</v>
      </c>
      <c r="J144" s="4">
        <v>526.83000000000004</v>
      </c>
      <c r="K144" s="1" t="s">
        <v>38</v>
      </c>
      <c r="L144" s="1" t="s">
        <v>48</v>
      </c>
      <c r="M144">
        <v>0</v>
      </c>
      <c r="N144" s="1" t="s">
        <v>571</v>
      </c>
      <c r="O144" s="1" t="s">
        <v>572</v>
      </c>
      <c r="P144" s="4">
        <v>49.9</v>
      </c>
      <c r="Q144" s="2">
        <v>45779</v>
      </c>
      <c r="R144" s="1" t="s">
        <v>573</v>
      </c>
      <c r="S144" s="1" t="s">
        <v>42</v>
      </c>
      <c r="T144" s="1" t="s">
        <v>63</v>
      </c>
      <c r="U144" s="5">
        <f>product_sales_data__1[[#This Row],[TotalPrice]]-product_sales_data__1[[#This Row],[ShippingCost]]</f>
        <v>476.93000000000006</v>
      </c>
      <c r="V144" s="5">
        <f>product_sales_data__1[[#This Row],[Quantity]]*product_sales_data__1[[#This Row],[UnitPrice]]*product_sales_data__1[[#This Row],[Discount]]</f>
        <v>27.727999999999998</v>
      </c>
    </row>
    <row r="145" spans="1:22" x14ac:dyDescent="0.3">
      <c r="A145" s="1" t="s">
        <v>393</v>
      </c>
      <c r="B145" s="1" t="s">
        <v>21</v>
      </c>
      <c r="C145" s="1" t="s">
        <v>140</v>
      </c>
      <c r="D145">
        <v>18</v>
      </c>
      <c r="E145" s="4">
        <v>155.04</v>
      </c>
      <c r="F145" s="1" t="s">
        <v>23</v>
      </c>
      <c r="G145" s="1" t="s">
        <v>24</v>
      </c>
      <c r="H145">
        <v>0.15</v>
      </c>
      <c r="I145" s="1" t="s">
        <v>56</v>
      </c>
      <c r="J145" s="4">
        <v>2372.11</v>
      </c>
      <c r="K145" s="1" t="s">
        <v>47</v>
      </c>
      <c r="L145" s="1" t="s">
        <v>27</v>
      </c>
      <c r="M145">
        <v>0</v>
      </c>
      <c r="N145" s="1" t="s">
        <v>574</v>
      </c>
      <c r="O145" s="1" t="s">
        <v>575</v>
      </c>
      <c r="P145" s="4">
        <v>39.99</v>
      </c>
      <c r="Q145" s="2">
        <v>45295</v>
      </c>
      <c r="R145" s="1" t="s">
        <v>576</v>
      </c>
      <c r="S145" s="1" t="s">
        <v>31</v>
      </c>
      <c r="T145" s="1" t="s">
        <v>187</v>
      </c>
      <c r="U145" s="5">
        <f>product_sales_data__1[[#This Row],[TotalPrice]]-product_sales_data__1[[#This Row],[ShippingCost]]</f>
        <v>2332.1200000000003</v>
      </c>
      <c r="V145" s="5">
        <f>product_sales_data__1[[#This Row],[Quantity]]*product_sales_data__1[[#This Row],[UnitPrice]]*product_sales_data__1[[#This Row],[Discount]]</f>
        <v>418.60799999999995</v>
      </c>
    </row>
    <row r="146" spans="1:22" x14ac:dyDescent="0.3">
      <c r="A146" s="1" t="s">
        <v>211</v>
      </c>
      <c r="B146" s="1" t="s">
        <v>54</v>
      </c>
      <c r="C146" s="1" t="s">
        <v>127</v>
      </c>
      <c r="D146">
        <v>4</v>
      </c>
      <c r="E146" s="4">
        <v>69.599999999999994</v>
      </c>
      <c r="F146" s="1" t="s">
        <v>55</v>
      </c>
      <c r="G146" s="1" t="s">
        <v>24</v>
      </c>
      <c r="H146">
        <v>0.05</v>
      </c>
      <c r="I146" s="1" t="s">
        <v>65</v>
      </c>
      <c r="J146" s="4">
        <v>264.48</v>
      </c>
      <c r="K146" s="1" t="s">
        <v>57</v>
      </c>
      <c r="L146" s="1" t="s">
        <v>58</v>
      </c>
      <c r="M146">
        <v>0</v>
      </c>
      <c r="N146" s="1" t="s">
        <v>577</v>
      </c>
      <c r="O146" s="1" t="s">
        <v>578</v>
      </c>
      <c r="P146" s="4">
        <v>17.68</v>
      </c>
      <c r="Q146" s="2">
        <v>45660</v>
      </c>
      <c r="R146" s="1" t="s">
        <v>118</v>
      </c>
      <c r="S146" s="1" t="s">
        <v>62</v>
      </c>
      <c r="T146" s="1" t="s">
        <v>187</v>
      </c>
      <c r="U146" s="5">
        <f>product_sales_data__1[[#This Row],[TotalPrice]]-product_sales_data__1[[#This Row],[ShippingCost]]</f>
        <v>246.8</v>
      </c>
      <c r="V146" s="5">
        <f>product_sales_data__1[[#This Row],[Quantity]]*product_sales_data__1[[#This Row],[UnitPrice]]*product_sales_data__1[[#This Row],[Discount]]</f>
        <v>13.92</v>
      </c>
    </row>
    <row r="147" spans="1:22" x14ac:dyDescent="0.3">
      <c r="A147" s="1" t="s">
        <v>579</v>
      </c>
      <c r="B147" s="1" t="s">
        <v>45</v>
      </c>
      <c r="C147" s="1" t="s">
        <v>127</v>
      </c>
      <c r="D147">
        <v>13</v>
      </c>
      <c r="E147" s="4">
        <v>55.09</v>
      </c>
      <c r="F147" s="1" t="s">
        <v>84</v>
      </c>
      <c r="G147" s="1" t="s">
        <v>24</v>
      </c>
      <c r="H147">
        <v>0.15</v>
      </c>
      <c r="I147" s="1" t="s">
        <v>78</v>
      </c>
      <c r="J147" s="4">
        <v>608.74</v>
      </c>
      <c r="K147" s="1" t="s">
        <v>47</v>
      </c>
      <c r="L147" s="1" t="s">
        <v>85</v>
      </c>
      <c r="M147">
        <v>1</v>
      </c>
      <c r="N147" s="1" t="s">
        <v>580</v>
      </c>
      <c r="O147" s="1" t="s">
        <v>581</v>
      </c>
      <c r="P147" s="4">
        <v>47.78</v>
      </c>
      <c r="Q147" s="2">
        <v>44992</v>
      </c>
      <c r="R147" s="1" t="s">
        <v>582</v>
      </c>
      <c r="S147" s="1" t="s">
        <v>51</v>
      </c>
      <c r="T147" s="1" t="s">
        <v>98</v>
      </c>
      <c r="U147" s="5">
        <f>product_sales_data__1[[#This Row],[TotalPrice]]-product_sales_data__1[[#This Row],[ShippingCost]]</f>
        <v>560.96</v>
      </c>
      <c r="V147" s="5">
        <f>product_sales_data__1[[#This Row],[Quantity]]*product_sales_data__1[[#This Row],[UnitPrice]]*product_sales_data__1[[#This Row],[Discount]]</f>
        <v>107.42550000000001</v>
      </c>
    </row>
    <row r="148" spans="1:22" x14ac:dyDescent="0.3">
      <c r="A148" s="1" t="s">
        <v>583</v>
      </c>
      <c r="B148" s="1" t="s">
        <v>54</v>
      </c>
      <c r="C148" s="1" t="s">
        <v>109</v>
      </c>
      <c r="D148">
        <v>14</v>
      </c>
      <c r="E148" s="4">
        <v>484.38</v>
      </c>
      <c r="F148" s="1" t="s">
        <v>55</v>
      </c>
      <c r="G148" s="1" t="s">
        <v>37</v>
      </c>
      <c r="H148">
        <v>0.05</v>
      </c>
      <c r="I148" s="1" t="s">
        <v>56</v>
      </c>
      <c r="J148" s="4">
        <v>6442.25</v>
      </c>
      <c r="K148" s="1" t="s">
        <v>38</v>
      </c>
      <c r="L148" s="1" t="s">
        <v>58</v>
      </c>
      <c r="M148">
        <v>0</v>
      </c>
      <c r="N148" s="1" t="s">
        <v>584</v>
      </c>
      <c r="O148" s="1" t="s">
        <v>585</v>
      </c>
      <c r="P148" s="4">
        <v>29.24</v>
      </c>
      <c r="Q148" s="2">
        <v>45904</v>
      </c>
      <c r="R148" s="1" t="s">
        <v>586</v>
      </c>
      <c r="S148" s="1" t="s">
        <v>62</v>
      </c>
      <c r="T148" s="1" t="s">
        <v>52</v>
      </c>
      <c r="U148" s="5">
        <f>product_sales_data__1[[#This Row],[TotalPrice]]-product_sales_data__1[[#This Row],[ShippingCost]]</f>
        <v>6413.01</v>
      </c>
      <c r="V148" s="5">
        <f>product_sales_data__1[[#This Row],[Quantity]]*product_sales_data__1[[#This Row],[UnitPrice]]*product_sales_data__1[[#This Row],[Discount]]</f>
        <v>339.06600000000003</v>
      </c>
    </row>
    <row r="149" spans="1:22" x14ac:dyDescent="0.3">
      <c r="A149" s="1" t="s">
        <v>587</v>
      </c>
      <c r="B149" s="1" t="s">
        <v>21</v>
      </c>
      <c r="C149" s="1" t="s">
        <v>127</v>
      </c>
      <c r="D149">
        <v>6</v>
      </c>
      <c r="E149" s="4">
        <v>449.57</v>
      </c>
      <c r="F149" s="1" t="s">
        <v>55</v>
      </c>
      <c r="G149" s="1" t="s">
        <v>24</v>
      </c>
      <c r="H149">
        <v>0</v>
      </c>
      <c r="I149" s="1" t="s">
        <v>56</v>
      </c>
      <c r="J149" s="4">
        <v>2697.42</v>
      </c>
      <c r="K149" s="1" t="s">
        <v>57</v>
      </c>
      <c r="L149" s="1" t="s">
        <v>27</v>
      </c>
      <c r="M149">
        <v>0</v>
      </c>
      <c r="N149" s="1" t="s">
        <v>588</v>
      </c>
      <c r="O149" s="1" t="s">
        <v>589</v>
      </c>
      <c r="P149" s="4">
        <v>23.09</v>
      </c>
      <c r="Q149" s="2">
        <v>45057</v>
      </c>
      <c r="R149" s="1" t="s">
        <v>590</v>
      </c>
      <c r="S149" s="1" t="s">
        <v>31</v>
      </c>
      <c r="T149" s="1" t="s">
        <v>63</v>
      </c>
      <c r="U149" s="5">
        <f>product_sales_data__1[[#This Row],[TotalPrice]]-product_sales_data__1[[#This Row],[ShippingCost]]</f>
        <v>2674.33</v>
      </c>
      <c r="V149" s="5">
        <f>product_sales_data__1[[#This Row],[Quantity]]*product_sales_data__1[[#This Row],[UnitPrice]]*product_sales_data__1[[#This Row],[Discount]]</f>
        <v>0</v>
      </c>
    </row>
    <row r="150" spans="1:22" x14ac:dyDescent="0.3">
      <c r="A150" s="1" t="s">
        <v>329</v>
      </c>
      <c r="B150" s="1" t="s">
        <v>54</v>
      </c>
      <c r="C150" s="1" t="s">
        <v>35</v>
      </c>
      <c r="D150">
        <v>14</v>
      </c>
      <c r="E150" s="4">
        <v>291.91000000000003</v>
      </c>
      <c r="F150" s="1" t="s">
        <v>84</v>
      </c>
      <c r="G150" s="1" t="s">
        <v>37</v>
      </c>
      <c r="H150">
        <v>0.15</v>
      </c>
      <c r="I150" s="1" t="s">
        <v>56</v>
      </c>
      <c r="J150" s="4">
        <v>3473.73</v>
      </c>
      <c r="K150" s="1" t="s">
        <v>101</v>
      </c>
      <c r="L150" s="1" t="s">
        <v>48</v>
      </c>
      <c r="M150">
        <v>0</v>
      </c>
      <c r="N150" s="1" t="s">
        <v>591</v>
      </c>
      <c r="O150" s="1" t="s">
        <v>592</v>
      </c>
      <c r="P150" s="4">
        <v>27.51</v>
      </c>
      <c r="Q150" s="2">
        <v>45810</v>
      </c>
      <c r="R150" s="1" t="s">
        <v>464</v>
      </c>
      <c r="S150" s="1" t="s">
        <v>62</v>
      </c>
      <c r="T150" s="1" t="s">
        <v>105</v>
      </c>
      <c r="U150" s="5">
        <f>product_sales_data__1[[#This Row],[TotalPrice]]-product_sales_data__1[[#This Row],[ShippingCost]]</f>
        <v>3446.22</v>
      </c>
      <c r="V150" s="5">
        <f>product_sales_data__1[[#This Row],[Quantity]]*product_sales_data__1[[#This Row],[UnitPrice]]*product_sales_data__1[[#This Row],[Discount]]</f>
        <v>613.01099999999997</v>
      </c>
    </row>
    <row r="151" spans="1:22" x14ac:dyDescent="0.3">
      <c r="A151" s="1" t="s">
        <v>476</v>
      </c>
      <c r="B151" s="1" t="s">
        <v>70</v>
      </c>
      <c r="C151" s="1" t="s">
        <v>140</v>
      </c>
      <c r="D151">
        <v>15</v>
      </c>
      <c r="E151" s="4">
        <v>380.03</v>
      </c>
      <c r="F151" s="1" t="s">
        <v>84</v>
      </c>
      <c r="G151" s="1" t="s">
        <v>37</v>
      </c>
      <c r="H151">
        <v>0</v>
      </c>
      <c r="I151" s="1" t="s">
        <v>94</v>
      </c>
      <c r="J151" s="4">
        <v>5700.45</v>
      </c>
      <c r="K151" s="1" t="s">
        <v>26</v>
      </c>
      <c r="L151" s="1" t="s">
        <v>48</v>
      </c>
      <c r="M151">
        <v>0</v>
      </c>
      <c r="N151" s="1" t="s">
        <v>593</v>
      </c>
      <c r="O151" s="1" t="s">
        <v>594</v>
      </c>
      <c r="P151" s="4">
        <v>25.72</v>
      </c>
      <c r="Q151" s="2">
        <v>45546</v>
      </c>
      <c r="R151" s="1" t="s">
        <v>595</v>
      </c>
      <c r="S151" s="1" t="s">
        <v>75</v>
      </c>
      <c r="T151" s="1" t="s">
        <v>52</v>
      </c>
      <c r="U151" s="5">
        <f>product_sales_data__1[[#This Row],[TotalPrice]]-product_sales_data__1[[#This Row],[ShippingCost]]</f>
        <v>5674.73</v>
      </c>
      <c r="V151" s="5">
        <f>product_sales_data__1[[#This Row],[Quantity]]*product_sales_data__1[[#This Row],[UnitPrice]]*product_sales_data__1[[#This Row],[Discount]]</f>
        <v>0</v>
      </c>
    </row>
    <row r="152" spans="1:22" x14ac:dyDescent="0.3">
      <c r="A152" s="1" t="s">
        <v>596</v>
      </c>
      <c r="B152" s="1" t="s">
        <v>54</v>
      </c>
      <c r="C152" s="1" t="s">
        <v>109</v>
      </c>
      <c r="D152">
        <v>13</v>
      </c>
      <c r="E152" s="4">
        <v>442.99</v>
      </c>
      <c r="F152" s="1" t="s">
        <v>84</v>
      </c>
      <c r="G152" s="1" t="s">
        <v>24</v>
      </c>
      <c r="H152">
        <v>0.05</v>
      </c>
      <c r="I152" s="1" t="s">
        <v>25</v>
      </c>
      <c r="J152" s="4">
        <v>5470.93</v>
      </c>
      <c r="K152" s="1" t="s">
        <v>57</v>
      </c>
      <c r="L152" s="1" t="s">
        <v>58</v>
      </c>
      <c r="M152">
        <v>0</v>
      </c>
      <c r="N152" s="1" t="s">
        <v>597</v>
      </c>
      <c r="O152" s="1" t="s">
        <v>598</v>
      </c>
      <c r="P152" s="4">
        <v>37.119999999999997</v>
      </c>
      <c r="Q152" s="2">
        <v>45574</v>
      </c>
      <c r="R152" s="1" t="s">
        <v>163</v>
      </c>
      <c r="S152" s="1" t="s">
        <v>62</v>
      </c>
      <c r="T152" s="1" t="s">
        <v>32</v>
      </c>
      <c r="U152" s="5">
        <f>product_sales_data__1[[#This Row],[TotalPrice]]-product_sales_data__1[[#This Row],[ShippingCost]]</f>
        <v>5433.81</v>
      </c>
      <c r="V152" s="5">
        <f>product_sales_data__1[[#This Row],[Quantity]]*product_sales_data__1[[#This Row],[UnitPrice]]*product_sales_data__1[[#This Row],[Discount]]</f>
        <v>287.94350000000003</v>
      </c>
    </row>
    <row r="153" spans="1:22" x14ac:dyDescent="0.3">
      <c r="A153" s="1" t="s">
        <v>599</v>
      </c>
      <c r="B153" s="1" t="s">
        <v>70</v>
      </c>
      <c r="C153" s="1" t="s">
        <v>109</v>
      </c>
      <c r="D153">
        <v>15</v>
      </c>
      <c r="E153" s="4">
        <v>469.52</v>
      </c>
      <c r="F153" s="1" t="s">
        <v>36</v>
      </c>
      <c r="G153" s="1" t="s">
        <v>24</v>
      </c>
      <c r="H153">
        <v>0</v>
      </c>
      <c r="I153" s="1" t="s">
        <v>25</v>
      </c>
      <c r="J153" s="4">
        <v>7042.8</v>
      </c>
      <c r="K153" s="1" t="s">
        <v>101</v>
      </c>
      <c r="L153" s="1" t="s">
        <v>85</v>
      </c>
      <c r="M153">
        <v>0</v>
      </c>
      <c r="N153" s="1" t="s">
        <v>600</v>
      </c>
      <c r="O153" s="1" t="s">
        <v>601</v>
      </c>
      <c r="P153" s="4">
        <v>35.6</v>
      </c>
      <c r="Q153" s="2">
        <v>45576</v>
      </c>
      <c r="R153" s="1" t="s">
        <v>602</v>
      </c>
      <c r="S153" s="1" t="s">
        <v>75</v>
      </c>
      <c r="T153" s="1" t="s">
        <v>32</v>
      </c>
      <c r="U153" s="5">
        <f>product_sales_data__1[[#This Row],[TotalPrice]]-product_sales_data__1[[#This Row],[ShippingCost]]</f>
        <v>7007.2</v>
      </c>
      <c r="V153" s="5">
        <f>product_sales_data__1[[#This Row],[Quantity]]*product_sales_data__1[[#This Row],[UnitPrice]]*product_sales_data__1[[#This Row],[Discount]]</f>
        <v>0</v>
      </c>
    </row>
    <row r="154" spans="1:22" x14ac:dyDescent="0.3">
      <c r="A154" s="1" t="s">
        <v>603</v>
      </c>
      <c r="B154" s="1" t="s">
        <v>45</v>
      </c>
      <c r="C154" s="1" t="s">
        <v>127</v>
      </c>
      <c r="D154">
        <v>11</v>
      </c>
      <c r="E154" s="4">
        <v>558.5</v>
      </c>
      <c r="F154" s="1" t="s">
        <v>23</v>
      </c>
      <c r="G154" s="1" t="s">
        <v>37</v>
      </c>
      <c r="H154">
        <v>0.15</v>
      </c>
      <c r="I154" s="1" t="s">
        <v>46</v>
      </c>
      <c r="J154" s="4">
        <v>5221.9799999999996</v>
      </c>
      <c r="K154" s="1" t="s">
        <v>47</v>
      </c>
      <c r="L154" s="1" t="s">
        <v>27</v>
      </c>
      <c r="M154">
        <v>0</v>
      </c>
      <c r="N154" s="1" t="s">
        <v>604</v>
      </c>
      <c r="O154" s="1" t="s">
        <v>258</v>
      </c>
      <c r="P154" s="4">
        <v>48.15</v>
      </c>
      <c r="Q154" s="2">
        <v>45019</v>
      </c>
      <c r="R154" s="1" t="s">
        <v>605</v>
      </c>
      <c r="S154" s="1" t="s">
        <v>51</v>
      </c>
      <c r="T154" s="1" t="s">
        <v>147</v>
      </c>
      <c r="U154" s="5">
        <f>product_sales_data__1[[#This Row],[TotalPrice]]-product_sales_data__1[[#This Row],[ShippingCost]]</f>
        <v>5173.83</v>
      </c>
      <c r="V154" s="5">
        <f>product_sales_data__1[[#This Row],[Quantity]]*product_sales_data__1[[#This Row],[UnitPrice]]*product_sales_data__1[[#This Row],[Discount]]</f>
        <v>921.52499999999998</v>
      </c>
    </row>
    <row r="155" spans="1:22" x14ac:dyDescent="0.3">
      <c r="A155" s="1" t="s">
        <v>486</v>
      </c>
      <c r="B155" s="1" t="s">
        <v>70</v>
      </c>
      <c r="C155" s="1" t="s">
        <v>22</v>
      </c>
      <c r="D155">
        <v>5</v>
      </c>
      <c r="E155" s="4">
        <v>365.38</v>
      </c>
      <c r="F155" s="1" t="s">
        <v>55</v>
      </c>
      <c r="G155" s="1" t="s">
        <v>24</v>
      </c>
      <c r="H155">
        <v>0.15</v>
      </c>
      <c r="I155" s="1" t="s">
        <v>25</v>
      </c>
      <c r="J155" s="4">
        <v>1552.87</v>
      </c>
      <c r="K155" s="1" t="s">
        <v>38</v>
      </c>
      <c r="L155" s="1" t="s">
        <v>58</v>
      </c>
      <c r="M155">
        <v>1</v>
      </c>
      <c r="N155" s="1" t="s">
        <v>606</v>
      </c>
      <c r="O155" s="1" t="s">
        <v>607</v>
      </c>
      <c r="P155" s="4">
        <v>5.66</v>
      </c>
      <c r="Q155" s="2">
        <v>45264</v>
      </c>
      <c r="R155" s="1" t="s">
        <v>489</v>
      </c>
      <c r="S155" s="1" t="s">
        <v>75</v>
      </c>
      <c r="T155" s="1" t="s">
        <v>76</v>
      </c>
      <c r="U155" s="5">
        <f>product_sales_data__1[[#This Row],[TotalPrice]]-product_sales_data__1[[#This Row],[ShippingCost]]</f>
        <v>1547.2099999999998</v>
      </c>
      <c r="V155" s="5">
        <f>product_sales_data__1[[#This Row],[Quantity]]*product_sales_data__1[[#This Row],[UnitPrice]]*product_sales_data__1[[#This Row],[Discount]]</f>
        <v>274.03500000000003</v>
      </c>
    </row>
    <row r="156" spans="1:22" x14ac:dyDescent="0.3">
      <c r="A156" s="1" t="s">
        <v>608</v>
      </c>
      <c r="B156" s="1" t="s">
        <v>34</v>
      </c>
      <c r="C156" s="1" t="s">
        <v>22</v>
      </c>
      <c r="D156">
        <v>10</v>
      </c>
      <c r="E156" s="4">
        <v>397.33</v>
      </c>
      <c r="F156" s="1" t="s">
        <v>23</v>
      </c>
      <c r="G156" s="1" t="s">
        <v>37</v>
      </c>
      <c r="H156">
        <v>0.15</v>
      </c>
      <c r="I156" s="1" t="s">
        <v>25</v>
      </c>
      <c r="J156" s="4">
        <v>3377.31</v>
      </c>
      <c r="K156" s="1" t="s">
        <v>101</v>
      </c>
      <c r="L156" s="1" t="s">
        <v>48</v>
      </c>
      <c r="M156">
        <v>0</v>
      </c>
      <c r="N156" s="1" t="s">
        <v>609</v>
      </c>
      <c r="O156" s="1" t="s">
        <v>610</v>
      </c>
      <c r="P156" s="4">
        <v>10.199999999999999</v>
      </c>
      <c r="Q156" s="2">
        <v>45110</v>
      </c>
      <c r="R156" s="1" t="s">
        <v>611</v>
      </c>
      <c r="S156" s="1" t="s">
        <v>42</v>
      </c>
      <c r="T156" s="1" t="s">
        <v>117</v>
      </c>
      <c r="U156" s="5">
        <f>product_sales_data__1[[#This Row],[TotalPrice]]-product_sales_data__1[[#This Row],[ShippingCost]]</f>
        <v>3367.11</v>
      </c>
      <c r="V156" s="5">
        <f>product_sales_data__1[[#This Row],[Quantity]]*product_sales_data__1[[#This Row],[UnitPrice]]*product_sales_data__1[[#This Row],[Discount]]</f>
        <v>595.99499999999989</v>
      </c>
    </row>
    <row r="157" spans="1:22" x14ac:dyDescent="0.3">
      <c r="A157" s="1" t="s">
        <v>164</v>
      </c>
      <c r="B157" s="1" t="s">
        <v>45</v>
      </c>
      <c r="C157" s="1" t="s">
        <v>35</v>
      </c>
      <c r="D157">
        <v>17</v>
      </c>
      <c r="E157" s="4">
        <v>241.01</v>
      </c>
      <c r="F157" s="1" t="s">
        <v>84</v>
      </c>
      <c r="G157" s="1" t="s">
        <v>37</v>
      </c>
      <c r="H157">
        <v>0.1</v>
      </c>
      <c r="I157" s="1" t="s">
        <v>94</v>
      </c>
      <c r="J157" s="4">
        <v>3687.45</v>
      </c>
      <c r="K157" s="1" t="s">
        <v>38</v>
      </c>
      <c r="L157" s="1" t="s">
        <v>27</v>
      </c>
      <c r="M157">
        <v>0</v>
      </c>
      <c r="N157" s="1" t="s">
        <v>612</v>
      </c>
      <c r="O157" s="1" t="s">
        <v>613</v>
      </c>
      <c r="P157" s="4">
        <v>24.69</v>
      </c>
      <c r="Q157" s="2">
        <v>45413</v>
      </c>
      <c r="R157" s="1" t="s">
        <v>614</v>
      </c>
      <c r="S157" s="1" t="s">
        <v>51</v>
      </c>
      <c r="T157" s="1" t="s">
        <v>63</v>
      </c>
      <c r="U157" s="5">
        <f>product_sales_data__1[[#This Row],[TotalPrice]]-product_sales_data__1[[#This Row],[ShippingCost]]</f>
        <v>3662.7599999999998</v>
      </c>
      <c r="V157" s="5">
        <f>product_sales_data__1[[#This Row],[Quantity]]*product_sales_data__1[[#This Row],[UnitPrice]]*product_sales_data__1[[#This Row],[Discount]]</f>
        <v>409.71700000000004</v>
      </c>
    </row>
    <row r="158" spans="1:22" x14ac:dyDescent="0.3">
      <c r="A158" s="1" t="s">
        <v>615</v>
      </c>
      <c r="B158" s="1" t="s">
        <v>54</v>
      </c>
      <c r="C158" s="1" t="s">
        <v>127</v>
      </c>
      <c r="D158">
        <v>16</v>
      </c>
      <c r="E158" s="4">
        <v>170.77</v>
      </c>
      <c r="F158" s="1" t="s">
        <v>36</v>
      </c>
      <c r="G158" s="1" t="s">
        <v>37</v>
      </c>
      <c r="H158">
        <v>0.1</v>
      </c>
      <c r="I158" s="1" t="s">
        <v>56</v>
      </c>
      <c r="J158" s="4">
        <v>2459.09</v>
      </c>
      <c r="K158" s="1" t="s">
        <v>26</v>
      </c>
      <c r="L158" s="1" t="s">
        <v>58</v>
      </c>
      <c r="M158">
        <v>1</v>
      </c>
      <c r="N158" s="1" t="s">
        <v>616</v>
      </c>
      <c r="O158" s="1" t="s">
        <v>617</v>
      </c>
      <c r="P158" s="4">
        <v>45.93</v>
      </c>
      <c r="Q158" s="2">
        <v>45509</v>
      </c>
      <c r="R158" s="1" t="s">
        <v>618</v>
      </c>
      <c r="S158" s="1" t="s">
        <v>62</v>
      </c>
      <c r="T158" s="1" t="s">
        <v>82</v>
      </c>
      <c r="U158" s="5">
        <f>product_sales_data__1[[#This Row],[TotalPrice]]-product_sales_data__1[[#This Row],[ShippingCost]]</f>
        <v>2413.1600000000003</v>
      </c>
      <c r="V158" s="5">
        <f>product_sales_data__1[[#This Row],[Quantity]]*product_sales_data__1[[#This Row],[UnitPrice]]*product_sales_data__1[[#This Row],[Discount]]</f>
        <v>273.23200000000003</v>
      </c>
    </row>
    <row r="159" spans="1:22" x14ac:dyDescent="0.3">
      <c r="A159" s="1" t="s">
        <v>262</v>
      </c>
      <c r="B159" s="1" t="s">
        <v>45</v>
      </c>
      <c r="C159" s="1" t="s">
        <v>127</v>
      </c>
      <c r="D159">
        <v>1</v>
      </c>
      <c r="E159" s="4">
        <v>8.1999999999999993</v>
      </c>
      <c r="F159" s="1" t="s">
        <v>36</v>
      </c>
      <c r="G159" s="1" t="s">
        <v>24</v>
      </c>
      <c r="H159">
        <v>0.15</v>
      </c>
      <c r="I159" s="1" t="s">
        <v>56</v>
      </c>
      <c r="J159" s="4">
        <v>6.97</v>
      </c>
      <c r="K159" s="1" t="s">
        <v>38</v>
      </c>
      <c r="L159" s="1" t="s">
        <v>48</v>
      </c>
      <c r="M159">
        <v>0</v>
      </c>
      <c r="N159" s="1" t="s">
        <v>619</v>
      </c>
      <c r="O159" s="1" t="s">
        <v>620</v>
      </c>
      <c r="P159" s="4">
        <v>30.35</v>
      </c>
      <c r="Q159" s="2">
        <v>45415</v>
      </c>
      <c r="R159" s="1" t="s">
        <v>621</v>
      </c>
      <c r="S159" s="1" t="s">
        <v>51</v>
      </c>
      <c r="T159" s="1" t="s">
        <v>63</v>
      </c>
      <c r="U159" s="5">
        <f>product_sales_data__1[[#This Row],[TotalPrice]]-product_sales_data__1[[#This Row],[ShippingCost]]</f>
        <v>-23.380000000000003</v>
      </c>
      <c r="V159" s="5">
        <f>product_sales_data__1[[#This Row],[Quantity]]*product_sales_data__1[[#This Row],[UnitPrice]]*product_sales_data__1[[#This Row],[Discount]]</f>
        <v>1.2299999999999998</v>
      </c>
    </row>
    <row r="160" spans="1:22" x14ac:dyDescent="0.3">
      <c r="A160" s="1" t="s">
        <v>521</v>
      </c>
      <c r="B160" s="1" t="s">
        <v>34</v>
      </c>
      <c r="C160" s="1" t="s">
        <v>140</v>
      </c>
      <c r="D160">
        <v>20</v>
      </c>
      <c r="E160" s="4">
        <v>121.14</v>
      </c>
      <c r="F160" s="1" t="s">
        <v>36</v>
      </c>
      <c r="G160" s="1" t="s">
        <v>37</v>
      </c>
      <c r="H160">
        <v>0.1</v>
      </c>
      <c r="I160" s="1" t="s">
        <v>94</v>
      </c>
      <c r="J160" s="4">
        <v>2180.52</v>
      </c>
      <c r="K160" s="1" t="s">
        <v>101</v>
      </c>
      <c r="L160" s="1" t="s">
        <v>85</v>
      </c>
      <c r="M160">
        <v>0</v>
      </c>
      <c r="N160" s="1" t="s">
        <v>622</v>
      </c>
      <c r="O160" s="1" t="s">
        <v>623</v>
      </c>
      <c r="P160" s="4">
        <v>21.47</v>
      </c>
      <c r="Q160" s="2">
        <v>45054</v>
      </c>
      <c r="R160" s="1" t="s">
        <v>104</v>
      </c>
      <c r="S160" s="1" t="s">
        <v>42</v>
      </c>
      <c r="T160" s="1" t="s">
        <v>63</v>
      </c>
      <c r="U160" s="5">
        <f>product_sales_data__1[[#This Row],[TotalPrice]]-product_sales_data__1[[#This Row],[ShippingCost]]</f>
        <v>2159.0500000000002</v>
      </c>
      <c r="V160" s="5">
        <f>product_sales_data__1[[#This Row],[Quantity]]*product_sales_data__1[[#This Row],[UnitPrice]]*product_sales_data__1[[#This Row],[Discount]]</f>
        <v>242.28000000000003</v>
      </c>
    </row>
    <row r="161" spans="1:22" x14ac:dyDescent="0.3">
      <c r="A161" s="1" t="s">
        <v>97</v>
      </c>
      <c r="B161" s="1" t="s">
        <v>70</v>
      </c>
      <c r="C161" s="1" t="s">
        <v>35</v>
      </c>
      <c r="D161">
        <v>19</v>
      </c>
      <c r="E161" s="4">
        <v>191.44</v>
      </c>
      <c r="F161" s="1" t="s">
        <v>36</v>
      </c>
      <c r="G161" s="1" t="s">
        <v>24</v>
      </c>
      <c r="H161">
        <v>0.15</v>
      </c>
      <c r="I161" s="1" t="s">
        <v>46</v>
      </c>
      <c r="J161" s="4">
        <v>3091.76</v>
      </c>
      <c r="K161" s="1" t="s">
        <v>47</v>
      </c>
      <c r="L161" s="1" t="s">
        <v>27</v>
      </c>
      <c r="M161">
        <v>1</v>
      </c>
      <c r="N161" s="1" t="s">
        <v>624</v>
      </c>
      <c r="O161" s="1" t="s">
        <v>625</v>
      </c>
      <c r="P161" s="4">
        <v>35.54</v>
      </c>
      <c r="Q161" s="2">
        <v>45141</v>
      </c>
      <c r="R161" s="1" t="s">
        <v>626</v>
      </c>
      <c r="S161" s="1" t="s">
        <v>75</v>
      </c>
      <c r="T161" s="1" t="s">
        <v>82</v>
      </c>
      <c r="U161" s="5">
        <f>product_sales_data__1[[#This Row],[TotalPrice]]-product_sales_data__1[[#This Row],[ShippingCost]]</f>
        <v>3056.2200000000003</v>
      </c>
      <c r="V161" s="5">
        <f>product_sales_data__1[[#This Row],[Quantity]]*product_sales_data__1[[#This Row],[UnitPrice]]*product_sales_data__1[[#This Row],[Discount]]</f>
        <v>545.60400000000004</v>
      </c>
    </row>
    <row r="162" spans="1:22" x14ac:dyDescent="0.3">
      <c r="A162" s="1" t="s">
        <v>627</v>
      </c>
      <c r="B162" s="1" t="s">
        <v>54</v>
      </c>
      <c r="C162" s="1" t="s">
        <v>22</v>
      </c>
      <c r="D162">
        <v>5</v>
      </c>
      <c r="E162" s="4">
        <v>245.2</v>
      </c>
      <c r="F162" s="1" t="s">
        <v>23</v>
      </c>
      <c r="G162" s="1" t="s">
        <v>37</v>
      </c>
      <c r="H162">
        <v>0.15</v>
      </c>
      <c r="I162" s="1" t="s">
        <v>65</v>
      </c>
      <c r="J162" s="4">
        <v>1042.0999999999999</v>
      </c>
      <c r="K162" s="1" t="s">
        <v>26</v>
      </c>
      <c r="L162" s="1" t="s">
        <v>48</v>
      </c>
      <c r="M162">
        <v>0</v>
      </c>
      <c r="N162" s="1" t="s">
        <v>628</v>
      </c>
      <c r="O162" s="1" t="s">
        <v>629</v>
      </c>
      <c r="P162" s="4">
        <v>46.37</v>
      </c>
      <c r="Q162" s="2">
        <v>45327</v>
      </c>
      <c r="R162" s="1" t="s">
        <v>630</v>
      </c>
      <c r="S162" s="1" t="s">
        <v>62</v>
      </c>
      <c r="T162" s="1" t="s">
        <v>199</v>
      </c>
      <c r="U162" s="5">
        <f>product_sales_data__1[[#This Row],[TotalPrice]]-product_sales_data__1[[#This Row],[ShippingCost]]</f>
        <v>995.7299999999999</v>
      </c>
      <c r="V162" s="5">
        <f>product_sales_data__1[[#This Row],[Quantity]]*product_sales_data__1[[#This Row],[UnitPrice]]*product_sales_data__1[[#This Row],[Discount]]</f>
        <v>183.9</v>
      </c>
    </row>
    <row r="163" spans="1:22" x14ac:dyDescent="0.3">
      <c r="A163" s="1" t="s">
        <v>587</v>
      </c>
      <c r="B163" s="1" t="s">
        <v>21</v>
      </c>
      <c r="C163" s="1" t="s">
        <v>22</v>
      </c>
      <c r="D163">
        <v>16</v>
      </c>
      <c r="E163" s="4">
        <v>181.08</v>
      </c>
      <c r="F163" s="1" t="s">
        <v>36</v>
      </c>
      <c r="G163" s="1" t="s">
        <v>37</v>
      </c>
      <c r="H163">
        <v>0.1</v>
      </c>
      <c r="I163" s="1" t="s">
        <v>46</v>
      </c>
      <c r="J163" s="4">
        <v>2607.5500000000002</v>
      </c>
      <c r="K163" s="1" t="s">
        <v>26</v>
      </c>
      <c r="L163" s="1" t="s">
        <v>27</v>
      </c>
      <c r="M163">
        <v>0</v>
      </c>
      <c r="N163" s="1" t="s">
        <v>631</v>
      </c>
      <c r="O163" s="1" t="s">
        <v>632</v>
      </c>
      <c r="P163" s="4">
        <v>39.840000000000003</v>
      </c>
      <c r="Q163" s="2">
        <v>45057</v>
      </c>
      <c r="R163" s="1" t="s">
        <v>369</v>
      </c>
      <c r="S163" s="1" t="s">
        <v>31</v>
      </c>
      <c r="T163" s="1" t="s">
        <v>63</v>
      </c>
      <c r="U163" s="5">
        <f>product_sales_data__1[[#This Row],[TotalPrice]]-product_sales_data__1[[#This Row],[ShippingCost]]</f>
        <v>2567.71</v>
      </c>
      <c r="V163" s="5">
        <f>product_sales_data__1[[#This Row],[Quantity]]*product_sales_data__1[[#This Row],[UnitPrice]]*product_sales_data__1[[#This Row],[Discount]]</f>
        <v>289.72800000000001</v>
      </c>
    </row>
    <row r="164" spans="1:22" x14ac:dyDescent="0.3">
      <c r="A164" s="1" t="s">
        <v>633</v>
      </c>
      <c r="B164" s="1" t="s">
        <v>45</v>
      </c>
      <c r="C164" s="1" t="s">
        <v>71</v>
      </c>
      <c r="D164">
        <v>16</v>
      </c>
      <c r="E164" s="4">
        <v>442.22</v>
      </c>
      <c r="F164" s="1" t="s">
        <v>23</v>
      </c>
      <c r="G164" s="1" t="s">
        <v>37</v>
      </c>
      <c r="H164">
        <v>0</v>
      </c>
      <c r="I164" s="1" t="s">
        <v>25</v>
      </c>
      <c r="J164" s="4">
        <v>7075.52</v>
      </c>
      <c r="K164" s="1" t="s">
        <v>47</v>
      </c>
      <c r="L164" s="1" t="s">
        <v>85</v>
      </c>
      <c r="M164">
        <v>0</v>
      </c>
      <c r="N164" s="1" t="s">
        <v>634</v>
      </c>
      <c r="O164" s="1" t="s">
        <v>635</v>
      </c>
      <c r="P164" s="4">
        <v>27.36</v>
      </c>
      <c r="Q164" s="2">
        <v>45537</v>
      </c>
      <c r="R164" s="1" t="s">
        <v>636</v>
      </c>
      <c r="S164" s="1" t="s">
        <v>51</v>
      </c>
      <c r="T164" s="1" t="s">
        <v>52</v>
      </c>
      <c r="U164" s="5">
        <f>product_sales_data__1[[#This Row],[TotalPrice]]-product_sales_data__1[[#This Row],[ShippingCost]]</f>
        <v>7048.1600000000008</v>
      </c>
      <c r="V164" s="5">
        <f>product_sales_data__1[[#This Row],[Quantity]]*product_sales_data__1[[#This Row],[UnitPrice]]*product_sales_data__1[[#This Row],[Discount]]</f>
        <v>0</v>
      </c>
    </row>
    <row r="165" spans="1:22" x14ac:dyDescent="0.3">
      <c r="A165" s="1" t="s">
        <v>507</v>
      </c>
      <c r="B165" s="1" t="s">
        <v>45</v>
      </c>
      <c r="C165" s="1" t="s">
        <v>109</v>
      </c>
      <c r="D165">
        <v>7</v>
      </c>
      <c r="E165" s="4">
        <v>319.58999999999997</v>
      </c>
      <c r="F165" s="1" t="s">
        <v>36</v>
      </c>
      <c r="G165" s="1" t="s">
        <v>24</v>
      </c>
      <c r="H165">
        <v>0.15</v>
      </c>
      <c r="I165" s="1" t="s">
        <v>46</v>
      </c>
      <c r="J165" s="4">
        <v>1901.56</v>
      </c>
      <c r="K165" s="1" t="s">
        <v>57</v>
      </c>
      <c r="L165" s="1" t="s">
        <v>27</v>
      </c>
      <c r="M165">
        <v>1</v>
      </c>
      <c r="N165" s="1" t="s">
        <v>637</v>
      </c>
      <c r="O165" s="1" t="s">
        <v>638</v>
      </c>
      <c r="P165" s="4">
        <v>8.4700000000000006</v>
      </c>
      <c r="Q165" s="2">
        <v>45813</v>
      </c>
      <c r="R165" s="1" t="s">
        <v>639</v>
      </c>
      <c r="S165" s="1" t="s">
        <v>51</v>
      </c>
      <c r="T165" s="1" t="s">
        <v>105</v>
      </c>
      <c r="U165" s="5">
        <f>product_sales_data__1[[#This Row],[TotalPrice]]-product_sales_data__1[[#This Row],[ShippingCost]]</f>
        <v>1893.09</v>
      </c>
      <c r="V165" s="5">
        <f>product_sales_data__1[[#This Row],[Quantity]]*product_sales_data__1[[#This Row],[UnitPrice]]*product_sales_data__1[[#This Row],[Discount]]</f>
        <v>335.56949999999995</v>
      </c>
    </row>
    <row r="166" spans="1:22" x14ac:dyDescent="0.3">
      <c r="A166" s="1" t="s">
        <v>640</v>
      </c>
      <c r="B166" s="1" t="s">
        <v>34</v>
      </c>
      <c r="C166" s="1" t="s">
        <v>100</v>
      </c>
      <c r="D166">
        <v>18</v>
      </c>
      <c r="E166" s="4">
        <v>426.3</v>
      </c>
      <c r="F166" s="1" t="s">
        <v>84</v>
      </c>
      <c r="G166" s="1" t="s">
        <v>24</v>
      </c>
      <c r="H166">
        <v>0.15</v>
      </c>
      <c r="I166" s="1" t="s">
        <v>46</v>
      </c>
      <c r="J166" s="4">
        <v>6522.39</v>
      </c>
      <c r="K166" s="1" t="s">
        <v>101</v>
      </c>
      <c r="L166" s="1" t="s">
        <v>48</v>
      </c>
      <c r="M166">
        <v>1</v>
      </c>
      <c r="N166" s="1" t="s">
        <v>641</v>
      </c>
      <c r="O166" s="1" t="s">
        <v>642</v>
      </c>
      <c r="P166" s="4">
        <v>29.81</v>
      </c>
      <c r="Q166" s="2">
        <v>45027</v>
      </c>
      <c r="R166" s="1" t="s">
        <v>643</v>
      </c>
      <c r="S166" s="1" t="s">
        <v>42</v>
      </c>
      <c r="T166" s="1" t="s">
        <v>147</v>
      </c>
      <c r="U166" s="5">
        <f>product_sales_data__1[[#This Row],[TotalPrice]]-product_sales_data__1[[#This Row],[ShippingCost]]</f>
        <v>6492.58</v>
      </c>
      <c r="V166" s="5">
        <f>product_sales_data__1[[#This Row],[Quantity]]*product_sales_data__1[[#This Row],[UnitPrice]]*product_sales_data__1[[#This Row],[Discount]]</f>
        <v>1151.01</v>
      </c>
    </row>
    <row r="167" spans="1:22" x14ac:dyDescent="0.3">
      <c r="A167" s="1" t="s">
        <v>644</v>
      </c>
      <c r="B167" s="1" t="s">
        <v>21</v>
      </c>
      <c r="C167" s="1" t="s">
        <v>109</v>
      </c>
      <c r="D167">
        <v>19</v>
      </c>
      <c r="E167" s="4">
        <v>385.72</v>
      </c>
      <c r="F167" s="1" t="s">
        <v>84</v>
      </c>
      <c r="G167" s="1" t="s">
        <v>37</v>
      </c>
      <c r="H167">
        <v>0.05</v>
      </c>
      <c r="I167" s="1" t="s">
        <v>46</v>
      </c>
      <c r="J167" s="4">
        <v>6962.25</v>
      </c>
      <c r="K167" s="1" t="s">
        <v>47</v>
      </c>
      <c r="L167" s="1" t="s">
        <v>58</v>
      </c>
      <c r="M167">
        <v>1</v>
      </c>
      <c r="N167" s="1" t="s">
        <v>645</v>
      </c>
      <c r="O167" s="1" t="s">
        <v>646</v>
      </c>
      <c r="P167" s="4">
        <v>12.46</v>
      </c>
      <c r="Q167" s="2">
        <v>45332</v>
      </c>
      <c r="R167" s="1" t="s">
        <v>647</v>
      </c>
      <c r="S167" s="1" t="s">
        <v>31</v>
      </c>
      <c r="T167" s="1" t="s">
        <v>199</v>
      </c>
      <c r="U167" s="5">
        <f>product_sales_data__1[[#This Row],[TotalPrice]]-product_sales_data__1[[#This Row],[ShippingCost]]</f>
        <v>6949.79</v>
      </c>
      <c r="V167" s="5">
        <f>product_sales_data__1[[#This Row],[Quantity]]*product_sales_data__1[[#This Row],[UnitPrice]]*product_sales_data__1[[#This Row],[Discount]]</f>
        <v>366.43400000000003</v>
      </c>
    </row>
    <row r="168" spans="1:22" x14ac:dyDescent="0.3">
      <c r="A168" s="1" t="s">
        <v>648</v>
      </c>
      <c r="B168" s="1" t="s">
        <v>54</v>
      </c>
      <c r="C168" s="1" t="s">
        <v>109</v>
      </c>
      <c r="D168">
        <v>3</v>
      </c>
      <c r="E168" s="4">
        <v>54.37</v>
      </c>
      <c r="F168" s="1" t="s">
        <v>23</v>
      </c>
      <c r="G168" s="1" t="s">
        <v>24</v>
      </c>
      <c r="H168">
        <v>0.1</v>
      </c>
      <c r="I168" s="1" t="s">
        <v>56</v>
      </c>
      <c r="J168" s="4">
        <v>146.80000000000001</v>
      </c>
      <c r="K168" s="1" t="s">
        <v>101</v>
      </c>
      <c r="L168" s="1" t="s">
        <v>27</v>
      </c>
      <c r="M168">
        <v>0</v>
      </c>
      <c r="N168" s="1" t="s">
        <v>649</v>
      </c>
      <c r="O168" s="1" t="s">
        <v>650</v>
      </c>
      <c r="P168" s="4">
        <v>48.71</v>
      </c>
      <c r="Q168" s="2">
        <v>44991</v>
      </c>
      <c r="R168" s="1" t="s">
        <v>651</v>
      </c>
      <c r="S168" s="1" t="s">
        <v>62</v>
      </c>
      <c r="T168" s="1" t="s">
        <v>98</v>
      </c>
      <c r="U168" s="5">
        <f>product_sales_data__1[[#This Row],[TotalPrice]]-product_sales_data__1[[#This Row],[ShippingCost]]</f>
        <v>98.09</v>
      </c>
      <c r="V168" s="5">
        <f>product_sales_data__1[[#This Row],[Quantity]]*product_sales_data__1[[#This Row],[UnitPrice]]*product_sales_data__1[[#This Row],[Discount]]</f>
        <v>16.311</v>
      </c>
    </row>
    <row r="169" spans="1:22" x14ac:dyDescent="0.3">
      <c r="A169" s="1" t="s">
        <v>652</v>
      </c>
      <c r="B169" s="1" t="s">
        <v>70</v>
      </c>
      <c r="C169" s="1" t="s">
        <v>71</v>
      </c>
      <c r="D169">
        <v>6</v>
      </c>
      <c r="E169" s="4">
        <v>471.74</v>
      </c>
      <c r="F169" s="1" t="s">
        <v>36</v>
      </c>
      <c r="G169" s="1" t="s">
        <v>37</v>
      </c>
      <c r="H169">
        <v>0.15</v>
      </c>
      <c r="I169" s="1" t="s">
        <v>46</v>
      </c>
      <c r="J169" s="4">
        <v>2405.87</v>
      </c>
      <c r="K169" s="1" t="s">
        <v>26</v>
      </c>
      <c r="L169" s="1" t="s">
        <v>48</v>
      </c>
      <c r="M169">
        <v>0</v>
      </c>
      <c r="N169" s="1" t="s">
        <v>653</v>
      </c>
      <c r="O169" s="1" t="s">
        <v>654</v>
      </c>
      <c r="P169" s="4">
        <v>36.79</v>
      </c>
      <c r="Q169" s="2">
        <v>45208</v>
      </c>
      <c r="R169" s="1" t="s">
        <v>655</v>
      </c>
      <c r="S169" s="1" t="s">
        <v>75</v>
      </c>
      <c r="T169" s="1" t="s">
        <v>32</v>
      </c>
      <c r="U169" s="5">
        <f>product_sales_data__1[[#This Row],[TotalPrice]]-product_sales_data__1[[#This Row],[ShippingCost]]</f>
        <v>2369.08</v>
      </c>
      <c r="V169" s="5">
        <f>product_sales_data__1[[#This Row],[Quantity]]*product_sales_data__1[[#This Row],[UnitPrice]]*product_sales_data__1[[#This Row],[Discount]]</f>
        <v>424.56599999999997</v>
      </c>
    </row>
    <row r="170" spans="1:22" x14ac:dyDescent="0.3">
      <c r="A170" s="1" t="s">
        <v>656</v>
      </c>
      <c r="B170" s="1" t="s">
        <v>70</v>
      </c>
      <c r="C170" s="1" t="s">
        <v>100</v>
      </c>
      <c r="D170">
        <v>12</v>
      </c>
      <c r="E170" s="4">
        <v>148.66</v>
      </c>
      <c r="F170" s="1" t="s">
        <v>84</v>
      </c>
      <c r="G170" s="1" t="s">
        <v>24</v>
      </c>
      <c r="H170">
        <v>0</v>
      </c>
      <c r="I170" s="1" t="s">
        <v>78</v>
      </c>
      <c r="J170" s="4">
        <v>1783.92</v>
      </c>
      <c r="K170" s="1" t="s">
        <v>26</v>
      </c>
      <c r="L170" s="1" t="s">
        <v>48</v>
      </c>
      <c r="M170">
        <v>1</v>
      </c>
      <c r="N170" s="1" t="s">
        <v>657</v>
      </c>
      <c r="O170" s="1" t="s">
        <v>658</v>
      </c>
      <c r="P170" s="4">
        <v>27.16</v>
      </c>
      <c r="Q170" s="2">
        <v>45901</v>
      </c>
      <c r="R170" s="1" t="s">
        <v>659</v>
      </c>
      <c r="S170" s="1" t="s">
        <v>75</v>
      </c>
      <c r="T170" s="1" t="s">
        <v>52</v>
      </c>
      <c r="U170" s="5">
        <f>product_sales_data__1[[#This Row],[TotalPrice]]-product_sales_data__1[[#This Row],[ShippingCost]]</f>
        <v>1756.76</v>
      </c>
      <c r="V170" s="5">
        <f>product_sales_data__1[[#This Row],[Quantity]]*product_sales_data__1[[#This Row],[UnitPrice]]*product_sales_data__1[[#This Row],[Discount]]</f>
        <v>0</v>
      </c>
    </row>
    <row r="171" spans="1:22" x14ac:dyDescent="0.3">
      <c r="A171" s="1" t="s">
        <v>92</v>
      </c>
      <c r="B171" s="1" t="s">
        <v>54</v>
      </c>
      <c r="C171" s="1" t="s">
        <v>127</v>
      </c>
      <c r="D171">
        <v>3</v>
      </c>
      <c r="E171" s="4">
        <v>599.72</v>
      </c>
      <c r="F171" s="1" t="s">
        <v>55</v>
      </c>
      <c r="G171" s="1" t="s">
        <v>37</v>
      </c>
      <c r="H171">
        <v>0.15</v>
      </c>
      <c r="I171" s="1" t="s">
        <v>25</v>
      </c>
      <c r="J171" s="4">
        <v>1529.29</v>
      </c>
      <c r="K171" s="1" t="s">
        <v>26</v>
      </c>
      <c r="L171" s="1" t="s">
        <v>27</v>
      </c>
      <c r="M171">
        <v>1</v>
      </c>
      <c r="N171" s="1" t="s">
        <v>660</v>
      </c>
      <c r="O171" s="1" t="s">
        <v>661</v>
      </c>
      <c r="P171" s="4">
        <v>14.93</v>
      </c>
      <c r="Q171" s="2">
        <v>45875</v>
      </c>
      <c r="R171" s="1" t="s">
        <v>232</v>
      </c>
      <c r="S171" s="1" t="s">
        <v>62</v>
      </c>
      <c r="T171" s="1" t="s">
        <v>82</v>
      </c>
      <c r="U171" s="5">
        <f>product_sales_data__1[[#This Row],[TotalPrice]]-product_sales_data__1[[#This Row],[ShippingCost]]</f>
        <v>1514.36</v>
      </c>
      <c r="V171" s="5">
        <f>product_sales_data__1[[#This Row],[Quantity]]*product_sales_data__1[[#This Row],[UnitPrice]]*product_sales_data__1[[#This Row],[Discount]]</f>
        <v>269.87400000000002</v>
      </c>
    </row>
    <row r="172" spans="1:22" x14ac:dyDescent="0.3">
      <c r="A172" s="1" t="s">
        <v>640</v>
      </c>
      <c r="B172" s="1" t="s">
        <v>21</v>
      </c>
      <c r="C172" s="1" t="s">
        <v>140</v>
      </c>
      <c r="D172">
        <v>13</v>
      </c>
      <c r="E172" s="4">
        <v>179.37</v>
      </c>
      <c r="F172" s="1" t="s">
        <v>84</v>
      </c>
      <c r="G172" s="1" t="s">
        <v>37</v>
      </c>
      <c r="H172">
        <v>0.05</v>
      </c>
      <c r="I172" s="1" t="s">
        <v>65</v>
      </c>
      <c r="J172" s="4">
        <v>2215.2199999999998</v>
      </c>
      <c r="K172" s="1" t="s">
        <v>26</v>
      </c>
      <c r="L172" s="1" t="s">
        <v>85</v>
      </c>
      <c r="M172">
        <v>0</v>
      </c>
      <c r="N172" s="1" t="s">
        <v>662</v>
      </c>
      <c r="O172" s="1" t="s">
        <v>663</v>
      </c>
      <c r="P172" s="4">
        <v>35.28</v>
      </c>
      <c r="Q172" s="2">
        <v>45027</v>
      </c>
      <c r="R172" s="1" t="s">
        <v>590</v>
      </c>
      <c r="S172" s="1" t="s">
        <v>31</v>
      </c>
      <c r="T172" s="1" t="s">
        <v>147</v>
      </c>
      <c r="U172" s="5">
        <f>product_sales_data__1[[#This Row],[TotalPrice]]-product_sales_data__1[[#This Row],[ShippingCost]]</f>
        <v>2179.9399999999996</v>
      </c>
      <c r="V172" s="5">
        <f>product_sales_data__1[[#This Row],[Quantity]]*product_sales_data__1[[#This Row],[UnitPrice]]*product_sales_data__1[[#This Row],[Discount]]</f>
        <v>116.59050000000001</v>
      </c>
    </row>
    <row r="173" spans="1:22" x14ac:dyDescent="0.3">
      <c r="A173" s="1" t="s">
        <v>89</v>
      </c>
      <c r="B173" s="1" t="s">
        <v>70</v>
      </c>
      <c r="C173" s="1" t="s">
        <v>140</v>
      </c>
      <c r="D173">
        <v>19</v>
      </c>
      <c r="E173" s="4">
        <v>491.15</v>
      </c>
      <c r="F173" s="1" t="s">
        <v>36</v>
      </c>
      <c r="G173" s="1" t="s">
        <v>37</v>
      </c>
      <c r="H173">
        <v>0</v>
      </c>
      <c r="I173" s="1" t="s">
        <v>56</v>
      </c>
      <c r="J173" s="4">
        <v>9331.85</v>
      </c>
      <c r="K173" s="1" t="s">
        <v>26</v>
      </c>
      <c r="L173" s="1" t="s">
        <v>48</v>
      </c>
      <c r="M173">
        <v>0</v>
      </c>
      <c r="N173" s="1" t="s">
        <v>664</v>
      </c>
      <c r="O173" s="1" t="s">
        <v>665</v>
      </c>
      <c r="P173" s="4">
        <v>48.68</v>
      </c>
      <c r="Q173" s="2">
        <v>45783</v>
      </c>
      <c r="R173" s="1" t="s">
        <v>250</v>
      </c>
      <c r="S173" s="1" t="s">
        <v>75</v>
      </c>
      <c r="T173" s="1" t="s">
        <v>63</v>
      </c>
      <c r="U173" s="5">
        <f>product_sales_data__1[[#This Row],[TotalPrice]]-product_sales_data__1[[#This Row],[ShippingCost]]</f>
        <v>9283.17</v>
      </c>
      <c r="V173" s="5">
        <f>product_sales_data__1[[#This Row],[Quantity]]*product_sales_data__1[[#This Row],[UnitPrice]]*product_sales_data__1[[#This Row],[Discount]]</f>
        <v>0</v>
      </c>
    </row>
    <row r="174" spans="1:22" x14ac:dyDescent="0.3">
      <c r="A174" s="1" t="s">
        <v>420</v>
      </c>
      <c r="B174" s="1" t="s">
        <v>34</v>
      </c>
      <c r="C174" s="1" t="s">
        <v>22</v>
      </c>
      <c r="D174">
        <v>3</v>
      </c>
      <c r="E174" s="4">
        <v>599.41999999999996</v>
      </c>
      <c r="F174" s="1" t="s">
        <v>84</v>
      </c>
      <c r="G174" s="1" t="s">
        <v>24</v>
      </c>
      <c r="H174">
        <v>0.1</v>
      </c>
      <c r="I174" s="1" t="s">
        <v>94</v>
      </c>
      <c r="J174" s="4">
        <v>1618.43</v>
      </c>
      <c r="K174" s="1" t="s">
        <v>26</v>
      </c>
      <c r="L174" s="1" t="s">
        <v>58</v>
      </c>
      <c r="M174">
        <v>0</v>
      </c>
      <c r="N174" s="1" t="s">
        <v>666</v>
      </c>
      <c r="O174" s="1" t="s">
        <v>667</v>
      </c>
      <c r="P174" s="4">
        <v>48.02</v>
      </c>
      <c r="Q174" s="2">
        <v>45292</v>
      </c>
      <c r="R174" s="1" t="s">
        <v>281</v>
      </c>
      <c r="S174" s="1" t="s">
        <v>42</v>
      </c>
      <c r="T174" s="1" t="s">
        <v>187</v>
      </c>
      <c r="U174" s="5">
        <f>product_sales_data__1[[#This Row],[TotalPrice]]-product_sales_data__1[[#This Row],[ShippingCost]]</f>
        <v>1570.41</v>
      </c>
      <c r="V174" s="5">
        <f>product_sales_data__1[[#This Row],[Quantity]]*product_sales_data__1[[#This Row],[UnitPrice]]*product_sales_data__1[[#This Row],[Discount]]</f>
        <v>179.82599999999999</v>
      </c>
    </row>
    <row r="175" spans="1:22" x14ac:dyDescent="0.3">
      <c r="A175" s="1" t="s">
        <v>668</v>
      </c>
      <c r="B175" s="1" t="s">
        <v>54</v>
      </c>
      <c r="C175" s="1" t="s">
        <v>100</v>
      </c>
      <c r="D175">
        <v>1</v>
      </c>
      <c r="E175" s="4">
        <v>374.33</v>
      </c>
      <c r="F175" s="1" t="s">
        <v>23</v>
      </c>
      <c r="G175" s="1" t="s">
        <v>24</v>
      </c>
      <c r="H175">
        <v>0</v>
      </c>
      <c r="I175" s="1" t="s">
        <v>46</v>
      </c>
      <c r="J175" s="4">
        <v>374.33</v>
      </c>
      <c r="K175" s="1" t="s">
        <v>101</v>
      </c>
      <c r="L175" s="1" t="s">
        <v>85</v>
      </c>
      <c r="M175">
        <v>0</v>
      </c>
      <c r="N175" s="1" t="s">
        <v>669</v>
      </c>
      <c r="O175" s="1" t="s">
        <v>670</v>
      </c>
      <c r="P175" s="4">
        <v>33.31</v>
      </c>
      <c r="Q175" s="2">
        <v>45689</v>
      </c>
      <c r="R175" s="1" t="s">
        <v>207</v>
      </c>
      <c r="S175" s="1" t="s">
        <v>62</v>
      </c>
      <c r="T175" s="1" t="s">
        <v>199</v>
      </c>
      <c r="U175" s="5">
        <f>product_sales_data__1[[#This Row],[TotalPrice]]-product_sales_data__1[[#This Row],[ShippingCost]]</f>
        <v>341.02</v>
      </c>
      <c r="V175" s="5">
        <f>product_sales_data__1[[#This Row],[Quantity]]*product_sales_data__1[[#This Row],[UnitPrice]]*product_sales_data__1[[#This Row],[Discount]]</f>
        <v>0</v>
      </c>
    </row>
    <row r="176" spans="1:22" x14ac:dyDescent="0.3">
      <c r="A176" s="1" t="s">
        <v>671</v>
      </c>
      <c r="B176" s="1" t="s">
        <v>54</v>
      </c>
      <c r="C176" s="1" t="s">
        <v>127</v>
      </c>
      <c r="D176">
        <v>13</v>
      </c>
      <c r="E176" s="4">
        <v>198.44</v>
      </c>
      <c r="F176" s="1" t="s">
        <v>55</v>
      </c>
      <c r="G176" s="1" t="s">
        <v>24</v>
      </c>
      <c r="H176">
        <v>0</v>
      </c>
      <c r="I176" s="1" t="s">
        <v>46</v>
      </c>
      <c r="J176" s="4">
        <v>2579.7199999999998</v>
      </c>
      <c r="K176" s="1" t="s">
        <v>47</v>
      </c>
      <c r="L176" s="1" t="s">
        <v>58</v>
      </c>
      <c r="M176">
        <v>1</v>
      </c>
      <c r="N176" s="1" t="s">
        <v>672</v>
      </c>
      <c r="O176" s="1" t="s">
        <v>673</v>
      </c>
      <c r="P176" s="4">
        <v>31.51</v>
      </c>
      <c r="Q176" s="2">
        <v>45387</v>
      </c>
      <c r="R176" s="1" t="s">
        <v>674</v>
      </c>
      <c r="S176" s="1" t="s">
        <v>62</v>
      </c>
      <c r="T176" s="1" t="s">
        <v>147</v>
      </c>
      <c r="U176" s="5">
        <f>product_sales_data__1[[#This Row],[TotalPrice]]-product_sales_data__1[[#This Row],[ShippingCost]]</f>
        <v>2548.2099999999996</v>
      </c>
      <c r="V176" s="5">
        <f>product_sales_data__1[[#This Row],[Quantity]]*product_sales_data__1[[#This Row],[UnitPrice]]*product_sales_data__1[[#This Row],[Discount]]</f>
        <v>0</v>
      </c>
    </row>
    <row r="177" spans="1:22" x14ac:dyDescent="0.3">
      <c r="A177" s="1" t="s">
        <v>675</v>
      </c>
      <c r="B177" s="1" t="s">
        <v>54</v>
      </c>
      <c r="C177" s="1" t="s">
        <v>140</v>
      </c>
      <c r="D177">
        <v>1</v>
      </c>
      <c r="E177" s="4">
        <v>268.19</v>
      </c>
      <c r="F177" s="1" t="s">
        <v>23</v>
      </c>
      <c r="G177" s="1" t="s">
        <v>24</v>
      </c>
      <c r="H177">
        <v>0.1</v>
      </c>
      <c r="I177" s="1" t="s">
        <v>46</v>
      </c>
      <c r="J177" s="4">
        <v>241.37</v>
      </c>
      <c r="K177" s="1" t="s">
        <v>57</v>
      </c>
      <c r="L177" s="1" t="s">
        <v>27</v>
      </c>
      <c r="M177">
        <v>0</v>
      </c>
      <c r="N177" s="1" t="s">
        <v>676</v>
      </c>
      <c r="O177" s="1" t="s">
        <v>677</v>
      </c>
      <c r="P177" s="4">
        <v>9.48</v>
      </c>
      <c r="Q177" s="2">
        <v>45028</v>
      </c>
      <c r="R177" s="1" t="s">
        <v>678</v>
      </c>
      <c r="S177" s="1" t="s">
        <v>62</v>
      </c>
      <c r="T177" s="1" t="s">
        <v>147</v>
      </c>
      <c r="U177" s="5">
        <f>product_sales_data__1[[#This Row],[TotalPrice]]-product_sales_data__1[[#This Row],[ShippingCost]]</f>
        <v>231.89000000000001</v>
      </c>
      <c r="V177" s="5">
        <f>product_sales_data__1[[#This Row],[Quantity]]*product_sales_data__1[[#This Row],[UnitPrice]]*product_sales_data__1[[#This Row],[Discount]]</f>
        <v>26.819000000000003</v>
      </c>
    </row>
    <row r="178" spans="1:22" x14ac:dyDescent="0.3">
      <c r="A178" s="1" t="s">
        <v>168</v>
      </c>
      <c r="B178" s="1" t="s">
        <v>70</v>
      </c>
      <c r="C178" s="1" t="s">
        <v>71</v>
      </c>
      <c r="D178">
        <v>15</v>
      </c>
      <c r="E178" s="4">
        <v>13.66</v>
      </c>
      <c r="F178" s="1" t="s">
        <v>23</v>
      </c>
      <c r="G178" s="1" t="s">
        <v>37</v>
      </c>
      <c r="H178">
        <v>0.1</v>
      </c>
      <c r="I178" s="1" t="s">
        <v>25</v>
      </c>
      <c r="J178" s="4">
        <v>184.41</v>
      </c>
      <c r="K178" s="1" t="s">
        <v>38</v>
      </c>
      <c r="L178" s="1" t="s">
        <v>85</v>
      </c>
      <c r="M178">
        <v>0</v>
      </c>
      <c r="N178" s="1" t="s">
        <v>679</v>
      </c>
      <c r="O178" s="1" t="s">
        <v>680</v>
      </c>
      <c r="P178" s="4">
        <v>38.04</v>
      </c>
      <c r="Q178" s="2">
        <v>45967</v>
      </c>
      <c r="R178" s="1" t="s">
        <v>681</v>
      </c>
      <c r="S178" s="1" t="s">
        <v>75</v>
      </c>
      <c r="T178" s="1" t="s">
        <v>43</v>
      </c>
      <c r="U178" s="5">
        <f>product_sales_data__1[[#This Row],[TotalPrice]]-product_sales_data__1[[#This Row],[ShippingCost]]</f>
        <v>146.37</v>
      </c>
      <c r="V178" s="5">
        <f>product_sales_data__1[[#This Row],[Quantity]]*product_sales_data__1[[#This Row],[UnitPrice]]*product_sales_data__1[[#This Row],[Discount]]</f>
        <v>20.490000000000002</v>
      </c>
    </row>
    <row r="179" spans="1:22" x14ac:dyDescent="0.3">
      <c r="A179" s="1" t="s">
        <v>682</v>
      </c>
      <c r="B179" s="1" t="s">
        <v>70</v>
      </c>
      <c r="C179" s="1" t="s">
        <v>35</v>
      </c>
      <c r="D179">
        <v>11</v>
      </c>
      <c r="E179" s="4">
        <v>495.03</v>
      </c>
      <c r="F179" s="1" t="s">
        <v>55</v>
      </c>
      <c r="G179" s="1" t="s">
        <v>24</v>
      </c>
      <c r="H179">
        <v>0.15</v>
      </c>
      <c r="I179" s="1" t="s">
        <v>56</v>
      </c>
      <c r="J179" s="4">
        <v>4628.53</v>
      </c>
      <c r="K179" s="1" t="s">
        <v>47</v>
      </c>
      <c r="L179" s="1" t="s">
        <v>27</v>
      </c>
      <c r="M179">
        <v>0</v>
      </c>
      <c r="N179" s="1" t="s">
        <v>683</v>
      </c>
      <c r="O179" s="1" t="s">
        <v>684</v>
      </c>
      <c r="P179" s="4">
        <v>27.37</v>
      </c>
      <c r="Q179" s="2">
        <v>44997</v>
      </c>
      <c r="R179" s="1" t="s">
        <v>685</v>
      </c>
      <c r="S179" s="1" t="s">
        <v>75</v>
      </c>
      <c r="T179" s="1" t="s">
        <v>98</v>
      </c>
      <c r="U179" s="5">
        <f>product_sales_data__1[[#This Row],[TotalPrice]]-product_sales_data__1[[#This Row],[ShippingCost]]</f>
        <v>4601.16</v>
      </c>
      <c r="V179" s="5">
        <f>product_sales_data__1[[#This Row],[Quantity]]*product_sales_data__1[[#This Row],[UnitPrice]]*product_sales_data__1[[#This Row],[Discount]]</f>
        <v>816.79949999999997</v>
      </c>
    </row>
    <row r="180" spans="1:22" x14ac:dyDescent="0.3">
      <c r="A180" s="1" t="s">
        <v>686</v>
      </c>
      <c r="B180" s="1" t="s">
        <v>45</v>
      </c>
      <c r="C180" s="1" t="s">
        <v>100</v>
      </c>
      <c r="D180">
        <v>9</v>
      </c>
      <c r="E180" s="4">
        <v>146.72</v>
      </c>
      <c r="F180" s="1" t="s">
        <v>84</v>
      </c>
      <c r="G180" s="1" t="s">
        <v>24</v>
      </c>
      <c r="H180">
        <v>0.1</v>
      </c>
      <c r="I180" s="1" t="s">
        <v>78</v>
      </c>
      <c r="J180" s="4">
        <v>1188.43</v>
      </c>
      <c r="K180" s="1" t="s">
        <v>101</v>
      </c>
      <c r="L180" s="1" t="s">
        <v>48</v>
      </c>
      <c r="M180">
        <v>0</v>
      </c>
      <c r="N180" s="1" t="s">
        <v>687</v>
      </c>
      <c r="O180" s="1" t="s">
        <v>688</v>
      </c>
      <c r="P180" s="4">
        <v>10.45</v>
      </c>
      <c r="Q180" s="2">
        <v>44967</v>
      </c>
      <c r="R180" s="1" t="s">
        <v>689</v>
      </c>
      <c r="S180" s="1" t="s">
        <v>51</v>
      </c>
      <c r="T180" s="1" t="s">
        <v>199</v>
      </c>
      <c r="U180" s="5">
        <f>product_sales_data__1[[#This Row],[TotalPrice]]-product_sales_data__1[[#This Row],[ShippingCost]]</f>
        <v>1177.98</v>
      </c>
      <c r="V180" s="5">
        <f>product_sales_data__1[[#This Row],[Quantity]]*product_sales_data__1[[#This Row],[UnitPrice]]*product_sales_data__1[[#This Row],[Discount]]</f>
        <v>132.048</v>
      </c>
    </row>
    <row r="181" spans="1:22" x14ac:dyDescent="0.3">
      <c r="A181" s="1" t="s">
        <v>587</v>
      </c>
      <c r="B181" s="1" t="s">
        <v>70</v>
      </c>
      <c r="C181" s="1" t="s">
        <v>22</v>
      </c>
      <c r="D181">
        <v>12</v>
      </c>
      <c r="E181" s="4">
        <v>159.85</v>
      </c>
      <c r="F181" s="1" t="s">
        <v>55</v>
      </c>
      <c r="G181" s="1" t="s">
        <v>37</v>
      </c>
      <c r="H181">
        <v>0.1</v>
      </c>
      <c r="I181" s="1" t="s">
        <v>25</v>
      </c>
      <c r="J181" s="4">
        <v>1726.38</v>
      </c>
      <c r="K181" s="1" t="s">
        <v>47</v>
      </c>
      <c r="L181" s="1" t="s">
        <v>27</v>
      </c>
      <c r="M181">
        <v>0</v>
      </c>
      <c r="N181" s="1" t="s">
        <v>690</v>
      </c>
      <c r="O181" s="1" t="s">
        <v>691</v>
      </c>
      <c r="P181" s="4">
        <v>32.61</v>
      </c>
      <c r="Q181" s="2">
        <v>45057</v>
      </c>
      <c r="R181" s="1" t="s">
        <v>692</v>
      </c>
      <c r="S181" s="1" t="s">
        <v>75</v>
      </c>
      <c r="T181" s="1" t="s">
        <v>63</v>
      </c>
      <c r="U181" s="5">
        <f>product_sales_data__1[[#This Row],[TotalPrice]]-product_sales_data__1[[#This Row],[ShippingCost]]</f>
        <v>1693.7700000000002</v>
      </c>
      <c r="V181" s="5">
        <f>product_sales_data__1[[#This Row],[Quantity]]*product_sales_data__1[[#This Row],[UnitPrice]]*product_sales_data__1[[#This Row],[Discount]]</f>
        <v>191.82</v>
      </c>
    </row>
    <row r="182" spans="1:22" x14ac:dyDescent="0.3">
      <c r="A182" s="1" t="s">
        <v>693</v>
      </c>
      <c r="B182" s="1" t="s">
        <v>70</v>
      </c>
      <c r="C182" s="1" t="s">
        <v>127</v>
      </c>
      <c r="D182">
        <v>15</v>
      </c>
      <c r="E182" s="4">
        <v>405.95</v>
      </c>
      <c r="F182" s="1" t="s">
        <v>55</v>
      </c>
      <c r="G182" s="1" t="s">
        <v>24</v>
      </c>
      <c r="H182">
        <v>0.15</v>
      </c>
      <c r="I182" s="1" t="s">
        <v>65</v>
      </c>
      <c r="J182" s="4">
        <v>5175.8599999999997</v>
      </c>
      <c r="K182" s="1" t="s">
        <v>57</v>
      </c>
      <c r="L182" s="1" t="s">
        <v>48</v>
      </c>
      <c r="M182">
        <v>0</v>
      </c>
      <c r="N182" s="1" t="s">
        <v>694</v>
      </c>
      <c r="O182" s="1" t="s">
        <v>695</v>
      </c>
      <c r="P182" s="4">
        <v>32.04</v>
      </c>
      <c r="Q182" s="2">
        <v>45416</v>
      </c>
      <c r="R182" s="1" t="s">
        <v>64</v>
      </c>
      <c r="S182" s="1" t="s">
        <v>75</v>
      </c>
      <c r="T182" s="1" t="s">
        <v>63</v>
      </c>
      <c r="U182" s="5">
        <f>product_sales_data__1[[#This Row],[TotalPrice]]-product_sales_data__1[[#This Row],[ShippingCost]]</f>
        <v>5143.82</v>
      </c>
      <c r="V182" s="5">
        <f>product_sales_data__1[[#This Row],[Quantity]]*product_sales_data__1[[#This Row],[UnitPrice]]*product_sales_data__1[[#This Row],[Discount]]</f>
        <v>913.38749999999993</v>
      </c>
    </row>
    <row r="183" spans="1:22" x14ac:dyDescent="0.3">
      <c r="A183" s="1" t="s">
        <v>93</v>
      </c>
      <c r="B183" s="1" t="s">
        <v>54</v>
      </c>
      <c r="C183" s="1" t="s">
        <v>100</v>
      </c>
      <c r="D183">
        <v>13</v>
      </c>
      <c r="E183" s="4">
        <v>522.97</v>
      </c>
      <c r="F183" s="1" t="s">
        <v>36</v>
      </c>
      <c r="G183" s="1" t="s">
        <v>37</v>
      </c>
      <c r="H183">
        <v>0.15</v>
      </c>
      <c r="I183" s="1" t="s">
        <v>46</v>
      </c>
      <c r="J183" s="4">
        <v>5778.82</v>
      </c>
      <c r="K183" s="1" t="s">
        <v>38</v>
      </c>
      <c r="L183" s="1" t="s">
        <v>85</v>
      </c>
      <c r="M183">
        <v>0</v>
      </c>
      <c r="N183" s="1" t="s">
        <v>696</v>
      </c>
      <c r="O183" s="1" t="s">
        <v>697</v>
      </c>
      <c r="P183" s="4">
        <v>33.9</v>
      </c>
      <c r="Q183" s="2">
        <v>44988</v>
      </c>
      <c r="R183" s="1" t="s">
        <v>698</v>
      </c>
      <c r="S183" s="1" t="s">
        <v>62</v>
      </c>
      <c r="T183" s="1" t="s">
        <v>98</v>
      </c>
      <c r="U183" s="5">
        <f>product_sales_data__1[[#This Row],[TotalPrice]]-product_sales_data__1[[#This Row],[ShippingCost]]</f>
        <v>5744.92</v>
      </c>
      <c r="V183" s="5">
        <f>product_sales_data__1[[#This Row],[Quantity]]*product_sales_data__1[[#This Row],[UnitPrice]]*product_sales_data__1[[#This Row],[Discount]]</f>
        <v>1019.7915</v>
      </c>
    </row>
    <row r="184" spans="1:22" x14ac:dyDescent="0.3">
      <c r="A184" s="1" t="s">
        <v>699</v>
      </c>
      <c r="B184" s="1" t="s">
        <v>54</v>
      </c>
      <c r="C184" s="1" t="s">
        <v>100</v>
      </c>
      <c r="D184">
        <v>9</v>
      </c>
      <c r="E184" s="4">
        <v>596.83000000000004</v>
      </c>
      <c r="F184" s="1" t="s">
        <v>84</v>
      </c>
      <c r="G184" s="1" t="s">
        <v>37</v>
      </c>
      <c r="H184">
        <v>0</v>
      </c>
      <c r="I184" s="1" t="s">
        <v>65</v>
      </c>
      <c r="J184" s="4">
        <v>5371.47</v>
      </c>
      <c r="K184" s="1" t="s">
        <v>47</v>
      </c>
      <c r="L184" s="1" t="s">
        <v>27</v>
      </c>
      <c r="M184">
        <v>0</v>
      </c>
      <c r="N184" s="1" t="s">
        <v>700</v>
      </c>
      <c r="O184" s="1" t="s">
        <v>701</v>
      </c>
      <c r="P184" s="4">
        <v>6.43</v>
      </c>
      <c r="Q184" s="2">
        <v>45606</v>
      </c>
      <c r="R184" s="1" t="s">
        <v>702</v>
      </c>
      <c r="S184" s="1" t="s">
        <v>62</v>
      </c>
      <c r="T184" s="1" t="s">
        <v>43</v>
      </c>
      <c r="U184" s="5">
        <f>product_sales_data__1[[#This Row],[TotalPrice]]-product_sales_data__1[[#This Row],[ShippingCost]]</f>
        <v>5365.04</v>
      </c>
      <c r="V184" s="5">
        <f>product_sales_data__1[[#This Row],[Quantity]]*product_sales_data__1[[#This Row],[UnitPrice]]*product_sales_data__1[[#This Row],[Discount]]</f>
        <v>0</v>
      </c>
    </row>
    <row r="185" spans="1:22" x14ac:dyDescent="0.3">
      <c r="A185" s="1" t="s">
        <v>537</v>
      </c>
      <c r="B185" s="1" t="s">
        <v>21</v>
      </c>
      <c r="C185" s="1" t="s">
        <v>100</v>
      </c>
      <c r="D185">
        <v>18</v>
      </c>
      <c r="E185" s="4">
        <v>414.77</v>
      </c>
      <c r="F185" s="1" t="s">
        <v>36</v>
      </c>
      <c r="G185" s="1" t="s">
        <v>24</v>
      </c>
      <c r="H185">
        <v>0.1</v>
      </c>
      <c r="I185" s="1" t="s">
        <v>65</v>
      </c>
      <c r="J185" s="4">
        <v>6719.27</v>
      </c>
      <c r="K185" s="1" t="s">
        <v>101</v>
      </c>
      <c r="L185" s="1" t="s">
        <v>48</v>
      </c>
      <c r="M185">
        <v>1</v>
      </c>
      <c r="N185" s="1" t="s">
        <v>703</v>
      </c>
      <c r="O185" s="1" t="s">
        <v>704</v>
      </c>
      <c r="P185" s="4">
        <v>28.55</v>
      </c>
      <c r="Q185" s="2">
        <v>45082</v>
      </c>
      <c r="R185" s="1" t="s">
        <v>705</v>
      </c>
      <c r="S185" s="1" t="s">
        <v>31</v>
      </c>
      <c r="T185" s="1" t="s">
        <v>105</v>
      </c>
      <c r="U185" s="5">
        <f>product_sales_data__1[[#This Row],[TotalPrice]]-product_sales_data__1[[#This Row],[ShippingCost]]</f>
        <v>6690.72</v>
      </c>
      <c r="V185" s="5">
        <f>product_sales_data__1[[#This Row],[Quantity]]*product_sales_data__1[[#This Row],[UnitPrice]]*product_sales_data__1[[#This Row],[Discount]]</f>
        <v>746.58600000000001</v>
      </c>
    </row>
    <row r="186" spans="1:22" x14ac:dyDescent="0.3">
      <c r="A186" s="1" t="s">
        <v>83</v>
      </c>
      <c r="B186" s="1" t="s">
        <v>45</v>
      </c>
      <c r="C186" s="1" t="s">
        <v>127</v>
      </c>
      <c r="D186">
        <v>5</v>
      </c>
      <c r="E186" s="4">
        <v>136.13</v>
      </c>
      <c r="F186" s="1" t="s">
        <v>36</v>
      </c>
      <c r="G186" s="1" t="s">
        <v>37</v>
      </c>
      <c r="H186">
        <v>0.15</v>
      </c>
      <c r="I186" s="1" t="s">
        <v>46</v>
      </c>
      <c r="J186" s="4">
        <v>578.54999999999995</v>
      </c>
      <c r="K186" s="1" t="s">
        <v>26</v>
      </c>
      <c r="L186" s="1" t="s">
        <v>48</v>
      </c>
      <c r="M186">
        <v>0</v>
      </c>
      <c r="N186" s="1" t="s">
        <v>706</v>
      </c>
      <c r="O186" s="1" t="s">
        <v>707</v>
      </c>
      <c r="P186" s="4">
        <v>10.02</v>
      </c>
      <c r="Q186" s="2">
        <v>45966</v>
      </c>
      <c r="R186" s="1" t="s">
        <v>708</v>
      </c>
      <c r="S186" s="1" t="s">
        <v>51</v>
      </c>
      <c r="T186" s="1" t="s">
        <v>43</v>
      </c>
      <c r="U186" s="5">
        <f>product_sales_data__1[[#This Row],[TotalPrice]]-product_sales_data__1[[#This Row],[ShippingCost]]</f>
        <v>568.53</v>
      </c>
      <c r="V186" s="5">
        <f>product_sales_data__1[[#This Row],[Quantity]]*product_sales_data__1[[#This Row],[UnitPrice]]*product_sales_data__1[[#This Row],[Discount]]</f>
        <v>102.0975</v>
      </c>
    </row>
    <row r="187" spans="1:22" x14ac:dyDescent="0.3">
      <c r="A187" s="1" t="s">
        <v>540</v>
      </c>
      <c r="B187" s="1" t="s">
        <v>70</v>
      </c>
      <c r="C187" s="1" t="s">
        <v>100</v>
      </c>
      <c r="D187">
        <v>6</v>
      </c>
      <c r="E187" s="4">
        <v>138.26</v>
      </c>
      <c r="F187" s="1" t="s">
        <v>23</v>
      </c>
      <c r="G187" s="1" t="s">
        <v>37</v>
      </c>
      <c r="H187">
        <v>0.15</v>
      </c>
      <c r="I187" s="1" t="s">
        <v>65</v>
      </c>
      <c r="J187" s="4">
        <v>705.13</v>
      </c>
      <c r="K187" s="1" t="s">
        <v>26</v>
      </c>
      <c r="L187" s="1" t="s">
        <v>48</v>
      </c>
      <c r="M187">
        <v>1</v>
      </c>
      <c r="N187" s="1" t="s">
        <v>709</v>
      </c>
      <c r="O187" s="1" t="s">
        <v>710</v>
      </c>
      <c r="P187" s="4">
        <v>31.4</v>
      </c>
      <c r="Q187" s="2">
        <v>45964</v>
      </c>
      <c r="R187" s="1" t="s">
        <v>61</v>
      </c>
      <c r="S187" s="1" t="s">
        <v>75</v>
      </c>
      <c r="T187" s="1" t="s">
        <v>43</v>
      </c>
      <c r="U187" s="5">
        <f>product_sales_data__1[[#This Row],[TotalPrice]]-product_sales_data__1[[#This Row],[ShippingCost]]</f>
        <v>673.73</v>
      </c>
      <c r="V187" s="5">
        <f>product_sales_data__1[[#This Row],[Quantity]]*product_sales_data__1[[#This Row],[UnitPrice]]*product_sales_data__1[[#This Row],[Discount]]</f>
        <v>124.43399999999998</v>
      </c>
    </row>
    <row r="188" spans="1:22" x14ac:dyDescent="0.3">
      <c r="A188" s="1" t="s">
        <v>711</v>
      </c>
      <c r="B188" s="1" t="s">
        <v>21</v>
      </c>
      <c r="C188" s="1" t="s">
        <v>35</v>
      </c>
      <c r="D188">
        <v>20</v>
      </c>
      <c r="E188" s="4">
        <v>427.3</v>
      </c>
      <c r="F188" s="1" t="s">
        <v>36</v>
      </c>
      <c r="G188" s="1" t="s">
        <v>24</v>
      </c>
      <c r="H188">
        <v>0.05</v>
      </c>
      <c r="I188" s="1" t="s">
        <v>56</v>
      </c>
      <c r="J188" s="4">
        <v>8118.7</v>
      </c>
      <c r="K188" s="1" t="s">
        <v>57</v>
      </c>
      <c r="L188" s="1" t="s">
        <v>85</v>
      </c>
      <c r="M188">
        <v>1</v>
      </c>
      <c r="N188" s="1" t="s">
        <v>712</v>
      </c>
      <c r="O188" s="1" t="s">
        <v>713</v>
      </c>
      <c r="P188" s="4">
        <v>25.19</v>
      </c>
      <c r="Q188" s="2">
        <v>45328</v>
      </c>
      <c r="R188" s="1" t="s">
        <v>714</v>
      </c>
      <c r="S188" s="1" t="s">
        <v>31</v>
      </c>
      <c r="T188" s="1" t="s">
        <v>199</v>
      </c>
      <c r="U188" s="5">
        <f>product_sales_data__1[[#This Row],[TotalPrice]]-product_sales_data__1[[#This Row],[ShippingCost]]</f>
        <v>8093.51</v>
      </c>
      <c r="V188" s="5">
        <f>product_sales_data__1[[#This Row],[Quantity]]*product_sales_data__1[[#This Row],[UnitPrice]]*product_sales_data__1[[#This Row],[Discount]]</f>
        <v>427.3</v>
      </c>
    </row>
    <row r="189" spans="1:22" x14ac:dyDescent="0.3">
      <c r="A189" s="1" t="s">
        <v>715</v>
      </c>
      <c r="B189" s="1" t="s">
        <v>34</v>
      </c>
      <c r="C189" s="1" t="s">
        <v>100</v>
      </c>
      <c r="D189">
        <v>16</v>
      </c>
      <c r="E189" s="4">
        <v>588.91999999999996</v>
      </c>
      <c r="F189" s="1" t="s">
        <v>55</v>
      </c>
      <c r="G189" s="1" t="s">
        <v>24</v>
      </c>
      <c r="H189">
        <v>0.15</v>
      </c>
      <c r="I189" s="1" t="s">
        <v>25</v>
      </c>
      <c r="J189" s="4">
        <v>8009.31</v>
      </c>
      <c r="K189" s="1" t="s">
        <v>47</v>
      </c>
      <c r="L189" s="1" t="s">
        <v>85</v>
      </c>
      <c r="M189">
        <v>0</v>
      </c>
      <c r="N189" s="1" t="s">
        <v>716</v>
      </c>
      <c r="O189" s="1" t="s">
        <v>717</v>
      </c>
      <c r="P189" s="4">
        <v>7.89</v>
      </c>
      <c r="Q189" s="2">
        <v>45300</v>
      </c>
      <c r="R189" s="1" t="s">
        <v>718</v>
      </c>
      <c r="S189" s="1" t="s">
        <v>42</v>
      </c>
      <c r="T189" s="1" t="s">
        <v>187</v>
      </c>
      <c r="U189" s="5">
        <f>product_sales_data__1[[#This Row],[TotalPrice]]-product_sales_data__1[[#This Row],[ShippingCost]]</f>
        <v>8001.42</v>
      </c>
      <c r="V189" s="5">
        <f>product_sales_data__1[[#This Row],[Quantity]]*product_sales_data__1[[#This Row],[UnitPrice]]*product_sales_data__1[[#This Row],[Discount]]</f>
        <v>1413.4079999999999</v>
      </c>
    </row>
    <row r="190" spans="1:22" x14ac:dyDescent="0.3">
      <c r="A190" s="1" t="s">
        <v>719</v>
      </c>
      <c r="B190" s="1" t="s">
        <v>34</v>
      </c>
      <c r="C190" s="1" t="s">
        <v>100</v>
      </c>
      <c r="D190">
        <v>6</v>
      </c>
      <c r="E190" s="4">
        <v>429.45</v>
      </c>
      <c r="F190" s="1" t="s">
        <v>23</v>
      </c>
      <c r="G190" s="1" t="s">
        <v>37</v>
      </c>
      <c r="H190">
        <v>0.1</v>
      </c>
      <c r="I190" s="1" t="s">
        <v>25</v>
      </c>
      <c r="J190" s="4">
        <v>2319.0300000000002</v>
      </c>
      <c r="K190" s="1" t="s">
        <v>47</v>
      </c>
      <c r="L190" s="1" t="s">
        <v>48</v>
      </c>
      <c r="M190">
        <v>0</v>
      </c>
      <c r="N190" s="1" t="s">
        <v>720</v>
      </c>
      <c r="O190" s="1" t="s">
        <v>721</v>
      </c>
      <c r="P190" s="4">
        <v>47.18</v>
      </c>
      <c r="Q190" s="2">
        <v>45962</v>
      </c>
      <c r="R190" s="1" t="s">
        <v>722</v>
      </c>
      <c r="S190" s="1" t="s">
        <v>42</v>
      </c>
      <c r="T190" s="1" t="s">
        <v>43</v>
      </c>
      <c r="U190" s="5">
        <f>product_sales_data__1[[#This Row],[TotalPrice]]-product_sales_data__1[[#This Row],[ShippingCost]]</f>
        <v>2271.8500000000004</v>
      </c>
      <c r="V190" s="5">
        <f>product_sales_data__1[[#This Row],[Quantity]]*product_sales_data__1[[#This Row],[UnitPrice]]*product_sales_data__1[[#This Row],[Discount]]</f>
        <v>257.67</v>
      </c>
    </row>
    <row r="191" spans="1:22" x14ac:dyDescent="0.3">
      <c r="A191" s="1" t="s">
        <v>723</v>
      </c>
      <c r="B191" s="1" t="s">
        <v>21</v>
      </c>
      <c r="C191" s="1" t="s">
        <v>35</v>
      </c>
      <c r="D191">
        <v>3</v>
      </c>
      <c r="E191" s="4">
        <v>250.65</v>
      </c>
      <c r="F191" s="1" t="s">
        <v>55</v>
      </c>
      <c r="G191" s="1" t="s">
        <v>37</v>
      </c>
      <c r="H191">
        <v>0.15</v>
      </c>
      <c r="I191" s="1" t="s">
        <v>65</v>
      </c>
      <c r="J191" s="4">
        <v>639.16</v>
      </c>
      <c r="K191" s="1" t="s">
        <v>101</v>
      </c>
      <c r="L191" s="1" t="s">
        <v>58</v>
      </c>
      <c r="M191">
        <v>0</v>
      </c>
      <c r="N191" s="1" t="s">
        <v>724</v>
      </c>
      <c r="O191" s="1" t="s">
        <v>725</v>
      </c>
      <c r="P191" s="4">
        <v>44.46</v>
      </c>
      <c r="Q191" s="2">
        <v>45053</v>
      </c>
      <c r="R191" s="1" t="s">
        <v>379</v>
      </c>
      <c r="S191" s="1" t="s">
        <v>31</v>
      </c>
      <c r="T191" s="1" t="s">
        <v>63</v>
      </c>
      <c r="U191" s="5">
        <f>product_sales_data__1[[#This Row],[TotalPrice]]-product_sales_data__1[[#This Row],[ShippingCost]]</f>
        <v>594.69999999999993</v>
      </c>
      <c r="V191" s="5">
        <f>product_sales_data__1[[#This Row],[Quantity]]*product_sales_data__1[[#This Row],[UnitPrice]]*product_sales_data__1[[#This Row],[Discount]]</f>
        <v>112.7925</v>
      </c>
    </row>
    <row r="192" spans="1:22" x14ac:dyDescent="0.3">
      <c r="A192" s="1" t="s">
        <v>349</v>
      </c>
      <c r="B192" s="1" t="s">
        <v>21</v>
      </c>
      <c r="C192" s="1" t="s">
        <v>35</v>
      </c>
      <c r="D192">
        <v>7</v>
      </c>
      <c r="E192" s="4">
        <v>30.79</v>
      </c>
      <c r="F192" s="1" t="s">
        <v>36</v>
      </c>
      <c r="G192" s="1" t="s">
        <v>37</v>
      </c>
      <c r="H192">
        <v>0.1</v>
      </c>
      <c r="I192" s="1" t="s">
        <v>94</v>
      </c>
      <c r="J192" s="4">
        <v>193.98</v>
      </c>
      <c r="K192" s="1" t="s">
        <v>47</v>
      </c>
      <c r="L192" s="1" t="s">
        <v>27</v>
      </c>
      <c r="M192">
        <v>1</v>
      </c>
      <c r="N192" s="1" t="s">
        <v>726</v>
      </c>
      <c r="O192" s="1" t="s">
        <v>727</v>
      </c>
      <c r="P192" s="4">
        <v>11.39</v>
      </c>
      <c r="Q192" s="2">
        <v>45873</v>
      </c>
      <c r="R192" s="1" t="s">
        <v>728</v>
      </c>
      <c r="S192" s="1" t="s">
        <v>31</v>
      </c>
      <c r="T192" s="1" t="s">
        <v>82</v>
      </c>
      <c r="U192" s="5">
        <f>product_sales_data__1[[#This Row],[TotalPrice]]-product_sales_data__1[[#This Row],[ShippingCost]]</f>
        <v>182.58999999999997</v>
      </c>
      <c r="V192" s="5">
        <f>product_sales_data__1[[#This Row],[Quantity]]*product_sales_data__1[[#This Row],[UnitPrice]]*product_sales_data__1[[#This Row],[Discount]]</f>
        <v>21.553000000000001</v>
      </c>
    </row>
    <row r="193" spans="1:22" x14ac:dyDescent="0.3">
      <c r="A193" s="1" t="s">
        <v>729</v>
      </c>
      <c r="B193" s="1" t="s">
        <v>70</v>
      </c>
      <c r="C193" s="1" t="s">
        <v>100</v>
      </c>
      <c r="D193">
        <v>1</v>
      </c>
      <c r="E193" s="4">
        <v>561.6</v>
      </c>
      <c r="F193" s="1" t="s">
        <v>84</v>
      </c>
      <c r="G193" s="1" t="s">
        <v>24</v>
      </c>
      <c r="H193">
        <v>0.15</v>
      </c>
      <c r="I193" s="1" t="s">
        <v>25</v>
      </c>
      <c r="J193" s="4">
        <v>477.36</v>
      </c>
      <c r="K193" s="1" t="s">
        <v>38</v>
      </c>
      <c r="L193" s="1" t="s">
        <v>58</v>
      </c>
      <c r="M193">
        <v>0</v>
      </c>
      <c r="N193" s="1" t="s">
        <v>730</v>
      </c>
      <c r="O193" s="1" t="s">
        <v>731</v>
      </c>
      <c r="P193" s="4">
        <v>38.020000000000003</v>
      </c>
      <c r="Q193" s="2">
        <v>45418</v>
      </c>
      <c r="R193" s="1" t="s">
        <v>732</v>
      </c>
      <c r="S193" s="1" t="s">
        <v>75</v>
      </c>
      <c r="T193" s="1" t="s">
        <v>63</v>
      </c>
      <c r="U193" s="5">
        <f>product_sales_data__1[[#This Row],[TotalPrice]]-product_sales_data__1[[#This Row],[ShippingCost]]</f>
        <v>439.34000000000003</v>
      </c>
      <c r="V193" s="5">
        <f>product_sales_data__1[[#This Row],[Quantity]]*product_sales_data__1[[#This Row],[UnitPrice]]*product_sales_data__1[[#This Row],[Discount]]</f>
        <v>84.24</v>
      </c>
    </row>
    <row r="194" spans="1:22" x14ac:dyDescent="0.3">
      <c r="A194" s="1" t="s">
        <v>399</v>
      </c>
      <c r="B194" s="1" t="s">
        <v>45</v>
      </c>
      <c r="C194" s="1" t="s">
        <v>109</v>
      </c>
      <c r="D194">
        <v>17</v>
      </c>
      <c r="E194" s="4">
        <v>310.02999999999997</v>
      </c>
      <c r="F194" s="1" t="s">
        <v>55</v>
      </c>
      <c r="G194" s="1" t="s">
        <v>37</v>
      </c>
      <c r="H194">
        <v>0.05</v>
      </c>
      <c r="I194" s="1" t="s">
        <v>46</v>
      </c>
      <c r="J194" s="4">
        <v>5006.9799999999996</v>
      </c>
      <c r="K194" s="1" t="s">
        <v>26</v>
      </c>
      <c r="L194" s="1" t="s">
        <v>85</v>
      </c>
      <c r="M194">
        <v>0</v>
      </c>
      <c r="N194" s="1" t="s">
        <v>733</v>
      </c>
      <c r="O194" s="1" t="s">
        <v>734</v>
      </c>
      <c r="P194" s="4">
        <v>8.06</v>
      </c>
      <c r="Q194" s="2">
        <v>45393</v>
      </c>
      <c r="R194" s="1" t="s">
        <v>595</v>
      </c>
      <c r="S194" s="1" t="s">
        <v>51</v>
      </c>
      <c r="T194" s="1" t="s">
        <v>147</v>
      </c>
      <c r="U194" s="5">
        <f>product_sales_data__1[[#This Row],[TotalPrice]]-product_sales_data__1[[#This Row],[ShippingCost]]</f>
        <v>4998.9199999999992</v>
      </c>
      <c r="V194" s="5">
        <f>product_sales_data__1[[#This Row],[Quantity]]*product_sales_data__1[[#This Row],[UnitPrice]]*product_sales_data__1[[#This Row],[Discount]]</f>
        <v>263.52549999999997</v>
      </c>
    </row>
    <row r="195" spans="1:22" x14ac:dyDescent="0.3">
      <c r="A195" s="1" t="s">
        <v>420</v>
      </c>
      <c r="B195" s="1" t="s">
        <v>54</v>
      </c>
      <c r="C195" s="1" t="s">
        <v>140</v>
      </c>
      <c r="D195">
        <v>13</v>
      </c>
      <c r="E195" s="4">
        <v>204.67</v>
      </c>
      <c r="F195" s="1" t="s">
        <v>84</v>
      </c>
      <c r="G195" s="1" t="s">
        <v>37</v>
      </c>
      <c r="H195">
        <v>0.15</v>
      </c>
      <c r="I195" s="1" t="s">
        <v>25</v>
      </c>
      <c r="J195" s="4">
        <v>2261.6</v>
      </c>
      <c r="K195" s="1" t="s">
        <v>26</v>
      </c>
      <c r="L195" s="1" t="s">
        <v>48</v>
      </c>
      <c r="M195">
        <v>0</v>
      </c>
      <c r="N195" s="1" t="s">
        <v>735</v>
      </c>
      <c r="O195" s="1" t="s">
        <v>736</v>
      </c>
      <c r="P195" s="4">
        <v>6.76</v>
      </c>
      <c r="Q195" s="2">
        <v>45292</v>
      </c>
      <c r="R195" s="1" t="s">
        <v>164</v>
      </c>
      <c r="S195" s="1" t="s">
        <v>62</v>
      </c>
      <c r="T195" s="1" t="s">
        <v>187</v>
      </c>
      <c r="U195" s="5">
        <f>product_sales_data__1[[#This Row],[TotalPrice]]-product_sales_data__1[[#This Row],[ShippingCost]]</f>
        <v>2254.8399999999997</v>
      </c>
      <c r="V195" s="5">
        <f>product_sales_data__1[[#This Row],[Quantity]]*product_sales_data__1[[#This Row],[UnitPrice]]*product_sales_data__1[[#This Row],[Discount]]</f>
        <v>399.10649999999998</v>
      </c>
    </row>
    <row r="196" spans="1:22" x14ac:dyDescent="0.3">
      <c r="A196" s="1" t="s">
        <v>339</v>
      </c>
      <c r="B196" s="1" t="s">
        <v>45</v>
      </c>
      <c r="C196" s="1" t="s">
        <v>140</v>
      </c>
      <c r="D196">
        <v>3</v>
      </c>
      <c r="E196" s="4">
        <v>250.11</v>
      </c>
      <c r="F196" s="1" t="s">
        <v>55</v>
      </c>
      <c r="G196" s="1" t="s">
        <v>24</v>
      </c>
      <c r="H196">
        <v>0</v>
      </c>
      <c r="I196" s="1" t="s">
        <v>25</v>
      </c>
      <c r="J196" s="4">
        <v>750.33</v>
      </c>
      <c r="K196" s="1" t="s">
        <v>57</v>
      </c>
      <c r="L196" s="1" t="s">
        <v>85</v>
      </c>
      <c r="M196">
        <v>0</v>
      </c>
      <c r="N196" s="1" t="s">
        <v>737</v>
      </c>
      <c r="O196" s="1" t="s">
        <v>738</v>
      </c>
      <c r="P196" s="4">
        <v>36.35</v>
      </c>
      <c r="Q196" s="2">
        <v>45539</v>
      </c>
      <c r="R196" s="1" t="s">
        <v>68</v>
      </c>
      <c r="S196" s="1" t="s">
        <v>51</v>
      </c>
      <c r="T196" s="1" t="s">
        <v>52</v>
      </c>
      <c r="U196" s="5">
        <f>product_sales_data__1[[#This Row],[TotalPrice]]-product_sales_data__1[[#This Row],[ShippingCost]]</f>
        <v>713.98</v>
      </c>
      <c r="V196" s="5">
        <f>product_sales_data__1[[#This Row],[Quantity]]*product_sales_data__1[[#This Row],[UnitPrice]]*product_sales_data__1[[#This Row],[Discount]]</f>
        <v>0</v>
      </c>
    </row>
    <row r="197" spans="1:22" x14ac:dyDescent="0.3">
      <c r="A197" s="1" t="s">
        <v>739</v>
      </c>
      <c r="B197" s="1" t="s">
        <v>21</v>
      </c>
      <c r="C197" s="1" t="s">
        <v>127</v>
      </c>
      <c r="D197">
        <v>14</v>
      </c>
      <c r="E197" s="4">
        <v>157.13999999999999</v>
      </c>
      <c r="F197" s="1" t="s">
        <v>84</v>
      </c>
      <c r="G197" s="1" t="s">
        <v>24</v>
      </c>
      <c r="H197">
        <v>0.15</v>
      </c>
      <c r="I197" s="1" t="s">
        <v>78</v>
      </c>
      <c r="J197" s="4">
        <v>1869.97</v>
      </c>
      <c r="K197" s="1" t="s">
        <v>57</v>
      </c>
      <c r="L197" s="1" t="s">
        <v>58</v>
      </c>
      <c r="M197">
        <v>0</v>
      </c>
      <c r="N197" s="1" t="s">
        <v>740</v>
      </c>
      <c r="O197" s="1" t="s">
        <v>741</v>
      </c>
      <c r="P197" s="4">
        <v>36.04</v>
      </c>
      <c r="Q197" s="2">
        <v>45627</v>
      </c>
      <c r="R197" s="1" t="s">
        <v>742</v>
      </c>
      <c r="S197" s="1" t="s">
        <v>31</v>
      </c>
      <c r="T197" s="1" t="s">
        <v>76</v>
      </c>
      <c r="U197" s="5">
        <f>product_sales_data__1[[#This Row],[TotalPrice]]-product_sales_data__1[[#This Row],[ShippingCost]]</f>
        <v>1833.93</v>
      </c>
      <c r="V197" s="5">
        <f>product_sales_data__1[[#This Row],[Quantity]]*product_sales_data__1[[#This Row],[UnitPrice]]*product_sales_data__1[[#This Row],[Discount]]</f>
        <v>329.99399999999997</v>
      </c>
    </row>
    <row r="198" spans="1:22" x14ac:dyDescent="0.3">
      <c r="A198" s="1" t="s">
        <v>743</v>
      </c>
      <c r="B198" s="1" t="s">
        <v>45</v>
      </c>
      <c r="C198" s="1" t="s">
        <v>100</v>
      </c>
      <c r="D198">
        <v>10</v>
      </c>
      <c r="E198" s="4">
        <v>100.26</v>
      </c>
      <c r="F198" s="1" t="s">
        <v>55</v>
      </c>
      <c r="G198" s="1" t="s">
        <v>24</v>
      </c>
      <c r="H198">
        <v>0.05</v>
      </c>
      <c r="I198" s="1" t="s">
        <v>46</v>
      </c>
      <c r="J198" s="4">
        <v>952.47</v>
      </c>
      <c r="K198" s="1" t="s">
        <v>57</v>
      </c>
      <c r="L198" s="1" t="s">
        <v>58</v>
      </c>
      <c r="M198">
        <v>0</v>
      </c>
      <c r="N198" s="1" t="s">
        <v>744</v>
      </c>
      <c r="O198" s="1" t="s">
        <v>745</v>
      </c>
      <c r="P198" s="4">
        <v>36.71</v>
      </c>
      <c r="Q198" s="2">
        <v>45508</v>
      </c>
      <c r="R198" s="1" t="s">
        <v>269</v>
      </c>
      <c r="S198" s="1" t="s">
        <v>51</v>
      </c>
      <c r="T198" s="1" t="s">
        <v>82</v>
      </c>
      <c r="U198" s="5">
        <f>product_sales_data__1[[#This Row],[TotalPrice]]-product_sales_data__1[[#This Row],[ShippingCost]]</f>
        <v>915.76</v>
      </c>
      <c r="V198" s="5">
        <f>product_sales_data__1[[#This Row],[Quantity]]*product_sales_data__1[[#This Row],[UnitPrice]]*product_sales_data__1[[#This Row],[Discount]]</f>
        <v>50.13</v>
      </c>
    </row>
    <row r="199" spans="1:22" x14ac:dyDescent="0.3">
      <c r="A199" s="1" t="s">
        <v>746</v>
      </c>
      <c r="B199" s="1" t="s">
        <v>45</v>
      </c>
      <c r="C199" s="1" t="s">
        <v>35</v>
      </c>
      <c r="D199">
        <v>10</v>
      </c>
      <c r="E199" s="4">
        <v>397.39</v>
      </c>
      <c r="F199" s="1" t="s">
        <v>55</v>
      </c>
      <c r="G199" s="1" t="s">
        <v>37</v>
      </c>
      <c r="H199">
        <v>0.15</v>
      </c>
      <c r="I199" s="1" t="s">
        <v>25</v>
      </c>
      <c r="J199" s="4">
        <v>3377.82</v>
      </c>
      <c r="K199" s="1" t="s">
        <v>57</v>
      </c>
      <c r="L199" s="1" t="s">
        <v>48</v>
      </c>
      <c r="M199">
        <v>0</v>
      </c>
      <c r="N199" s="1" t="s">
        <v>747</v>
      </c>
      <c r="O199" s="1" t="s">
        <v>748</v>
      </c>
      <c r="P199" s="4">
        <v>25.27</v>
      </c>
      <c r="Q199" s="2">
        <v>45447</v>
      </c>
      <c r="R199" s="1" t="s">
        <v>342</v>
      </c>
      <c r="S199" s="1" t="s">
        <v>51</v>
      </c>
      <c r="T199" s="1" t="s">
        <v>105</v>
      </c>
      <c r="U199" s="5">
        <f>product_sales_data__1[[#This Row],[TotalPrice]]-product_sales_data__1[[#This Row],[ShippingCost]]</f>
        <v>3352.55</v>
      </c>
      <c r="V199" s="5">
        <f>product_sales_data__1[[#This Row],[Quantity]]*product_sales_data__1[[#This Row],[UnitPrice]]*product_sales_data__1[[#This Row],[Discount]]</f>
        <v>596.08499999999992</v>
      </c>
    </row>
    <row r="200" spans="1:22" x14ac:dyDescent="0.3">
      <c r="A200" s="1" t="s">
        <v>276</v>
      </c>
      <c r="B200" s="1" t="s">
        <v>34</v>
      </c>
      <c r="C200" s="1" t="s">
        <v>22</v>
      </c>
      <c r="D200">
        <v>6</v>
      </c>
      <c r="E200" s="4">
        <v>581.66999999999996</v>
      </c>
      <c r="F200" s="1" t="s">
        <v>84</v>
      </c>
      <c r="G200" s="1" t="s">
        <v>24</v>
      </c>
      <c r="H200">
        <v>0</v>
      </c>
      <c r="I200" s="1" t="s">
        <v>56</v>
      </c>
      <c r="J200" s="4">
        <v>3490.02</v>
      </c>
      <c r="K200" s="1" t="s">
        <v>38</v>
      </c>
      <c r="L200" s="1" t="s">
        <v>48</v>
      </c>
      <c r="M200">
        <v>0</v>
      </c>
      <c r="N200" s="1" t="s">
        <v>749</v>
      </c>
      <c r="O200" s="1" t="s">
        <v>750</v>
      </c>
      <c r="P200" s="4">
        <v>39.4</v>
      </c>
      <c r="Q200" s="2">
        <v>45139</v>
      </c>
      <c r="R200" s="1" t="s">
        <v>33</v>
      </c>
      <c r="S200" s="1" t="s">
        <v>42</v>
      </c>
      <c r="T200" s="1" t="s">
        <v>82</v>
      </c>
      <c r="U200" s="5">
        <f>product_sales_data__1[[#This Row],[TotalPrice]]-product_sales_data__1[[#This Row],[ShippingCost]]</f>
        <v>3450.62</v>
      </c>
      <c r="V200" s="5">
        <f>product_sales_data__1[[#This Row],[Quantity]]*product_sales_data__1[[#This Row],[UnitPrice]]*product_sales_data__1[[#This Row],[Discount]]</f>
        <v>0</v>
      </c>
    </row>
    <row r="201" spans="1:22" x14ac:dyDescent="0.3">
      <c r="A201" s="1" t="s">
        <v>751</v>
      </c>
      <c r="B201" s="1" t="s">
        <v>34</v>
      </c>
      <c r="C201" s="1" t="s">
        <v>140</v>
      </c>
      <c r="D201">
        <v>2</v>
      </c>
      <c r="E201" s="4">
        <v>264</v>
      </c>
      <c r="F201" s="1" t="s">
        <v>55</v>
      </c>
      <c r="G201" s="1" t="s">
        <v>37</v>
      </c>
      <c r="H201">
        <v>0</v>
      </c>
      <c r="I201" s="1" t="s">
        <v>94</v>
      </c>
      <c r="J201" s="4">
        <v>528</v>
      </c>
      <c r="K201" s="1" t="s">
        <v>57</v>
      </c>
      <c r="L201" s="1" t="s">
        <v>58</v>
      </c>
      <c r="M201">
        <v>0</v>
      </c>
      <c r="N201" s="1" t="s">
        <v>752</v>
      </c>
      <c r="O201" s="1" t="s">
        <v>753</v>
      </c>
      <c r="P201" s="4">
        <v>26.73</v>
      </c>
      <c r="Q201" s="2">
        <v>45809</v>
      </c>
      <c r="R201" s="1" t="s">
        <v>754</v>
      </c>
      <c r="S201" s="1" t="s">
        <v>42</v>
      </c>
      <c r="T201" s="1" t="s">
        <v>105</v>
      </c>
      <c r="U201" s="5">
        <f>product_sales_data__1[[#This Row],[TotalPrice]]-product_sales_data__1[[#This Row],[ShippingCost]]</f>
        <v>501.27</v>
      </c>
      <c r="V201" s="5">
        <f>product_sales_data__1[[#This Row],[Quantity]]*product_sales_data__1[[#This Row],[UnitPrice]]*product_sales_data__1[[#This Row],[Discount]]</f>
        <v>0</v>
      </c>
    </row>
    <row r="202" spans="1:22" x14ac:dyDescent="0.3">
      <c r="A202" s="1" t="s">
        <v>668</v>
      </c>
      <c r="B202" s="1" t="s">
        <v>45</v>
      </c>
      <c r="C202" s="1" t="s">
        <v>100</v>
      </c>
      <c r="D202">
        <v>4</v>
      </c>
      <c r="E202" s="4">
        <v>403.97</v>
      </c>
      <c r="F202" s="1" t="s">
        <v>84</v>
      </c>
      <c r="G202" s="1" t="s">
        <v>24</v>
      </c>
      <c r="H202">
        <v>0.05</v>
      </c>
      <c r="I202" s="1" t="s">
        <v>25</v>
      </c>
      <c r="J202" s="4">
        <v>1535.09</v>
      </c>
      <c r="K202" s="1" t="s">
        <v>47</v>
      </c>
      <c r="L202" s="1" t="s">
        <v>27</v>
      </c>
      <c r="M202">
        <v>0</v>
      </c>
      <c r="N202" s="1" t="s">
        <v>755</v>
      </c>
      <c r="O202" s="1" t="s">
        <v>756</v>
      </c>
      <c r="P202" s="4">
        <v>39.92</v>
      </c>
      <c r="Q202" s="2">
        <v>45689</v>
      </c>
      <c r="R202" s="1" t="s">
        <v>656</v>
      </c>
      <c r="S202" s="1" t="s">
        <v>51</v>
      </c>
      <c r="T202" s="1" t="s">
        <v>199</v>
      </c>
      <c r="U202" s="5">
        <f>product_sales_data__1[[#This Row],[TotalPrice]]-product_sales_data__1[[#This Row],[ShippingCost]]</f>
        <v>1495.1699999999998</v>
      </c>
      <c r="V202" s="5">
        <f>product_sales_data__1[[#This Row],[Quantity]]*product_sales_data__1[[#This Row],[UnitPrice]]*product_sales_data__1[[#This Row],[Discount]]</f>
        <v>80.794000000000011</v>
      </c>
    </row>
    <row r="203" spans="1:22" x14ac:dyDescent="0.3">
      <c r="A203" s="1" t="s">
        <v>329</v>
      </c>
      <c r="B203" s="1" t="s">
        <v>70</v>
      </c>
      <c r="C203" s="1" t="s">
        <v>22</v>
      </c>
      <c r="D203">
        <v>2</v>
      </c>
      <c r="E203" s="4">
        <v>93.49</v>
      </c>
      <c r="F203" s="1" t="s">
        <v>84</v>
      </c>
      <c r="G203" s="1" t="s">
        <v>24</v>
      </c>
      <c r="H203">
        <v>0.1</v>
      </c>
      <c r="I203" s="1" t="s">
        <v>25</v>
      </c>
      <c r="J203" s="4">
        <v>168.28</v>
      </c>
      <c r="K203" s="1" t="s">
        <v>38</v>
      </c>
      <c r="L203" s="1" t="s">
        <v>27</v>
      </c>
      <c r="M203">
        <v>0</v>
      </c>
      <c r="N203" s="1" t="s">
        <v>757</v>
      </c>
      <c r="O203" s="1" t="s">
        <v>758</v>
      </c>
      <c r="P203" s="4">
        <v>26.31</v>
      </c>
      <c r="Q203" s="2">
        <v>45810</v>
      </c>
      <c r="R203" s="1" t="s">
        <v>759</v>
      </c>
      <c r="S203" s="1" t="s">
        <v>75</v>
      </c>
      <c r="T203" s="1" t="s">
        <v>105</v>
      </c>
      <c r="U203" s="5">
        <f>product_sales_data__1[[#This Row],[TotalPrice]]-product_sales_data__1[[#This Row],[ShippingCost]]</f>
        <v>141.97</v>
      </c>
      <c r="V203" s="5">
        <f>product_sales_data__1[[#This Row],[Quantity]]*product_sales_data__1[[#This Row],[UnitPrice]]*product_sales_data__1[[#This Row],[Discount]]</f>
        <v>18.698</v>
      </c>
    </row>
    <row r="204" spans="1:22" x14ac:dyDescent="0.3">
      <c r="A204" s="1" t="s">
        <v>760</v>
      </c>
      <c r="B204" s="1" t="s">
        <v>70</v>
      </c>
      <c r="C204" s="1" t="s">
        <v>35</v>
      </c>
      <c r="D204">
        <v>9</v>
      </c>
      <c r="E204" s="4">
        <v>228.3</v>
      </c>
      <c r="F204" s="1" t="s">
        <v>23</v>
      </c>
      <c r="G204" s="1" t="s">
        <v>37</v>
      </c>
      <c r="H204">
        <v>0.05</v>
      </c>
      <c r="I204" s="1" t="s">
        <v>65</v>
      </c>
      <c r="J204" s="4">
        <v>1951.97</v>
      </c>
      <c r="K204" s="1" t="s">
        <v>38</v>
      </c>
      <c r="L204" s="1" t="s">
        <v>85</v>
      </c>
      <c r="M204">
        <v>0</v>
      </c>
      <c r="N204" s="1" t="s">
        <v>761</v>
      </c>
      <c r="O204" s="1" t="s">
        <v>762</v>
      </c>
      <c r="P204" s="4">
        <v>8.75</v>
      </c>
      <c r="Q204" s="2">
        <v>44933</v>
      </c>
      <c r="R204" s="1" t="s">
        <v>763</v>
      </c>
      <c r="S204" s="1" t="s">
        <v>75</v>
      </c>
      <c r="T204" s="1" t="s">
        <v>187</v>
      </c>
      <c r="U204" s="5">
        <f>product_sales_data__1[[#This Row],[TotalPrice]]-product_sales_data__1[[#This Row],[ShippingCost]]</f>
        <v>1943.22</v>
      </c>
      <c r="V204" s="5">
        <f>product_sales_data__1[[#This Row],[Quantity]]*product_sales_data__1[[#This Row],[UnitPrice]]*product_sales_data__1[[#This Row],[Discount]]</f>
        <v>102.73500000000001</v>
      </c>
    </row>
    <row r="205" spans="1:22" x14ac:dyDescent="0.3">
      <c r="A205" s="1" t="s">
        <v>64</v>
      </c>
      <c r="B205" s="1" t="s">
        <v>21</v>
      </c>
      <c r="C205" s="1" t="s">
        <v>100</v>
      </c>
      <c r="D205">
        <v>19</v>
      </c>
      <c r="E205" s="4">
        <v>9.48</v>
      </c>
      <c r="F205" s="1" t="s">
        <v>84</v>
      </c>
      <c r="G205" s="1" t="s">
        <v>24</v>
      </c>
      <c r="H205">
        <v>0</v>
      </c>
      <c r="I205" s="1" t="s">
        <v>46</v>
      </c>
      <c r="J205" s="4">
        <v>180.12</v>
      </c>
      <c r="K205" s="1" t="s">
        <v>26</v>
      </c>
      <c r="L205" s="1" t="s">
        <v>48</v>
      </c>
      <c r="M205">
        <v>0</v>
      </c>
      <c r="N205" s="1" t="s">
        <v>764</v>
      </c>
      <c r="O205" s="1" t="s">
        <v>765</v>
      </c>
      <c r="P205" s="4">
        <v>22.33</v>
      </c>
      <c r="Q205" s="2">
        <v>45569</v>
      </c>
      <c r="R205" s="1" t="s">
        <v>766</v>
      </c>
      <c r="S205" s="1" t="s">
        <v>31</v>
      </c>
      <c r="T205" s="1" t="s">
        <v>32</v>
      </c>
      <c r="U205" s="5">
        <f>product_sales_data__1[[#This Row],[TotalPrice]]-product_sales_data__1[[#This Row],[ShippingCost]]</f>
        <v>157.79000000000002</v>
      </c>
      <c r="V205" s="5">
        <f>product_sales_data__1[[#This Row],[Quantity]]*product_sales_data__1[[#This Row],[UnitPrice]]*product_sales_data__1[[#This Row],[Discount]]</f>
        <v>0</v>
      </c>
    </row>
    <row r="206" spans="1:22" x14ac:dyDescent="0.3">
      <c r="A206" s="1" t="s">
        <v>767</v>
      </c>
      <c r="B206" s="1" t="s">
        <v>21</v>
      </c>
      <c r="C206" s="1" t="s">
        <v>127</v>
      </c>
      <c r="D206">
        <v>8</v>
      </c>
      <c r="E206" s="4">
        <v>70.790000000000006</v>
      </c>
      <c r="F206" s="1" t="s">
        <v>23</v>
      </c>
      <c r="G206" s="1" t="s">
        <v>24</v>
      </c>
      <c r="H206">
        <v>0</v>
      </c>
      <c r="I206" s="1" t="s">
        <v>78</v>
      </c>
      <c r="J206" s="4">
        <v>566.32000000000005</v>
      </c>
      <c r="K206" s="1" t="s">
        <v>26</v>
      </c>
      <c r="L206" s="1" t="s">
        <v>48</v>
      </c>
      <c r="M206">
        <v>0</v>
      </c>
      <c r="N206" s="1" t="s">
        <v>768</v>
      </c>
      <c r="O206" s="1" t="s">
        <v>769</v>
      </c>
      <c r="P206" s="4">
        <v>46.35</v>
      </c>
      <c r="Q206" s="2">
        <v>45577</v>
      </c>
      <c r="R206" s="1" t="s">
        <v>116</v>
      </c>
      <c r="S206" s="1" t="s">
        <v>31</v>
      </c>
      <c r="T206" s="1" t="s">
        <v>32</v>
      </c>
      <c r="U206" s="5">
        <f>product_sales_data__1[[#This Row],[TotalPrice]]-product_sales_data__1[[#This Row],[ShippingCost]]</f>
        <v>519.97</v>
      </c>
      <c r="V206" s="5">
        <f>product_sales_data__1[[#This Row],[Quantity]]*product_sales_data__1[[#This Row],[UnitPrice]]*product_sales_data__1[[#This Row],[Discount]]</f>
        <v>0</v>
      </c>
    </row>
    <row r="207" spans="1:22" x14ac:dyDescent="0.3">
      <c r="A207" s="1" t="s">
        <v>770</v>
      </c>
      <c r="B207" s="1" t="s">
        <v>70</v>
      </c>
      <c r="C207" s="1" t="s">
        <v>100</v>
      </c>
      <c r="D207">
        <v>17</v>
      </c>
      <c r="E207" s="4">
        <v>584.70000000000005</v>
      </c>
      <c r="F207" s="1" t="s">
        <v>55</v>
      </c>
      <c r="G207" s="1" t="s">
        <v>37</v>
      </c>
      <c r="H207">
        <v>0.1</v>
      </c>
      <c r="I207" s="1" t="s">
        <v>65</v>
      </c>
      <c r="J207" s="4">
        <v>8945.91</v>
      </c>
      <c r="K207" s="1" t="s">
        <v>26</v>
      </c>
      <c r="L207" s="1" t="s">
        <v>48</v>
      </c>
      <c r="M207">
        <v>1</v>
      </c>
      <c r="N207" s="1" t="s">
        <v>771</v>
      </c>
      <c r="O207" s="1" t="s">
        <v>772</v>
      </c>
      <c r="P207" s="4">
        <v>46.59</v>
      </c>
      <c r="Q207" s="2">
        <v>45658</v>
      </c>
      <c r="R207" s="1" t="s">
        <v>773</v>
      </c>
      <c r="S207" s="1" t="s">
        <v>75</v>
      </c>
      <c r="T207" s="1" t="s">
        <v>187</v>
      </c>
      <c r="U207" s="5">
        <f>product_sales_data__1[[#This Row],[TotalPrice]]-product_sales_data__1[[#This Row],[ShippingCost]]</f>
        <v>8899.32</v>
      </c>
      <c r="V207" s="5">
        <f>product_sales_data__1[[#This Row],[Quantity]]*product_sales_data__1[[#This Row],[UnitPrice]]*product_sales_data__1[[#This Row],[Discount]]</f>
        <v>993.99000000000024</v>
      </c>
    </row>
    <row r="208" spans="1:22" x14ac:dyDescent="0.3">
      <c r="A208" s="1" t="s">
        <v>240</v>
      </c>
      <c r="B208" s="1" t="s">
        <v>21</v>
      </c>
      <c r="C208" s="1" t="s">
        <v>127</v>
      </c>
      <c r="D208">
        <v>14</v>
      </c>
      <c r="E208" s="4">
        <v>382.19</v>
      </c>
      <c r="F208" s="1" t="s">
        <v>23</v>
      </c>
      <c r="G208" s="1" t="s">
        <v>24</v>
      </c>
      <c r="H208">
        <v>0.05</v>
      </c>
      <c r="I208" s="1" t="s">
        <v>56</v>
      </c>
      <c r="J208" s="4">
        <v>5083.13</v>
      </c>
      <c r="K208" s="1" t="s">
        <v>47</v>
      </c>
      <c r="L208" s="1" t="s">
        <v>85</v>
      </c>
      <c r="M208">
        <v>1</v>
      </c>
      <c r="N208" s="1" t="s">
        <v>774</v>
      </c>
      <c r="O208" s="1" t="s">
        <v>775</v>
      </c>
      <c r="P208" s="4">
        <v>49.12</v>
      </c>
      <c r="Q208" s="2">
        <v>45150</v>
      </c>
      <c r="R208" s="1" t="s">
        <v>776</v>
      </c>
      <c r="S208" s="1" t="s">
        <v>31</v>
      </c>
      <c r="T208" s="1" t="s">
        <v>82</v>
      </c>
      <c r="U208" s="5">
        <f>product_sales_data__1[[#This Row],[TotalPrice]]-product_sales_data__1[[#This Row],[ShippingCost]]</f>
        <v>5034.01</v>
      </c>
      <c r="V208" s="5">
        <f>product_sales_data__1[[#This Row],[Quantity]]*product_sales_data__1[[#This Row],[UnitPrice]]*product_sales_data__1[[#This Row],[Discount]]</f>
        <v>267.53300000000002</v>
      </c>
    </row>
    <row r="209" spans="1:22" x14ac:dyDescent="0.3">
      <c r="A209" s="1" t="s">
        <v>777</v>
      </c>
      <c r="B209" s="1" t="s">
        <v>34</v>
      </c>
      <c r="C209" s="1" t="s">
        <v>100</v>
      </c>
      <c r="D209">
        <v>17</v>
      </c>
      <c r="E209" s="4">
        <v>15.01</v>
      </c>
      <c r="F209" s="1" t="s">
        <v>55</v>
      </c>
      <c r="G209" s="1" t="s">
        <v>24</v>
      </c>
      <c r="H209">
        <v>0.15</v>
      </c>
      <c r="I209" s="1" t="s">
        <v>78</v>
      </c>
      <c r="J209" s="4">
        <v>216.89</v>
      </c>
      <c r="K209" s="1" t="s">
        <v>38</v>
      </c>
      <c r="L209" s="1" t="s">
        <v>58</v>
      </c>
      <c r="M209">
        <v>1</v>
      </c>
      <c r="N209" s="1" t="s">
        <v>778</v>
      </c>
      <c r="O209" s="1" t="s">
        <v>779</v>
      </c>
      <c r="P209" s="4">
        <v>22</v>
      </c>
      <c r="Q209" s="2">
        <v>45840</v>
      </c>
      <c r="R209" s="1" t="s">
        <v>780</v>
      </c>
      <c r="S209" s="1" t="s">
        <v>42</v>
      </c>
      <c r="T209" s="1" t="s">
        <v>117</v>
      </c>
      <c r="U209" s="5">
        <f>product_sales_data__1[[#This Row],[TotalPrice]]-product_sales_data__1[[#This Row],[ShippingCost]]</f>
        <v>194.89</v>
      </c>
      <c r="V209" s="5">
        <f>product_sales_data__1[[#This Row],[Quantity]]*product_sales_data__1[[#This Row],[UnitPrice]]*product_sales_data__1[[#This Row],[Discount]]</f>
        <v>38.275499999999994</v>
      </c>
    </row>
    <row r="210" spans="1:22" x14ac:dyDescent="0.3">
      <c r="A210" s="1" t="s">
        <v>200</v>
      </c>
      <c r="B210" s="1" t="s">
        <v>34</v>
      </c>
      <c r="C210" s="1" t="s">
        <v>100</v>
      </c>
      <c r="D210">
        <v>6</v>
      </c>
      <c r="E210" s="4">
        <v>266.67</v>
      </c>
      <c r="F210" s="1" t="s">
        <v>23</v>
      </c>
      <c r="G210" s="1" t="s">
        <v>24</v>
      </c>
      <c r="H210">
        <v>0.05</v>
      </c>
      <c r="I210" s="1" t="s">
        <v>65</v>
      </c>
      <c r="J210" s="4">
        <v>1520.02</v>
      </c>
      <c r="K210" s="1" t="s">
        <v>38</v>
      </c>
      <c r="L210" s="1" t="s">
        <v>48</v>
      </c>
      <c r="M210">
        <v>0</v>
      </c>
      <c r="N210" s="1" t="s">
        <v>781</v>
      </c>
      <c r="O210" s="1" t="s">
        <v>782</v>
      </c>
      <c r="P210" s="4">
        <v>48.49</v>
      </c>
      <c r="Q210" s="2">
        <v>45356</v>
      </c>
      <c r="R210" s="1" t="s">
        <v>783</v>
      </c>
      <c r="S210" s="1" t="s">
        <v>42</v>
      </c>
      <c r="T210" s="1" t="s">
        <v>98</v>
      </c>
      <c r="U210" s="5">
        <f>product_sales_data__1[[#This Row],[TotalPrice]]-product_sales_data__1[[#This Row],[ShippingCost]]</f>
        <v>1471.53</v>
      </c>
      <c r="V210" s="5">
        <f>product_sales_data__1[[#This Row],[Quantity]]*product_sales_data__1[[#This Row],[UnitPrice]]*product_sales_data__1[[#This Row],[Discount]]</f>
        <v>80.001000000000005</v>
      </c>
    </row>
    <row r="211" spans="1:22" x14ac:dyDescent="0.3">
      <c r="A211" s="1" t="s">
        <v>784</v>
      </c>
      <c r="B211" s="1" t="s">
        <v>34</v>
      </c>
      <c r="C211" s="1" t="s">
        <v>100</v>
      </c>
      <c r="D211">
        <v>6</v>
      </c>
      <c r="E211" s="4">
        <v>505.7</v>
      </c>
      <c r="F211" s="1" t="s">
        <v>36</v>
      </c>
      <c r="G211" s="1" t="s">
        <v>37</v>
      </c>
      <c r="H211">
        <v>0</v>
      </c>
      <c r="I211" s="1" t="s">
        <v>25</v>
      </c>
      <c r="J211" s="4">
        <v>3034.2</v>
      </c>
      <c r="K211" s="1" t="s">
        <v>47</v>
      </c>
      <c r="L211" s="1" t="s">
        <v>48</v>
      </c>
      <c r="M211">
        <v>0</v>
      </c>
      <c r="N211" s="1" t="s">
        <v>785</v>
      </c>
      <c r="O211" s="1" t="s">
        <v>786</v>
      </c>
      <c r="P211" s="4">
        <v>40.380000000000003</v>
      </c>
      <c r="Q211" s="2">
        <v>45117</v>
      </c>
      <c r="R211" s="1" t="s">
        <v>787</v>
      </c>
      <c r="S211" s="1" t="s">
        <v>42</v>
      </c>
      <c r="T211" s="1" t="s">
        <v>117</v>
      </c>
      <c r="U211" s="5">
        <f>product_sales_data__1[[#This Row],[TotalPrice]]-product_sales_data__1[[#This Row],[ShippingCost]]</f>
        <v>2993.8199999999997</v>
      </c>
      <c r="V211" s="5">
        <f>product_sales_data__1[[#This Row],[Quantity]]*product_sales_data__1[[#This Row],[UnitPrice]]*product_sales_data__1[[#This Row],[Discount]]</f>
        <v>0</v>
      </c>
    </row>
    <row r="212" spans="1:22" x14ac:dyDescent="0.3">
      <c r="A212" s="1" t="s">
        <v>788</v>
      </c>
      <c r="B212" s="1" t="s">
        <v>54</v>
      </c>
      <c r="C212" s="1" t="s">
        <v>140</v>
      </c>
      <c r="D212">
        <v>5</v>
      </c>
      <c r="E212" s="4">
        <v>569.62</v>
      </c>
      <c r="F212" s="1" t="s">
        <v>36</v>
      </c>
      <c r="G212" s="1" t="s">
        <v>24</v>
      </c>
      <c r="H212">
        <v>0</v>
      </c>
      <c r="I212" s="1" t="s">
        <v>78</v>
      </c>
      <c r="J212" s="4">
        <v>2848.1</v>
      </c>
      <c r="K212" s="1" t="s">
        <v>38</v>
      </c>
      <c r="L212" s="1" t="s">
        <v>85</v>
      </c>
      <c r="M212">
        <v>0</v>
      </c>
      <c r="N212" s="1" t="s">
        <v>789</v>
      </c>
      <c r="O212" s="1" t="s">
        <v>790</v>
      </c>
      <c r="P212" s="4">
        <v>48.8</v>
      </c>
      <c r="Q212" s="2">
        <v>45237</v>
      </c>
      <c r="R212" s="1" t="s">
        <v>791</v>
      </c>
      <c r="S212" s="1" t="s">
        <v>62</v>
      </c>
      <c r="T212" s="1" t="s">
        <v>43</v>
      </c>
      <c r="U212" s="5">
        <f>product_sales_data__1[[#This Row],[TotalPrice]]-product_sales_data__1[[#This Row],[ShippingCost]]</f>
        <v>2799.2999999999997</v>
      </c>
      <c r="V212" s="5">
        <f>product_sales_data__1[[#This Row],[Quantity]]*product_sales_data__1[[#This Row],[UnitPrice]]*product_sales_data__1[[#This Row],[Discount]]</f>
        <v>0</v>
      </c>
    </row>
    <row r="213" spans="1:22" x14ac:dyDescent="0.3">
      <c r="A213" s="1" t="s">
        <v>792</v>
      </c>
      <c r="B213" s="1" t="s">
        <v>34</v>
      </c>
      <c r="C213" s="1" t="s">
        <v>35</v>
      </c>
      <c r="D213">
        <v>2</v>
      </c>
      <c r="E213" s="4">
        <v>296.91000000000003</v>
      </c>
      <c r="F213" s="1" t="s">
        <v>84</v>
      </c>
      <c r="G213" s="1" t="s">
        <v>24</v>
      </c>
      <c r="H213">
        <v>0.05</v>
      </c>
      <c r="I213" s="1" t="s">
        <v>46</v>
      </c>
      <c r="J213" s="4">
        <v>564.13</v>
      </c>
      <c r="K213" s="1" t="s">
        <v>38</v>
      </c>
      <c r="L213" s="1" t="s">
        <v>27</v>
      </c>
      <c r="M213">
        <v>0</v>
      </c>
      <c r="N213" s="1" t="s">
        <v>793</v>
      </c>
      <c r="O213" s="1" t="s">
        <v>794</v>
      </c>
      <c r="P213" s="4">
        <v>44.35</v>
      </c>
      <c r="Q213" s="2">
        <v>45018</v>
      </c>
      <c r="R213" s="1" t="s">
        <v>428</v>
      </c>
      <c r="S213" s="1" t="s">
        <v>42</v>
      </c>
      <c r="T213" s="1" t="s">
        <v>147</v>
      </c>
      <c r="U213" s="5">
        <f>product_sales_data__1[[#This Row],[TotalPrice]]-product_sales_data__1[[#This Row],[ShippingCost]]</f>
        <v>519.78</v>
      </c>
      <c r="V213" s="5">
        <f>product_sales_data__1[[#This Row],[Quantity]]*product_sales_data__1[[#This Row],[UnitPrice]]*product_sales_data__1[[#This Row],[Discount]]</f>
        <v>29.691000000000003</v>
      </c>
    </row>
    <row r="214" spans="1:22" x14ac:dyDescent="0.3">
      <c r="A214" s="1" t="s">
        <v>795</v>
      </c>
      <c r="B214" s="1" t="s">
        <v>34</v>
      </c>
      <c r="C214" s="1" t="s">
        <v>140</v>
      </c>
      <c r="D214">
        <v>2</v>
      </c>
      <c r="E214" s="4">
        <v>6.19</v>
      </c>
      <c r="F214" s="1" t="s">
        <v>23</v>
      </c>
      <c r="G214" s="1" t="s">
        <v>37</v>
      </c>
      <c r="H214">
        <v>0.1</v>
      </c>
      <c r="I214" s="1" t="s">
        <v>56</v>
      </c>
      <c r="J214" s="4">
        <v>11.14</v>
      </c>
      <c r="K214" s="1" t="s">
        <v>101</v>
      </c>
      <c r="L214" s="1" t="s">
        <v>85</v>
      </c>
      <c r="M214">
        <v>1</v>
      </c>
      <c r="N214" s="1" t="s">
        <v>796</v>
      </c>
      <c r="O214" s="1" t="s">
        <v>797</v>
      </c>
      <c r="P214" s="4">
        <v>47.24</v>
      </c>
      <c r="Q214" s="2">
        <v>44966</v>
      </c>
      <c r="R214" s="1" t="s">
        <v>798</v>
      </c>
      <c r="S214" s="1" t="s">
        <v>42</v>
      </c>
      <c r="T214" s="1" t="s">
        <v>199</v>
      </c>
      <c r="U214" s="5">
        <f>product_sales_data__1[[#This Row],[TotalPrice]]-product_sales_data__1[[#This Row],[ShippingCost]]</f>
        <v>-36.1</v>
      </c>
      <c r="V214" s="5">
        <f>product_sales_data__1[[#This Row],[Quantity]]*product_sales_data__1[[#This Row],[UnitPrice]]*product_sales_data__1[[#This Row],[Discount]]</f>
        <v>1.2380000000000002</v>
      </c>
    </row>
    <row r="215" spans="1:22" x14ac:dyDescent="0.3">
      <c r="A215" s="1" t="s">
        <v>799</v>
      </c>
      <c r="B215" s="1" t="s">
        <v>34</v>
      </c>
      <c r="C215" s="1" t="s">
        <v>127</v>
      </c>
      <c r="D215">
        <v>3</v>
      </c>
      <c r="E215" s="4">
        <v>136.15</v>
      </c>
      <c r="F215" s="1" t="s">
        <v>84</v>
      </c>
      <c r="G215" s="1" t="s">
        <v>37</v>
      </c>
      <c r="H215">
        <v>0.1</v>
      </c>
      <c r="I215" s="1" t="s">
        <v>78</v>
      </c>
      <c r="J215" s="4">
        <v>367.61</v>
      </c>
      <c r="K215" s="1" t="s">
        <v>57</v>
      </c>
      <c r="L215" s="1" t="s">
        <v>58</v>
      </c>
      <c r="M215">
        <v>0</v>
      </c>
      <c r="N215" s="1" t="s">
        <v>800</v>
      </c>
      <c r="O215" s="1" t="s">
        <v>801</v>
      </c>
      <c r="P215" s="4">
        <v>48.38</v>
      </c>
      <c r="Q215" s="2">
        <v>45361</v>
      </c>
      <c r="R215" s="1" t="s">
        <v>482</v>
      </c>
      <c r="S215" s="1" t="s">
        <v>42</v>
      </c>
      <c r="T215" s="1" t="s">
        <v>98</v>
      </c>
      <c r="U215" s="5">
        <f>product_sales_data__1[[#This Row],[TotalPrice]]-product_sales_data__1[[#This Row],[ShippingCost]]</f>
        <v>319.23</v>
      </c>
      <c r="V215" s="5">
        <f>product_sales_data__1[[#This Row],[Quantity]]*product_sales_data__1[[#This Row],[UnitPrice]]*product_sales_data__1[[#This Row],[Discount]]</f>
        <v>40.845000000000006</v>
      </c>
    </row>
    <row r="216" spans="1:22" x14ac:dyDescent="0.3">
      <c r="A216" s="1" t="s">
        <v>802</v>
      </c>
      <c r="B216" s="1" t="s">
        <v>45</v>
      </c>
      <c r="C216" s="1" t="s">
        <v>22</v>
      </c>
      <c r="D216">
        <v>8</v>
      </c>
      <c r="E216" s="4">
        <v>561.9</v>
      </c>
      <c r="F216" s="1" t="s">
        <v>84</v>
      </c>
      <c r="G216" s="1" t="s">
        <v>37</v>
      </c>
      <c r="H216">
        <v>0.15</v>
      </c>
      <c r="I216" s="1" t="s">
        <v>94</v>
      </c>
      <c r="J216" s="4">
        <v>3820.92</v>
      </c>
      <c r="K216" s="1" t="s">
        <v>26</v>
      </c>
      <c r="L216" s="1" t="s">
        <v>85</v>
      </c>
      <c r="M216">
        <v>1</v>
      </c>
      <c r="N216" s="1" t="s">
        <v>803</v>
      </c>
      <c r="O216" s="1" t="s">
        <v>804</v>
      </c>
      <c r="P216" s="4">
        <v>15.97</v>
      </c>
      <c r="Q216" s="2">
        <v>45475</v>
      </c>
      <c r="R216" s="1" t="s">
        <v>805</v>
      </c>
      <c r="S216" s="1" t="s">
        <v>51</v>
      </c>
      <c r="T216" s="1" t="s">
        <v>117</v>
      </c>
      <c r="U216" s="5">
        <f>product_sales_data__1[[#This Row],[TotalPrice]]-product_sales_data__1[[#This Row],[ShippingCost]]</f>
        <v>3804.9500000000003</v>
      </c>
      <c r="V216" s="5">
        <f>product_sales_data__1[[#This Row],[Quantity]]*product_sales_data__1[[#This Row],[UnitPrice]]*product_sales_data__1[[#This Row],[Discount]]</f>
        <v>674.28</v>
      </c>
    </row>
    <row r="217" spans="1:22" x14ac:dyDescent="0.3">
      <c r="A217" s="1" t="s">
        <v>320</v>
      </c>
      <c r="B217" s="1" t="s">
        <v>34</v>
      </c>
      <c r="C217" s="1" t="s">
        <v>35</v>
      </c>
      <c r="D217">
        <v>20</v>
      </c>
      <c r="E217" s="4">
        <v>313.47000000000003</v>
      </c>
      <c r="F217" s="1" t="s">
        <v>36</v>
      </c>
      <c r="G217" s="1" t="s">
        <v>37</v>
      </c>
      <c r="H217">
        <v>0.15</v>
      </c>
      <c r="I217" s="1" t="s">
        <v>25</v>
      </c>
      <c r="J217" s="4">
        <v>5328.99</v>
      </c>
      <c r="K217" s="1" t="s">
        <v>26</v>
      </c>
      <c r="L217" s="1" t="s">
        <v>85</v>
      </c>
      <c r="M217">
        <v>0</v>
      </c>
      <c r="N217" s="1" t="s">
        <v>806</v>
      </c>
      <c r="O217" s="1" t="s">
        <v>807</v>
      </c>
      <c r="P217" s="4">
        <v>18.170000000000002</v>
      </c>
      <c r="Q217" s="2">
        <v>45140</v>
      </c>
      <c r="R217" s="1" t="s">
        <v>192</v>
      </c>
      <c r="S217" s="1" t="s">
        <v>42</v>
      </c>
      <c r="T217" s="1" t="s">
        <v>82</v>
      </c>
      <c r="U217" s="5">
        <f>product_sales_data__1[[#This Row],[TotalPrice]]-product_sales_data__1[[#This Row],[ShippingCost]]</f>
        <v>5310.82</v>
      </c>
      <c r="V217" s="5">
        <f>product_sales_data__1[[#This Row],[Quantity]]*product_sales_data__1[[#This Row],[UnitPrice]]*product_sales_data__1[[#This Row],[Discount]]</f>
        <v>940.41000000000008</v>
      </c>
    </row>
    <row r="218" spans="1:22" x14ac:dyDescent="0.3">
      <c r="A218" s="1" t="s">
        <v>551</v>
      </c>
      <c r="B218" s="1" t="s">
        <v>21</v>
      </c>
      <c r="C218" s="1" t="s">
        <v>35</v>
      </c>
      <c r="D218">
        <v>10</v>
      </c>
      <c r="E218" s="4">
        <v>278</v>
      </c>
      <c r="F218" s="1" t="s">
        <v>36</v>
      </c>
      <c r="G218" s="1" t="s">
        <v>37</v>
      </c>
      <c r="H218">
        <v>0</v>
      </c>
      <c r="I218" s="1" t="s">
        <v>94</v>
      </c>
      <c r="J218" s="4">
        <v>2780</v>
      </c>
      <c r="K218" s="1" t="s">
        <v>101</v>
      </c>
      <c r="L218" s="1" t="s">
        <v>48</v>
      </c>
      <c r="M218">
        <v>0</v>
      </c>
      <c r="N218" s="1" t="s">
        <v>808</v>
      </c>
      <c r="O218" s="1" t="s">
        <v>809</v>
      </c>
      <c r="P218" s="4">
        <v>24.25</v>
      </c>
      <c r="Q218" s="2">
        <v>45634</v>
      </c>
      <c r="R218" s="1" t="s">
        <v>810</v>
      </c>
      <c r="S218" s="1" t="s">
        <v>31</v>
      </c>
      <c r="T218" s="1" t="s">
        <v>76</v>
      </c>
      <c r="U218" s="5">
        <f>product_sales_data__1[[#This Row],[TotalPrice]]-product_sales_data__1[[#This Row],[ShippingCost]]</f>
        <v>2755.75</v>
      </c>
      <c r="V218" s="5">
        <f>product_sales_data__1[[#This Row],[Quantity]]*product_sales_data__1[[#This Row],[UnitPrice]]*product_sales_data__1[[#This Row],[Discount]]</f>
        <v>0</v>
      </c>
    </row>
    <row r="219" spans="1:22" x14ac:dyDescent="0.3">
      <c r="A219" s="1" t="s">
        <v>811</v>
      </c>
      <c r="B219" s="1" t="s">
        <v>70</v>
      </c>
      <c r="C219" s="1" t="s">
        <v>22</v>
      </c>
      <c r="D219">
        <v>13</v>
      </c>
      <c r="E219" s="4">
        <v>561.62</v>
      </c>
      <c r="F219" s="1" t="s">
        <v>36</v>
      </c>
      <c r="G219" s="1" t="s">
        <v>24</v>
      </c>
      <c r="H219">
        <v>0.05</v>
      </c>
      <c r="I219" s="1" t="s">
        <v>56</v>
      </c>
      <c r="J219" s="4">
        <v>6936.01</v>
      </c>
      <c r="K219" s="1" t="s">
        <v>57</v>
      </c>
      <c r="L219" s="1" t="s">
        <v>85</v>
      </c>
      <c r="M219">
        <v>0</v>
      </c>
      <c r="N219" s="1" t="s">
        <v>812</v>
      </c>
      <c r="O219" s="1" t="s">
        <v>813</v>
      </c>
      <c r="P219" s="4">
        <v>12.91</v>
      </c>
      <c r="Q219" s="2">
        <v>45108</v>
      </c>
      <c r="R219" s="1" t="s">
        <v>33</v>
      </c>
      <c r="S219" s="1" t="s">
        <v>75</v>
      </c>
      <c r="T219" s="1" t="s">
        <v>117</v>
      </c>
      <c r="U219" s="5">
        <f>product_sales_data__1[[#This Row],[TotalPrice]]-product_sales_data__1[[#This Row],[ShippingCost]]</f>
        <v>6923.1</v>
      </c>
      <c r="V219" s="5">
        <f>product_sales_data__1[[#This Row],[Quantity]]*product_sales_data__1[[#This Row],[UnitPrice]]*product_sales_data__1[[#This Row],[Discount]]</f>
        <v>365.05300000000005</v>
      </c>
    </row>
    <row r="220" spans="1:22" x14ac:dyDescent="0.3">
      <c r="A220" s="1" t="s">
        <v>196</v>
      </c>
      <c r="B220" s="1" t="s">
        <v>21</v>
      </c>
      <c r="C220" s="1" t="s">
        <v>109</v>
      </c>
      <c r="D220">
        <v>15</v>
      </c>
      <c r="E220" s="4">
        <v>115.48</v>
      </c>
      <c r="F220" s="1" t="s">
        <v>84</v>
      </c>
      <c r="G220" s="1" t="s">
        <v>37</v>
      </c>
      <c r="H220">
        <v>0.15</v>
      </c>
      <c r="I220" s="1" t="s">
        <v>56</v>
      </c>
      <c r="J220" s="4">
        <v>1472.37</v>
      </c>
      <c r="K220" s="1" t="s">
        <v>101</v>
      </c>
      <c r="L220" s="1" t="s">
        <v>48</v>
      </c>
      <c r="M220">
        <v>0</v>
      </c>
      <c r="N220" s="1" t="s">
        <v>814</v>
      </c>
      <c r="O220" s="1" t="s">
        <v>815</v>
      </c>
      <c r="P220" s="4">
        <v>6.04</v>
      </c>
      <c r="Q220" s="2">
        <v>45323</v>
      </c>
      <c r="R220" s="1" t="s">
        <v>739</v>
      </c>
      <c r="S220" s="1" t="s">
        <v>31</v>
      </c>
      <c r="T220" s="1" t="s">
        <v>199</v>
      </c>
      <c r="U220" s="5">
        <f>product_sales_data__1[[#This Row],[TotalPrice]]-product_sales_data__1[[#This Row],[ShippingCost]]</f>
        <v>1466.33</v>
      </c>
      <c r="V220" s="5">
        <f>product_sales_data__1[[#This Row],[Quantity]]*product_sales_data__1[[#This Row],[UnitPrice]]*product_sales_data__1[[#This Row],[Discount]]</f>
        <v>259.83</v>
      </c>
    </row>
    <row r="221" spans="1:22" x14ac:dyDescent="0.3">
      <c r="A221" s="1" t="s">
        <v>816</v>
      </c>
      <c r="B221" s="1" t="s">
        <v>45</v>
      </c>
      <c r="C221" s="1" t="s">
        <v>109</v>
      </c>
      <c r="D221">
        <v>19</v>
      </c>
      <c r="E221" s="4">
        <v>401.68</v>
      </c>
      <c r="F221" s="1" t="s">
        <v>36</v>
      </c>
      <c r="G221" s="1" t="s">
        <v>24</v>
      </c>
      <c r="H221">
        <v>0.05</v>
      </c>
      <c r="I221" s="1" t="s">
        <v>25</v>
      </c>
      <c r="J221" s="4">
        <v>7250.32</v>
      </c>
      <c r="K221" s="1" t="s">
        <v>38</v>
      </c>
      <c r="L221" s="1" t="s">
        <v>27</v>
      </c>
      <c r="M221">
        <v>1</v>
      </c>
      <c r="N221" s="1" t="s">
        <v>817</v>
      </c>
      <c r="O221" s="1" t="s">
        <v>818</v>
      </c>
      <c r="P221" s="4">
        <v>37.770000000000003</v>
      </c>
      <c r="Q221" s="2">
        <v>45417</v>
      </c>
      <c r="R221" s="1" t="s">
        <v>783</v>
      </c>
      <c r="S221" s="1" t="s">
        <v>51</v>
      </c>
      <c r="T221" s="1" t="s">
        <v>63</v>
      </c>
      <c r="U221" s="5">
        <f>product_sales_data__1[[#This Row],[TotalPrice]]-product_sales_data__1[[#This Row],[ShippingCost]]</f>
        <v>7212.5499999999993</v>
      </c>
      <c r="V221" s="5">
        <f>product_sales_data__1[[#This Row],[Quantity]]*product_sales_data__1[[#This Row],[UnitPrice]]*product_sales_data__1[[#This Row],[Discount]]</f>
        <v>381.596</v>
      </c>
    </row>
    <row r="222" spans="1:22" x14ac:dyDescent="0.3">
      <c r="A222" s="1" t="s">
        <v>819</v>
      </c>
      <c r="B222" s="1" t="s">
        <v>70</v>
      </c>
      <c r="C222" s="1" t="s">
        <v>22</v>
      </c>
      <c r="D222">
        <v>9</v>
      </c>
      <c r="E222" s="4">
        <v>363.39</v>
      </c>
      <c r="F222" s="1" t="s">
        <v>23</v>
      </c>
      <c r="G222" s="1" t="s">
        <v>24</v>
      </c>
      <c r="H222">
        <v>0.05</v>
      </c>
      <c r="I222" s="1" t="s">
        <v>78</v>
      </c>
      <c r="J222" s="4">
        <v>3106.98</v>
      </c>
      <c r="K222" s="1" t="s">
        <v>57</v>
      </c>
      <c r="L222" s="1" t="s">
        <v>48</v>
      </c>
      <c r="M222">
        <v>0</v>
      </c>
      <c r="N222" s="1" t="s">
        <v>820</v>
      </c>
      <c r="O222" s="1" t="s">
        <v>215</v>
      </c>
      <c r="P222" s="4">
        <v>41.64</v>
      </c>
      <c r="Q222" s="2">
        <v>45334</v>
      </c>
      <c r="R222" s="1" t="s">
        <v>821</v>
      </c>
      <c r="S222" s="1" t="s">
        <v>75</v>
      </c>
      <c r="T222" s="1" t="s">
        <v>199</v>
      </c>
      <c r="U222" s="5">
        <f>product_sales_data__1[[#This Row],[TotalPrice]]-product_sales_data__1[[#This Row],[ShippingCost]]</f>
        <v>3065.34</v>
      </c>
      <c r="V222" s="5">
        <f>product_sales_data__1[[#This Row],[Quantity]]*product_sales_data__1[[#This Row],[UnitPrice]]*product_sales_data__1[[#This Row],[Discount]]</f>
        <v>163.52549999999999</v>
      </c>
    </row>
    <row r="223" spans="1:22" x14ac:dyDescent="0.3">
      <c r="A223" s="1" t="s">
        <v>822</v>
      </c>
      <c r="B223" s="1" t="s">
        <v>34</v>
      </c>
      <c r="C223" s="1" t="s">
        <v>35</v>
      </c>
      <c r="D223">
        <v>20</v>
      </c>
      <c r="E223" s="4">
        <v>504.22</v>
      </c>
      <c r="F223" s="1" t="s">
        <v>55</v>
      </c>
      <c r="G223" s="1" t="s">
        <v>24</v>
      </c>
      <c r="H223">
        <v>0</v>
      </c>
      <c r="I223" s="1" t="s">
        <v>56</v>
      </c>
      <c r="J223" s="4">
        <v>10084.4</v>
      </c>
      <c r="K223" s="1" t="s">
        <v>26</v>
      </c>
      <c r="L223" s="1" t="s">
        <v>27</v>
      </c>
      <c r="M223">
        <v>0</v>
      </c>
      <c r="N223" s="1" t="s">
        <v>823</v>
      </c>
      <c r="O223" s="1" t="s">
        <v>824</v>
      </c>
      <c r="P223" s="4">
        <v>14.61</v>
      </c>
      <c r="Q223" s="2">
        <v>45572</v>
      </c>
      <c r="R223" s="1" t="s">
        <v>825</v>
      </c>
      <c r="S223" s="1" t="s">
        <v>42</v>
      </c>
      <c r="T223" s="1" t="s">
        <v>32</v>
      </c>
      <c r="U223" s="5">
        <f>product_sales_data__1[[#This Row],[TotalPrice]]-product_sales_data__1[[#This Row],[ShippingCost]]</f>
        <v>10069.789999999999</v>
      </c>
      <c r="V223" s="5">
        <f>product_sales_data__1[[#This Row],[Quantity]]*product_sales_data__1[[#This Row],[UnitPrice]]*product_sales_data__1[[#This Row],[Discount]]</f>
        <v>0</v>
      </c>
    </row>
    <row r="224" spans="1:22" x14ac:dyDescent="0.3">
      <c r="A224" s="1" t="s">
        <v>826</v>
      </c>
      <c r="B224" s="1" t="s">
        <v>70</v>
      </c>
      <c r="C224" s="1" t="s">
        <v>100</v>
      </c>
      <c r="D224">
        <v>7</v>
      </c>
      <c r="E224" s="4">
        <v>193.66</v>
      </c>
      <c r="F224" s="1" t="s">
        <v>84</v>
      </c>
      <c r="G224" s="1" t="s">
        <v>24</v>
      </c>
      <c r="H224">
        <v>0.1</v>
      </c>
      <c r="I224" s="1" t="s">
        <v>78</v>
      </c>
      <c r="J224" s="4">
        <v>1220.06</v>
      </c>
      <c r="K224" s="1" t="s">
        <v>101</v>
      </c>
      <c r="L224" s="1" t="s">
        <v>85</v>
      </c>
      <c r="M224">
        <v>0</v>
      </c>
      <c r="N224" s="1" t="s">
        <v>827</v>
      </c>
      <c r="O224" s="1" t="s">
        <v>828</v>
      </c>
      <c r="P224" s="4">
        <v>39.01</v>
      </c>
      <c r="Q224" s="2">
        <v>45078</v>
      </c>
      <c r="R224" s="1" t="s">
        <v>829</v>
      </c>
      <c r="S224" s="1" t="s">
        <v>75</v>
      </c>
      <c r="T224" s="1" t="s">
        <v>105</v>
      </c>
      <c r="U224" s="5">
        <f>product_sales_data__1[[#This Row],[TotalPrice]]-product_sales_data__1[[#This Row],[ShippingCost]]</f>
        <v>1181.05</v>
      </c>
      <c r="V224" s="5">
        <f>product_sales_data__1[[#This Row],[Quantity]]*product_sales_data__1[[#This Row],[UnitPrice]]*product_sales_data__1[[#This Row],[Discount]]</f>
        <v>135.56199999999998</v>
      </c>
    </row>
    <row r="225" spans="1:22" x14ac:dyDescent="0.3">
      <c r="A225" s="1" t="s">
        <v>776</v>
      </c>
      <c r="B225" s="1" t="s">
        <v>45</v>
      </c>
      <c r="C225" s="1" t="s">
        <v>109</v>
      </c>
      <c r="D225">
        <v>18</v>
      </c>
      <c r="E225" s="4">
        <v>62.08</v>
      </c>
      <c r="F225" s="1" t="s">
        <v>23</v>
      </c>
      <c r="G225" s="1" t="s">
        <v>37</v>
      </c>
      <c r="H225">
        <v>0</v>
      </c>
      <c r="I225" s="1" t="s">
        <v>78</v>
      </c>
      <c r="J225" s="4">
        <v>1117.44</v>
      </c>
      <c r="K225" s="1" t="s">
        <v>101</v>
      </c>
      <c r="L225" s="1" t="s">
        <v>58</v>
      </c>
      <c r="M225">
        <v>1</v>
      </c>
      <c r="N225" s="1" t="s">
        <v>830</v>
      </c>
      <c r="O225" s="1" t="s">
        <v>831</v>
      </c>
      <c r="P225" s="4">
        <v>8.67</v>
      </c>
      <c r="Q225" s="2">
        <v>45242</v>
      </c>
      <c r="R225" s="1" t="s">
        <v>832</v>
      </c>
      <c r="S225" s="1" t="s">
        <v>51</v>
      </c>
      <c r="T225" s="1" t="s">
        <v>43</v>
      </c>
      <c r="U225" s="5">
        <f>product_sales_data__1[[#This Row],[TotalPrice]]-product_sales_data__1[[#This Row],[ShippingCost]]</f>
        <v>1108.77</v>
      </c>
      <c r="V225" s="5">
        <f>product_sales_data__1[[#This Row],[Quantity]]*product_sales_data__1[[#This Row],[UnitPrice]]*product_sales_data__1[[#This Row],[Discount]]</f>
        <v>0</v>
      </c>
    </row>
    <row r="226" spans="1:22" x14ac:dyDescent="0.3">
      <c r="A226" s="1" t="s">
        <v>530</v>
      </c>
      <c r="B226" s="1" t="s">
        <v>21</v>
      </c>
      <c r="C226" s="1" t="s">
        <v>22</v>
      </c>
      <c r="D226">
        <v>6</v>
      </c>
      <c r="E226" s="4">
        <v>249.09</v>
      </c>
      <c r="F226" s="1" t="s">
        <v>23</v>
      </c>
      <c r="G226" s="1" t="s">
        <v>37</v>
      </c>
      <c r="H226">
        <v>0.05</v>
      </c>
      <c r="I226" s="1" t="s">
        <v>56</v>
      </c>
      <c r="J226" s="4">
        <v>1419.81</v>
      </c>
      <c r="K226" s="1" t="s">
        <v>47</v>
      </c>
      <c r="L226" s="1" t="s">
        <v>48</v>
      </c>
      <c r="M226">
        <v>0</v>
      </c>
      <c r="N226" s="1" t="s">
        <v>833</v>
      </c>
      <c r="O226" s="1" t="s">
        <v>834</v>
      </c>
      <c r="P226" s="4">
        <v>20.38</v>
      </c>
      <c r="Q226" s="2">
        <v>45752</v>
      </c>
      <c r="R226" s="1" t="s">
        <v>510</v>
      </c>
      <c r="S226" s="1" t="s">
        <v>31</v>
      </c>
      <c r="T226" s="1" t="s">
        <v>147</v>
      </c>
      <c r="U226" s="5">
        <f>product_sales_data__1[[#This Row],[TotalPrice]]-product_sales_data__1[[#This Row],[ShippingCost]]</f>
        <v>1399.4299999999998</v>
      </c>
      <c r="V226" s="5">
        <f>product_sales_data__1[[#This Row],[Quantity]]*product_sales_data__1[[#This Row],[UnitPrice]]*product_sales_data__1[[#This Row],[Discount]]</f>
        <v>74.727000000000004</v>
      </c>
    </row>
    <row r="227" spans="1:22" x14ac:dyDescent="0.3">
      <c r="A227" s="1" t="s">
        <v>719</v>
      </c>
      <c r="B227" s="1" t="s">
        <v>70</v>
      </c>
      <c r="C227" s="1" t="s">
        <v>71</v>
      </c>
      <c r="D227">
        <v>20</v>
      </c>
      <c r="E227" s="4">
        <v>400.05</v>
      </c>
      <c r="F227" s="1" t="s">
        <v>55</v>
      </c>
      <c r="G227" s="1" t="s">
        <v>24</v>
      </c>
      <c r="H227">
        <v>0.1</v>
      </c>
      <c r="I227" s="1" t="s">
        <v>78</v>
      </c>
      <c r="J227" s="4">
        <v>7200.9</v>
      </c>
      <c r="K227" s="1" t="s">
        <v>38</v>
      </c>
      <c r="L227" s="1" t="s">
        <v>27</v>
      </c>
      <c r="M227">
        <v>0</v>
      </c>
      <c r="N227" s="1" t="s">
        <v>835</v>
      </c>
      <c r="O227" s="1" t="s">
        <v>836</v>
      </c>
      <c r="P227" s="4">
        <v>24.41</v>
      </c>
      <c r="Q227" s="2">
        <v>45962</v>
      </c>
      <c r="R227" s="1" t="s">
        <v>837</v>
      </c>
      <c r="S227" s="1" t="s">
        <v>75</v>
      </c>
      <c r="T227" s="1" t="s">
        <v>43</v>
      </c>
      <c r="U227" s="5">
        <f>product_sales_data__1[[#This Row],[TotalPrice]]-product_sales_data__1[[#This Row],[ShippingCost]]</f>
        <v>7176.49</v>
      </c>
      <c r="V227" s="5">
        <f>product_sales_data__1[[#This Row],[Quantity]]*product_sales_data__1[[#This Row],[UnitPrice]]*product_sales_data__1[[#This Row],[Discount]]</f>
        <v>800.1</v>
      </c>
    </row>
    <row r="228" spans="1:22" x14ac:dyDescent="0.3">
      <c r="A228" s="1" t="s">
        <v>802</v>
      </c>
      <c r="B228" s="1" t="s">
        <v>70</v>
      </c>
      <c r="C228" s="1" t="s">
        <v>35</v>
      </c>
      <c r="D228">
        <v>13</v>
      </c>
      <c r="E228" s="4">
        <v>448.68</v>
      </c>
      <c r="F228" s="1" t="s">
        <v>23</v>
      </c>
      <c r="G228" s="1" t="s">
        <v>24</v>
      </c>
      <c r="H228">
        <v>0.1</v>
      </c>
      <c r="I228" s="1" t="s">
        <v>78</v>
      </c>
      <c r="J228" s="4">
        <v>5249.56</v>
      </c>
      <c r="K228" s="1" t="s">
        <v>101</v>
      </c>
      <c r="L228" s="1" t="s">
        <v>85</v>
      </c>
      <c r="M228">
        <v>1</v>
      </c>
      <c r="N228" s="1" t="s">
        <v>838</v>
      </c>
      <c r="O228" s="1" t="s">
        <v>839</v>
      </c>
      <c r="P228" s="4">
        <v>16.82</v>
      </c>
      <c r="Q228" s="2">
        <v>45475</v>
      </c>
      <c r="R228" s="1" t="s">
        <v>514</v>
      </c>
      <c r="S228" s="1" t="s">
        <v>75</v>
      </c>
      <c r="T228" s="1" t="s">
        <v>117</v>
      </c>
      <c r="U228" s="5">
        <f>product_sales_data__1[[#This Row],[TotalPrice]]-product_sales_data__1[[#This Row],[ShippingCost]]</f>
        <v>5232.7400000000007</v>
      </c>
      <c r="V228" s="5">
        <f>product_sales_data__1[[#This Row],[Quantity]]*product_sales_data__1[[#This Row],[UnitPrice]]*product_sales_data__1[[#This Row],[Discount]]</f>
        <v>583.28399999999999</v>
      </c>
    </row>
    <row r="229" spans="1:22" x14ac:dyDescent="0.3">
      <c r="A229" s="1" t="s">
        <v>134</v>
      </c>
      <c r="B229" s="1" t="s">
        <v>54</v>
      </c>
      <c r="C229" s="1" t="s">
        <v>35</v>
      </c>
      <c r="D229">
        <v>14</v>
      </c>
      <c r="E229" s="4">
        <v>113.77</v>
      </c>
      <c r="F229" s="1" t="s">
        <v>36</v>
      </c>
      <c r="G229" s="1" t="s">
        <v>37</v>
      </c>
      <c r="H229">
        <v>0</v>
      </c>
      <c r="I229" s="1" t="s">
        <v>65</v>
      </c>
      <c r="J229" s="4">
        <v>1592.78</v>
      </c>
      <c r="K229" s="1" t="s">
        <v>47</v>
      </c>
      <c r="L229" s="1" t="s">
        <v>85</v>
      </c>
      <c r="M229">
        <v>0</v>
      </c>
      <c r="N229" s="1" t="s">
        <v>840</v>
      </c>
      <c r="O229" s="1" t="s">
        <v>513</v>
      </c>
      <c r="P229" s="4">
        <v>25.35</v>
      </c>
      <c r="Q229" s="2">
        <v>45239</v>
      </c>
      <c r="R229" s="1" t="s">
        <v>841</v>
      </c>
      <c r="S229" s="1" t="s">
        <v>62</v>
      </c>
      <c r="T229" s="1" t="s">
        <v>43</v>
      </c>
      <c r="U229" s="5">
        <f>product_sales_data__1[[#This Row],[TotalPrice]]-product_sales_data__1[[#This Row],[ShippingCost]]</f>
        <v>1567.43</v>
      </c>
      <c r="V229" s="5">
        <f>product_sales_data__1[[#This Row],[Quantity]]*product_sales_data__1[[#This Row],[UnitPrice]]*product_sales_data__1[[#This Row],[Discount]]</f>
        <v>0</v>
      </c>
    </row>
    <row r="230" spans="1:22" x14ac:dyDescent="0.3">
      <c r="A230" s="1" t="s">
        <v>225</v>
      </c>
      <c r="B230" s="1" t="s">
        <v>45</v>
      </c>
      <c r="C230" s="1" t="s">
        <v>140</v>
      </c>
      <c r="D230">
        <v>2</v>
      </c>
      <c r="E230" s="4">
        <v>89.6</v>
      </c>
      <c r="F230" s="1" t="s">
        <v>84</v>
      </c>
      <c r="G230" s="1" t="s">
        <v>37</v>
      </c>
      <c r="H230">
        <v>0</v>
      </c>
      <c r="I230" s="1" t="s">
        <v>78</v>
      </c>
      <c r="J230" s="4">
        <v>179.2</v>
      </c>
      <c r="K230" s="1" t="s">
        <v>57</v>
      </c>
      <c r="L230" s="1" t="s">
        <v>85</v>
      </c>
      <c r="M230">
        <v>0</v>
      </c>
      <c r="N230" s="1" t="s">
        <v>842</v>
      </c>
      <c r="O230" s="1" t="s">
        <v>843</v>
      </c>
      <c r="P230" s="4">
        <v>23.69</v>
      </c>
      <c r="Q230" s="2">
        <v>45906</v>
      </c>
      <c r="R230" s="1" t="s">
        <v>229</v>
      </c>
      <c r="S230" s="1" t="s">
        <v>51</v>
      </c>
      <c r="T230" s="1" t="s">
        <v>52</v>
      </c>
      <c r="U230" s="5">
        <f>product_sales_data__1[[#This Row],[TotalPrice]]-product_sales_data__1[[#This Row],[ShippingCost]]</f>
        <v>155.51</v>
      </c>
      <c r="V230" s="5">
        <f>product_sales_data__1[[#This Row],[Quantity]]*product_sales_data__1[[#This Row],[UnitPrice]]*product_sales_data__1[[#This Row],[Discount]]</f>
        <v>0</v>
      </c>
    </row>
    <row r="231" spans="1:22" x14ac:dyDescent="0.3">
      <c r="A231" s="1" t="s">
        <v>844</v>
      </c>
      <c r="B231" s="1" t="s">
        <v>70</v>
      </c>
      <c r="C231" s="1" t="s">
        <v>22</v>
      </c>
      <c r="D231">
        <v>3</v>
      </c>
      <c r="E231" s="4">
        <v>391.92</v>
      </c>
      <c r="F231" s="1" t="s">
        <v>84</v>
      </c>
      <c r="G231" s="1" t="s">
        <v>24</v>
      </c>
      <c r="H231">
        <v>0.15</v>
      </c>
      <c r="I231" s="1" t="s">
        <v>25</v>
      </c>
      <c r="J231" s="4">
        <v>999.4</v>
      </c>
      <c r="K231" s="1" t="s">
        <v>38</v>
      </c>
      <c r="L231" s="1" t="s">
        <v>58</v>
      </c>
      <c r="M231">
        <v>0</v>
      </c>
      <c r="N231" s="1" t="s">
        <v>845</v>
      </c>
      <c r="O231" s="1" t="s">
        <v>846</v>
      </c>
      <c r="P231" s="4">
        <v>9.86</v>
      </c>
      <c r="Q231" s="2">
        <v>45814</v>
      </c>
      <c r="R231" s="1" t="s">
        <v>228</v>
      </c>
      <c r="S231" s="1" t="s">
        <v>75</v>
      </c>
      <c r="T231" s="1" t="s">
        <v>105</v>
      </c>
      <c r="U231" s="5">
        <f>product_sales_data__1[[#This Row],[TotalPrice]]-product_sales_data__1[[#This Row],[ShippingCost]]</f>
        <v>989.54</v>
      </c>
      <c r="V231" s="5">
        <f>product_sales_data__1[[#This Row],[Quantity]]*product_sales_data__1[[#This Row],[UnitPrice]]*product_sales_data__1[[#This Row],[Discount]]</f>
        <v>176.364</v>
      </c>
    </row>
    <row r="232" spans="1:22" x14ac:dyDescent="0.3">
      <c r="A232" s="1" t="s">
        <v>44</v>
      </c>
      <c r="B232" s="1" t="s">
        <v>70</v>
      </c>
      <c r="C232" s="1" t="s">
        <v>127</v>
      </c>
      <c r="D232">
        <v>10</v>
      </c>
      <c r="E232" s="4">
        <v>209.95</v>
      </c>
      <c r="F232" s="1" t="s">
        <v>84</v>
      </c>
      <c r="G232" s="1" t="s">
        <v>24</v>
      </c>
      <c r="H232">
        <v>0.1</v>
      </c>
      <c r="I232" s="1" t="s">
        <v>65</v>
      </c>
      <c r="J232" s="4">
        <v>1889.55</v>
      </c>
      <c r="K232" s="1" t="s">
        <v>47</v>
      </c>
      <c r="L232" s="1" t="s">
        <v>27</v>
      </c>
      <c r="M232">
        <v>0</v>
      </c>
      <c r="N232" s="1" t="s">
        <v>847</v>
      </c>
      <c r="O232" s="1" t="s">
        <v>848</v>
      </c>
      <c r="P232" s="4">
        <v>10.99</v>
      </c>
      <c r="Q232" s="2">
        <v>45170</v>
      </c>
      <c r="R232" s="1" t="s">
        <v>849</v>
      </c>
      <c r="S232" s="1" t="s">
        <v>75</v>
      </c>
      <c r="T232" s="1" t="s">
        <v>52</v>
      </c>
      <c r="U232" s="5">
        <f>product_sales_data__1[[#This Row],[TotalPrice]]-product_sales_data__1[[#This Row],[ShippingCost]]</f>
        <v>1878.56</v>
      </c>
      <c r="V232" s="5">
        <f>product_sales_data__1[[#This Row],[Quantity]]*product_sales_data__1[[#This Row],[UnitPrice]]*product_sales_data__1[[#This Row],[Discount]]</f>
        <v>209.95000000000002</v>
      </c>
    </row>
    <row r="233" spans="1:22" x14ac:dyDescent="0.3">
      <c r="A233" s="1" t="s">
        <v>850</v>
      </c>
      <c r="B233" s="1" t="s">
        <v>34</v>
      </c>
      <c r="C233" s="1" t="s">
        <v>71</v>
      </c>
      <c r="D233">
        <v>7</v>
      </c>
      <c r="E233" s="4">
        <v>18.36</v>
      </c>
      <c r="F233" s="1" t="s">
        <v>55</v>
      </c>
      <c r="G233" s="1" t="s">
        <v>37</v>
      </c>
      <c r="H233">
        <v>0.1</v>
      </c>
      <c r="I233" s="1" t="s">
        <v>25</v>
      </c>
      <c r="J233" s="4">
        <v>115.67</v>
      </c>
      <c r="K233" s="1" t="s">
        <v>26</v>
      </c>
      <c r="L233" s="1" t="s">
        <v>48</v>
      </c>
      <c r="M233">
        <v>0</v>
      </c>
      <c r="N233" s="1" t="s">
        <v>851</v>
      </c>
      <c r="O233" s="1" t="s">
        <v>852</v>
      </c>
      <c r="P233" s="4">
        <v>48.92</v>
      </c>
      <c r="Q233" s="2">
        <v>45086</v>
      </c>
      <c r="R233" s="1" t="s">
        <v>134</v>
      </c>
      <c r="S233" s="1" t="s">
        <v>42</v>
      </c>
      <c r="T233" s="1" t="s">
        <v>105</v>
      </c>
      <c r="U233" s="5">
        <f>product_sales_data__1[[#This Row],[TotalPrice]]-product_sales_data__1[[#This Row],[ShippingCost]]</f>
        <v>66.75</v>
      </c>
      <c r="V233" s="5">
        <f>product_sales_data__1[[#This Row],[Quantity]]*product_sales_data__1[[#This Row],[UnitPrice]]*product_sales_data__1[[#This Row],[Discount]]</f>
        <v>12.851999999999999</v>
      </c>
    </row>
    <row r="234" spans="1:22" x14ac:dyDescent="0.3">
      <c r="A234" s="1" t="s">
        <v>402</v>
      </c>
      <c r="B234" s="1" t="s">
        <v>70</v>
      </c>
      <c r="C234" s="1" t="s">
        <v>109</v>
      </c>
      <c r="D234">
        <v>15</v>
      </c>
      <c r="E234" s="4">
        <v>298.70999999999998</v>
      </c>
      <c r="F234" s="1" t="s">
        <v>36</v>
      </c>
      <c r="G234" s="1" t="s">
        <v>37</v>
      </c>
      <c r="H234">
        <v>0</v>
      </c>
      <c r="I234" s="1" t="s">
        <v>94</v>
      </c>
      <c r="J234" s="4">
        <v>4480.6499999999996</v>
      </c>
      <c r="K234" s="1" t="s">
        <v>38</v>
      </c>
      <c r="L234" s="1" t="s">
        <v>58</v>
      </c>
      <c r="M234">
        <v>0</v>
      </c>
      <c r="N234" s="1" t="s">
        <v>853</v>
      </c>
      <c r="O234" s="1" t="s">
        <v>854</v>
      </c>
      <c r="P234" s="4">
        <v>11.38</v>
      </c>
      <c r="Q234" s="2">
        <v>44927</v>
      </c>
      <c r="R234" s="1" t="s">
        <v>276</v>
      </c>
      <c r="S234" s="1" t="s">
        <v>75</v>
      </c>
      <c r="T234" s="1" t="s">
        <v>187</v>
      </c>
      <c r="U234" s="5">
        <f>product_sales_data__1[[#This Row],[TotalPrice]]-product_sales_data__1[[#This Row],[ShippingCost]]</f>
        <v>4469.2699999999995</v>
      </c>
      <c r="V234" s="5">
        <f>product_sales_data__1[[#This Row],[Quantity]]*product_sales_data__1[[#This Row],[UnitPrice]]*product_sales_data__1[[#This Row],[Discount]]</f>
        <v>0</v>
      </c>
    </row>
    <row r="235" spans="1:22" x14ac:dyDescent="0.3">
      <c r="A235" s="1" t="s">
        <v>855</v>
      </c>
      <c r="B235" s="1" t="s">
        <v>54</v>
      </c>
      <c r="C235" s="1" t="s">
        <v>109</v>
      </c>
      <c r="D235">
        <v>1</v>
      </c>
      <c r="E235" s="4">
        <v>103.13</v>
      </c>
      <c r="F235" s="1" t="s">
        <v>23</v>
      </c>
      <c r="G235" s="1" t="s">
        <v>24</v>
      </c>
      <c r="H235">
        <v>0</v>
      </c>
      <c r="I235" s="1" t="s">
        <v>94</v>
      </c>
      <c r="J235" s="4">
        <v>103.13</v>
      </c>
      <c r="K235" s="1" t="s">
        <v>26</v>
      </c>
      <c r="L235" s="1" t="s">
        <v>85</v>
      </c>
      <c r="M235">
        <v>0</v>
      </c>
      <c r="N235" s="1" t="s">
        <v>856</v>
      </c>
      <c r="O235" s="1" t="s">
        <v>857</v>
      </c>
      <c r="P235" s="4">
        <v>42.38</v>
      </c>
      <c r="Q235" s="2">
        <v>45383</v>
      </c>
      <c r="R235" s="1" t="s">
        <v>858</v>
      </c>
      <c r="S235" s="1" t="s">
        <v>62</v>
      </c>
      <c r="T235" s="1" t="s">
        <v>147</v>
      </c>
      <c r="U235" s="5">
        <f>product_sales_data__1[[#This Row],[TotalPrice]]-product_sales_data__1[[#This Row],[ShippingCost]]</f>
        <v>60.749999999999993</v>
      </c>
      <c r="V235" s="5">
        <f>product_sales_data__1[[#This Row],[Quantity]]*product_sales_data__1[[#This Row],[UnitPrice]]*product_sales_data__1[[#This Row],[Discount]]</f>
        <v>0</v>
      </c>
    </row>
    <row r="236" spans="1:22" x14ac:dyDescent="0.3">
      <c r="A236" s="1" t="s">
        <v>557</v>
      </c>
      <c r="B236" s="1" t="s">
        <v>70</v>
      </c>
      <c r="C236" s="1" t="s">
        <v>127</v>
      </c>
      <c r="D236">
        <v>1</v>
      </c>
      <c r="E236" s="4">
        <v>541.9</v>
      </c>
      <c r="F236" s="1" t="s">
        <v>84</v>
      </c>
      <c r="G236" s="1" t="s">
        <v>37</v>
      </c>
      <c r="H236">
        <v>0.05</v>
      </c>
      <c r="I236" s="1" t="s">
        <v>65</v>
      </c>
      <c r="J236" s="4">
        <v>514.80999999999995</v>
      </c>
      <c r="K236" s="1" t="s">
        <v>47</v>
      </c>
      <c r="L236" s="1" t="s">
        <v>27</v>
      </c>
      <c r="M236">
        <v>0</v>
      </c>
      <c r="N236" s="1" t="s">
        <v>859</v>
      </c>
      <c r="O236" s="1" t="s">
        <v>860</v>
      </c>
      <c r="P236" s="4">
        <v>40.35</v>
      </c>
      <c r="Q236" s="2">
        <v>45171</v>
      </c>
      <c r="R236" s="1" t="s">
        <v>861</v>
      </c>
      <c r="S236" s="1" t="s">
        <v>75</v>
      </c>
      <c r="T236" s="1" t="s">
        <v>52</v>
      </c>
      <c r="U236" s="5">
        <f>product_sales_data__1[[#This Row],[TotalPrice]]-product_sales_data__1[[#This Row],[ShippingCost]]</f>
        <v>474.45999999999992</v>
      </c>
      <c r="V236" s="5">
        <f>product_sales_data__1[[#This Row],[Quantity]]*product_sales_data__1[[#This Row],[UnitPrice]]*product_sales_data__1[[#This Row],[Discount]]</f>
        <v>27.094999999999999</v>
      </c>
    </row>
    <row r="237" spans="1:22" x14ac:dyDescent="0.3">
      <c r="A237" s="1" t="s">
        <v>470</v>
      </c>
      <c r="B237" s="1" t="s">
        <v>54</v>
      </c>
      <c r="C237" s="1" t="s">
        <v>127</v>
      </c>
      <c r="D237">
        <v>11</v>
      </c>
      <c r="E237" s="4">
        <v>119.84</v>
      </c>
      <c r="F237" s="1" t="s">
        <v>55</v>
      </c>
      <c r="G237" s="1" t="s">
        <v>24</v>
      </c>
      <c r="H237">
        <v>0.1</v>
      </c>
      <c r="I237" s="1" t="s">
        <v>65</v>
      </c>
      <c r="J237" s="4">
        <v>1186.42</v>
      </c>
      <c r="K237" s="1" t="s">
        <v>26</v>
      </c>
      <c r="L237" s="1" t="s">
        <v>58</v>
      </c>
      <c r="M237">
        <v>0</v>
      </c>
      <c r="N237" s="1" t="s">
        <v>862</v>
      </c>
      <c r="O237" s="1" t="s">
        <v>863</v>
      </c>
      <c r="P237" s="4">
        <v>16.64</v>
      </c>
      <c r="Q237" s="2">
        <v>44996</v>
      </c>
      <c r="R237" s="1" t="s">
        <v>389</v>
      </c>
      <c r="S237" s="1" t="s">
        <v>62</v>
      </c>
      <c r="T237" s="1" t="s">
        <v>98</v>
      </c>
      <c r="U237" s="5">
        <f>product_sales_data__1[[#This Row],[TotalPrice]]-product_sales_data__1[[#This Row],[ShippingCost]]</f>
        <v>1169.78</v>
      </c>
      <c r="V237" s="5">
        <f>product_sales_data__1[[#This Row],[Quantity]]*product_sales_data__1[[#This Row],[UnitPrice]]*product_sales_data__1[[#This Row],[Discount]]</f>
        <v>131.82400000000001</v>
      </c>
    </row>
    <row r="238" spans="1:22" x14ac:dyDescent="0.3">
      <c r="A238" s="1" t="s">
        <v>864</v>
      </c>
      <c r="B238" s="1" t="s">
        <v>34</v>
      </c>
      <c r="C238" s="1" t="s">
        <v>22</v>
      </c>
      <c r="D238">
        <v>9</v>
      </c>
      <c r="E238" s="4">
        <v>446.49</v>
      </c>
      <c r="F238" s="1" t="s">
        <v>55</v>
      </c>
      <c r="G238" s="1" t="s">
        <v>24</v>
      </c>
      <c r="H238">
        <v>0.15</v>
      </c>
      <c r="I238" s="1" t="s">
        <v>46</v>
      </c>
      <c r="J238" s="4">
        <v>3415.65</v>
      </c>
      <c r="K238" s="1" t="s">
        <v>47</v>
      </c>
      <c r="L238" s="1" t="s">
        <v>85</v>
      </c>
      <c r="M238">
        <v>0</v>
      </c>
      <c r="N238" s="1" t="s">
        <v>865</v>
      </c>
      <c r="O238" s="1" t="s">
        <v>866</v>
      </c>
      <c r="P238" s="4">
        <v>5.77</v>
      </c>
      <c r="Q238" s="2">
        <v>45514</v>
      </c>
      <c r="R238" s="1" t="s">
        <v>485</v>
      </c>
      <c r="S238" s="1" t="s">
        <v>42</v>
      </c>
      <c r="T238" s="1" t="s">
        <v>82</v>
      </c>
      <c r="U238" s="5">
        <f>product_sales_data__1[[#This Row],[TotalPrice]]-product_sales_data__1[[#This Row],[ShippingCost]]</f>
        <v>3409.88</v>
      </c>
      <c r="V238" s="5">
        <f>product_sales_data__1[[#This Row],[Quantity]]*product_sales_data__1[[#This Row],[UnitPrice]]*product_sales_data__1[[#This Row],[Discount]]</f>
        <v>602.76149999999996</v>
      </c>
    </row>
    <row r="239" spans="1:22" x14ac:dyDescent="0.3">
      <c r="A239" s="1" t="s">
        <v>44</v>
      </c>
      <c r="B239" s="1" t="s">
        <v>34</v>
      </c>
      <c r="C239" s="1" t="s">
        <v>22</v>
      </c>
      <c r="D239">
        <v>16</v>
      </c>
      <c r="E239" s="4">
        <v>258.82</v>
      </c>
      <c r="F239" s="1" t="s">
        <v>55</v>
      </c>
      <c r="G239" s="1" t="s">
        <v>37</v>
      </c>
      <c r="H239">
        <v>0.1</v>
      </c>
      <c r="I239" s="1" t="s">
        <v>78</v>
      </c>
      <c r="J239" s="4">
        <v>3727.01</v>
      </c>
      <c r="K239" s="1" t="s">
        <v>26</v>
      </c>
      <c r="L239" s="1" t="s">
        <v>58</v>
      </c>
      <c r="M239">
        <v>0</v>
      </c>
      <c r="N239" s="1" t="s">
        <v>867</v>
      </c>
      <c r="O239" s="1" t="s">
        <v>868</v>
      </c>
      <c r="P239" s="4">
        <v>46.93</v>
      </c>
      <c r="Q239" s="2">
        <v>45170</v>
      </c>
      <c r="R239" s="1" t="s">
        <v>869</v>
      </c>
      <c r="S239" s="1" t="s">
        <v>42</v>
      </c>
      <c r="T239" s="1" t="s">
        <v>52</v>
      </c>
      <c r="U239" s="5">
        <f>product_sales_data__1[[#This Row],[TotalPrice]]-product_sales_data__1[[#This Row],[ShippingCost]]</f>
        <v>3680.0800000000004</v>
      </c>
      <c r="V239" s="5">
        <f>product_sales_data__1[[#This Row],[Quantity]]*product_sales_data__1[[#This Row],[UnitPrice]]*product_sales_data__1[[#This Row],[Discount]]</f>
        <v>414.11200000000002</v>
      </c>
    </row>
    <row r="240" spans="1:22" x14ac:dyDescent="0.3">
      <c r="A240" s="1" t="s">
        <v>783</v>
      </c>
      <c r="B240" s="1" t="s">
        <v>45</v>
      </c>
      <c r="C240" s="1" t="s">
        <v>127</v>
      </c>
      <c r="D240">
        <v>12</v>
      </c>
      <c r="E240" s="4">
        <v>438.77</v>
      </c>
      <c r="F240" s="1" t="s">
        <v>36</v>
      </c>
      <c r="G240" s="1" t="s">
        <v>37</v>
      </c>
      <c r="H240">
        <v>0</v>
      </c>
      <c r="I240" s="1" t="s">
        <v>65</v>
      </c>
      <c r="J240" s="4">
        <v>5265.24</v>
      </c>
      <c r="K240" s="1" t="s">
        <v>38</v>
      </c>
      <c r="L240" s="1" t="s">
        <v>58</v>
      </c>
      <c r="M240">
        <v>0</v>
      </c>
      <c r="N240" s="1" t="s">
        <v>870</v>
      </c>
      <c r="O240" s="1" t="s">
        <v>871</v>
      </c>
      <c r="P240" s="4">
        <v>9.31</v>
      </c>
      <c r="Q240" s="2">
        <v>45601</v>
      </c>
      <c r="R240" s="1" t="s">
        <v>872</v>
      </c>
      <c r="S240" s="1" t="s">
        <v>51</v>
      </c>
      <c r="T240" s="1" t="s">
        <v>43</v>
      </c>
      <c r="U240" s="5">
        <f>product_sales_data__1[[#This Row],[TotalPrice]]-product_sales_data__1[[#This Row],[ShippingCost]]</f>
        <v>5255.9299999999994</v>
      </c>
      <c r="V240" s="5">
        <f>product_sales_data__1[[#This Row],[Quantity]]*product_sales_data__1[[#This Row],[UnitPrice]]*product_sales_data__1[[#This Row],[Discount]]</f>
        <v>0</v>
      </c>
    </row>
    <row r="241" spans="1:22" x14ac:dyDescent="0.3">
      <c r="A241" s="1" t="s">
        <v>873</v>
      </c>
      <c r="B241" s="1" t="s">
        <v>45</v>
      </c>
      <c r="C241" s="1" t="s">
        <v>140</v>
      </c>
      <c r="D241">
        <v>6</v>
      </c>
      <c r="E241" s="4">
        <v>115.94</v>
      </c>
      <c r="F241" s="1" t="s">
        <v>84</v>
      </c>
      <c r="G241" s="1" t="s">
        <v>24</v>
      </c>
      <c r="H241">
        <v>0.05</v>
      </c>
      <c r="I241" s="1" t="s">
        <v>46</v>
      </c>
      <c r="J241" s="4">
        <v>660.86</v>
      </c>
      <c r="K241" s="1" t="s">
        <v>101</v>
      </c>
      <c r="L241" s="1" t="s">
        <v>58</v>
      </c>
      <c r="M241">
        <v>0</v>
      </c>
      <c r="N241" s="1" t="s">
        <v>874</v>
      </c>
      <c r="O241" s="1" t="s">
        <v>875</v>
      </c>
      <c r="P241" s="4">
        <v>23.91</v>
      </c>
      <c r="Q241" s="2">
        <v>45211</v>
      </c>
      <c r="R241" s="1" t="s">
        <v>182</v>
      </c>
      <c r="S241" s="1" t="s">
        <v>51</v>
      </c>
      <c r="T241" s="1" t="s">
        <v>32</v>
      </c>
      <c r="U241" s="5">
        <f>product_sales_data__1[[#This Row],[TotalPrice]]-product_sales_data__1[[#This Row],[ShippingCost]]</f>
        <v>636.95000000000005</v>
      </c>
      <c r="V241" s="5">
        <f>product_sales_data__1[[#This Row],[Quantity]]*product_sales_data__1[[#This Row],[UnitPrice]]*product_sales_data__1[[#This Row],[Discount]]</f>
        <v>34.782000000000004</v>
      </c>
    </row>
    <row r="242" spans="1:22" x14ac:dyDescent="0.3">
      <c r="A242" s="1" t="s">
        <v>876</v>
      </c>
      <c r="B242" s="1" t="s">
        <v>21</v>
      </c>
      <c r="C242" s="1" t="s">
        <v>140</v>
      </c>
      <c r="D242">
        <v>19</v>
      </c>
      <c r="E242" s="4">
        <v>275.77999999999997</v>
      </c>
      <c r="F242" s="1" t="s">
        <v>36</v>
      </c>
      <c r="G242" s="1" t="s">
        <v>37</v>
      </c>
      <c r="H242">
        <v>0</v>
      </c>
      <c r="I242" s="1" t="s">
        <v>56</v>
      </c>
      <c r="J242" s="4">
        <v>5239.82</v>
      </c>
      <c r="K242" s="1" t="s">
        <v>47</v>
      </c>
      <c r="L242" s="1" t="s">
        <v>58</v>
      </c>
      <c r="M242">
        <v>0</v>
      </c>
      <c r="N242" s="1" t="s">
        <v>877</v>
      </c>
      <c r="O242" s="1" t="s">
        <v>878</v>
      </c>
      <c r="P242" s="4">
        <v>47</v>
      </c>
      <c r="Q242" s="2">
        <v>45353</v>
      </c>
      <c r="R242" s="1" t="s">
        <v>879</v>
      </c>
      <c r="S242" s="1" t="s">
        <v>31</v>
      </c>
      <c r="T242" s="1" t="s">
        <v>98</v>
      </c>
      <c r="U242" s="5">
        <f>product_sales_data__1[[#This Row],[TotalPrice]]-product_sales_data__1[[#This Row],[ShippingCost]]</f>
        <v>5192.82</v>
      </c>
      <c r="V242" s="5">
        <f>product_sales_data__1[[#This Row],[Quantity]]*product_sales_data__1[[#This Row],[UnitPrice]]*product_sales_data__1[[#This Row],[Discount]]</f>
        <v>0</v>
      </c>
    </row>
    <row r="243" spans="1:22" x14ac:dyDescent="0.3">
      <c r="A243" s="1" t="s">
        <v>880</v>
      </c>
      <c r="B243" s="1" t="s">
        <v>54</v>
      </c>
      <c r="C243" s="1" t="s">
        <v>71</v>
      </c>
      <c r="D243">
        <v>1</v>
      </c>
      <c r="E243" s="4">
        <v>381.21</v>
      </c>
      <c r="F243" s="1" t="s">
        <v>55</v>
      </c>
      <c r="G243" s="1" t="s">
        <v>24</v>
      </c>
      <c r="H243">
        <v>0.15</v>
      </c>
      <c r="I243" s="1" t="s">
        <v>94</v>
      </c>
      <c r="J243" s="4">
        <v>324.02999999999997</v>
      </c>
      <c r="K243" s="1" t="s">
        <v>26</v>
      </c>
      <c r="L243" s="1" t="s">
        <v>48</v>
      </c>
      <c r="M243">
        <v>0</v>
      </c>
      <c r="N243" s="1" t="s">
        <v>881</v>
      </c>
      <c r="O243" s="1" t="s">
        <v>882</v>
      </c>
      <c r="P243" s="4">
        <v>9.9499999999999993</v>
      </c>
      <c r="Q243" s="2">
        <v>45446</v>
      </c>
      <c r="R243" s="1" t="s">
        <v>883</v>
      </c>
      <c r="S243" s="1" t="s">
        <v>62</v>
      </c>
      <c r="T243" s="1" t="s">
        <v>105</v>
      </c>
      <c r="U243" s="5">
        <f>product_sales_data__1[[#This Row],[TotalPrice]]-product_sales_data__1[[#This Row],[ShippingCost]]</f>
        <v>314.08</v>
      </c>
      <c r="V243" s="5">
        <f>product_sales_data__1[[#This Row],[Quantity]]*product_sales_data__1[[#This Row],[UnitPrice]]*product_sales_data__1[[#This Row],[Discount]]</f>
        <v>57.181499999999993</v>
      </c>
    </row>
    <row r="244" spans="1:22" x14ac:dyDescent="0.3">
      <c r="A244" s="1" t="s">
        <v>884</v>
      </c>
      <c r="B244" s="1" t="s">
        <v>34</v>
      </c>
      <c r="C244" s="1" t="s">
        <v>22</v>
      </c>
      <c r="D244">
        <v>5</v>
      </c>
      <c r="E244" s="4">
        <v>38.229999999999997</v>
      </c>
      <c r="F244" s="1" t="s">
        <v>36</v>
      </c>
      <c r="G244" s="1" t="s">
        <v>24</v>
      </c>
      <c r="H244">
        <v>0.15</v>
      </c>
      <c r="I244" s="1" t="s">
        <v>94</v>
      </c>
      <c r="J244" s="4">
        <v>162.47999999999999</v>
      </c>
      <c r="K244" s="1" t="s">
        <v>38</v>
      </c>
      <c r="L244" s="1" t="s">
        <v>48</v>
      </c>
      <c r="M244">
        <v>0</v>
      </c>
      <c r="N244" s="1" t="s">
        <v>885</v>
      </c>
      <c r="O244" s="1" t="s">
        <v>886</v>
      </c>
      <c r="P244" s="4">
        <v>21.06</v>
      </c>
      <c r="Q244" s="2">
        <v>45659</v>
      </c>
      <c r="R244" s="1" t="s">
        <v>573</v>
      </c>
      <c r="S244" s="1" t="s">
        <v>42</v>
      </c>
      <c r="T244" s="1" t="s">
        <v>187</v>
      </c>
      <c r="U244" s="5">
        <f>product_sales_data__1[[#This Row],[TotalPrice]]-product_sales_data__1[[#This Row],[ShippingCost]]</f>
        <v>141.41999999999999</v>
      </c>
      <c r="V244" s="5">
        <f>product_sales_data__1[[#This Row],[Quantity]]*product_sales_data__1[[#This Row],[UnitPrice]]*product_sales_data__1[[#This Row],[Discount]]</f>
        <v>28.672499999999996</v>
      </c>
    </row>
    <row r="245" spans="1:22" x14ac:dyDescent="0.3">
      <c r="A245" s="1" t="s">
        <v>143</v>
      </c>
      <c r="B245" s="1" t="s">
        <v>45</v>
      </c>
      <c r="C245" s="1" t="s">
        <v>100</v>
      </c>
      <c r="D245">
        <v>7</v>
      </c>
      <c r="E245" s="4">
        <v>225.86</v>
      </c>
      <c r="F245" s="1" t="s">
        <v>23</v>
      </c>
      <c r="G245" s="1" t="s">
        <v>24</v>
      </c>
      <c r="H245">
        <v>0</v>
      </c>
      <c r="I245" s="1" t="s">
        <v>46</v>
      </c>
      <c r="J245" s="4">
        <v>1581.02</v>
      </c>
      <c r="K245" s="1" t="s">
        <v>38</v>
      </c>
      <c r="L245" s="1" t="s">
        <v>48</v>
      </c>
      <c r="M245">
        <v>0</v>
      </c>
      <c r="N245" s="1" t="s">
        <v>887</v>
      </c>
      <c r="O245" s="1" t="s">
        <v>888</v>
      </c>
      <c r="P245" s="4">
        <v>24.48</v>
      </c>
      <c r="Q245" s="2">
        <v>45388</v>
      </c>
      <c r="R245" s="1" t="s">
        <v>889</v>
      </c>
      <c r="S245" s="1" t="s">
        <v>51</v>
      </c>
      <c r="T245" s="1" t="s">
        <v>147</v>
      </c>
      <c r="U245" s="5">
        <f>product_sales_data__1[[#This Row],[TotalPrice]]-product_sales_data__1[[#This Row],[ShippingCost]]</f>
        <v>1556.54</v>
      </c>
      <c r="V245" s="5">
        <f>product_sales_data__1[[#This Row],[Quantity]]*product_sales_data__1[[#This Row],[UnitPrice]]*product_sales_data__1[[#This Row],[Discount]]</f>
        <v>0</v>
      </c>
    </row>
    <row r="246" spans="1:22" x14ac:dyDescent="0.3">
      <c r="A246" s="1" t="s">
        <v>99</v>
      </c>
      <c r="B246" s="1" t="s">
        <v>45</v>
      </c>
      <c r="C246" s="1" t="s">
        <v>22</v>
      </c>
      <c r="D246">
        <v>8</v>
      </c>
      <c r="E246" s="4">
        <v>548.02</v>
      </c>
      <c r="F246" s="1" t="s">
        <v>55</v>
      </c>
      <c r="G246" s="1" t="s">
        <v>37</v>
      </c>
      <c r="H246">
        <v>0.05</v>
      </c>
      <c r="I246" s="1" t="s">
        <v>65</v>
      </c>
      <c r="J246" s="4">
        <v>4164.95</v>
      </c>
      <c r="K246" s="1" t="s">
        <v>26</v>
      </c>
      <c r="L246" s="1" t="s">
        <v>48</v>
      </c>
      <c r="M246">
        <v>0</v>
      </c>
      <c r="N246" s="1" t="s">
        <v>890</v>
      </c>
      <c r="O246" s="1" t="s">
        <v>891</v>
      </c>
      <c r="P246" s="4">
        <v>33.4</v>
      </c>
      <c r="Q246" s="2">
        <v>45085</v>
      </c>
      <c r="R246" s="1" t="s">
        <v>892</v>
      </c>
      <c r="S246" s="1" t="s">
        <v>51</v>
      </c>
      <c r="T246" s="1" t="s">
        <v>105</v>
      </c>
      <c r="U246" s="5">
        <f>product_sales_data__1[[#This Row],[TotalPrice]]-product_sales_data__1[[#This Row],[ShippingCost]]</f>
        <v>4131.55</v>
      </c>
      <c r="V246" s="5">
        <f>product_sales_data__1[[#This Row],[Quantity]]*product_sales_data__1[[#This Row],[UnitPrice]]*product_sales_data__1[[#This Row],[Discount]]</f>
        <v>219.208</v>
      </c>
    </row>
    <row r="247" spans="1:22" x14ac:dyDescent="0.3">
      <c r="A247" s="1" t="s">
        <v>457</v>
      </c>
      <c r="B247" s="1" t="s">
        <v>34</v>
      </c>
      <c r="C247" s="1" t="s">
        <v>109</v>
      </c>
      <c r="D247">
        <v>12</v>
      </c>
      <c r="E247" s="4">
        <v>122.51</v>
      </c>
      <c r="F247" s="1" t="s">
        <v>23</v>
      </c>
      <c r="G247" s="1" t="s">
        <v>24</v>
      </c>
      <c r="H247">
        <v>0.05</v>
      </c>
      <c r="I247" s="1" t="s">
        <v>78</v>
      </c>
      <c r="J247" s="4">
        <v>1396.61</v>
      </c>
      <c r="K247" s="1" t="s">
        <v>57</v>
      </c>
      <c r="L247" s="1" t="s">
        <v>27</v>
      </c>
      <c r="M247">
        <v>0</v>
      </c>
      <c r="N247" s="1" t="s">
        <v>893</v>
      </c>
      <c r="O247" s="1" t="s">
        <v>894</v>
      </c>
      <c r="P247" s="4">
        <v>43.47</v>
      </c>
      <c r="Q247" s="2">
        <v>45023</v>
      </c>
      <c r="R247" s="1" t="s">
        <v>582</v>
      </c>
      <c r="S247" s="1" t="s">
        <v>42</v>
      </c>
      <c r="T247" s="1" t="s">
        <v>147</v>
      </c>
      <c r="U247" s="5">
        <f>product_sales_data__1[[#This Row],[TotalPrice]]-product_sales_data__1[[#This Row],[ShippingCost]]</f>
        <v>1353.1399999999999</v>
      </c>
      <c r="V247" s="5">
        <f>product_sales_data__1[[#This Row],[Quantity]]*product_sales_data__1[[#This Row],[UnitPrice]]*product_sales_data__1[[#This Row],[Discount]]</f>
        <v>73.506000000000014</v>
      </c>
    </row>
    <row r="248" spans="1:22" x14ac:dyDescent="0.3">
      <c r="A248" s="1" t="s">
        <v>118</v>
      </c>
      <c r="B248" s="1" t="s">
        <v>21</v>
      </c>
      <c r="C248" s="1" t="s">
        <v>71</v>
      </c>
      <c r="D248">
        <v>1</v>
      </c>
      <c r="E248" s="4">
        <v>506.41</v>
      </c>
      <c r="F248" s="1" t="s">
        <v>55</v>
      </c>
      <c r="G248" s="1" t="s">
        <v>24</v>
      </c>
      <c r="H248">
        <v>0</v>
      </c>
      <c r="I248" s="1" t="s">
        <v>94</v>
      </c>
      <c r="J248" s="4">
        <v>506.41</v>
      </c>
      <c r="K248" s="1" t="s">
        <v>47</v>
      </c>
      <c r="L248" s="1" t="s">
        <v>48</v>
      </c>
      <c r="M248">
        <v>0</v>
      </c>
      <c r="N248" s="1" t="s">
        <v>895</v>
      </c>
      <c r="O248" s="1" t="s">
        <v>896</v>
      </c>
      <c r="P248" s="4">
        <v>17.899999999999999</v>
      </c>
      <c r="Q248" s="2">
        <v>45903</v>
      </c>
      <c r="R248" s="1" t="s">
        <v>897</v>
      </c>
      <c r="S248" s="1" t="s">
        <v>31</v>
      </c>
      <c r="T248" s="1" t="s">
        <v>52</v>
      </c>
      <c r="U248" s="5">
        <f>product_sales_data__1[[#This Row],[TotalPrice]]-product_sales_data__1[[#This Row],[ShippingCost]]</f>
        <v>488.51000000000005</v>
      </c>
      <c r="V248" s="5">
        <f>product_sales_data__1[[#This Row],[Quantity]]*product_sales_data__1[[#This Row],[UnitPrice]]*product_sales_data__1[[#This Row],[Discount]]</f>
        <v>0</v>
      </c>
    </row>
    <row r="249" spans="1:22" x14ac:dyDescent="0.3">
      <c r="A249" s="1" t="s">
        <v>148</v>
      </c>
      <c r="B249" s="1" t="s">
        <v>70</v>
      </c>
      <c r="C249" s="1" t="s">
        <v>109</v>
      </c>
      <c r="D249">
        <v>15</v>
      </c>
      <c r="E249" s="4">
        <v>342.04</v>
      </c>
      <c r="F249" s="1" t="s">
        <v>36</v>
      </c>
      <c r="G249" s="1" t="s">
        <v>37</v>
      </c>
      <c r="H249">
        <v>0.15</v>
      </c>
      <c r="I249" s="1" t="s">
        <v>78</v>
      </c>
      <c r="J249" s="4">
        <v>4361.01</v>
      </c>
      <c r="K249" s="1" t="s">
        <v>57</v>
      </c>
      <c r="L249" s="1" t="s">
        <v>27</v>
      </c>
      <c r="M249">
        <v>0</v>
      </c>
      <c r="N249" s="1" t="s">
        <v>898</v>
      </c>
      <c r="O249" s="1" t="s">
        <v>899</v>
      </c>
      <c r="P249" s="4">
        <v>44.91</v>
      </c>
      <c r="Q249" s="2">
        <v>45718</v>
      </c>
      <c r="R249" s="1" t="s">
        <v>900</v>
      </c>
      <c r="S249" s="1" t="s">
        <v>75</v>
      </c>
      <c r="T249" s="1" t="s">
        <v>98</v>
      </c>
      <c r="U249" s="5">
        <f>product_sales_data__1[[#This Row],[TotalPrice]]-product_sales_data__1[[#This Row],[ShippingCost]]</f>
        <v>4316.1000000000004</v>
      </c>
      <c r="V249" s="5">
        <f>product_sales_data__1[[#This Row],[Quantity]]*product_sales_data__1[[#This Row],[UnitPrice]]*product_sales_data__1[[#This Row],[Discount]]</f>
        <v>769.59</v>
      </c>
    </row>
    <row r="250" spans="1:22" x14ac:dyDescent="0.3">
      <c r="A250" s="1" t="s">
        <v>152</v>
      </c>
      <c r="B250" s="1" t="s">
        <v>45</v>
      </c>
      <c r="C250" s="1" t="s">
        <v>140</v>
      </c>
      <c r="D250">
        <v>11</v>
      </c>
      <c r="E250" s="4">
        <v>404.88</v>
      </c>
      <c r="F250" s="1" t="s">
        <v>84</v>
      </c>
      <c r="G250" s="1" t="s">
        <v>24</v>
      </c>
      <c r="H250">
        <v>0.05</v>
      </c>
      <c r="I250" s="1" t="s">
        <v>25</v>
      </c>
      <c r="J250" s="4">
        <v>4231</v>
      </c>
      <c r="K250" s="1" t="s">
        <v>57</v>
      </c>
      <c r="L250" s="1" t="s">
        <v>58</v>
      </c>
      <c r="M250">
        <v>0</v>
      </c>
      <c r="N250" s="1" t="s">
        <v>901</v>
      </c>
      <c r="O250" s="1" t="s">
        <v>902</v>
      </c>
      <c r="P250" s="4">
        <v>18.920000000000002</v>
      </c>
      <c r="Q250" s="2">
        <v>45536</v>
      </c>
      <c r="R250" s="1" t="s">
        <v>903</v>
      </c>
      <c r="S250" s="1" t="s">
        <v>51</v>
      </c>
      <c r="T250" s="1" t="s">
        <v>52</v>
      </c>
      <c r="U250" s="5">
        <f>product_sales_data__1[[#This Row],[TotalPrice]]-product_sales_data__1[[#This Row],[ShippingCost]]</f>
        <v>4212.08</v>
      </c>
      <c r="V250" s="5">
        <f>product_sales_data__1[[#This Row],[Quantity]]*product_sales_data__1[[#This Row],[UnitPrice]]*product_sales_data__1[[#This Row],[Discount]]</f>
        <v>222.68400000000003</v>
      </c>
    </row>
    <row r="251" spans="1:22" x14ac:dyDescent="0.3">
      <c r="A251" s="1" t="s">
        <v>904</v>
      </c>
      <c r="B251" s="1" t="s">
        <v>21</v>
      </c>
      <c r="C251" s="1" t="s">
        <v>22</v>
      </c>
      <c r="D251">
        <v>9</v>
      </c>
      <c r="E251" s="4">
        <v>292.45999999999998</v>
      </c>
      <c r="F251" s="1" t="s">
        <v>84</v>
      </c>
      <c r="G251" s="1" t="s">
        <v>24</v>
      </c>
      <c r="H251">
        <v>0.05</v>
      </c>
      <c r="I251" s="1" t="s">
        <v>46</v>
      </c>
      <c r="J251" s="4">
        <v>2500.5300000000002</v>
      </c>
      <c r="K251" s="1" t="s">
        <v>101</v>
      </c>
      <c r="L251" s="1" t="s">
        <v>48</v>
      </c>
      <c r="M251">
        <v>0</v>
      </c>
      <c r="N251" s="1" t="s">
        <v>905</v>
      </c>
      <c r="O251" s="1" t="s">
        <v>906</v>
      </c>
      <c r="P251" s="4">
        <v>34.26</v>
      </c>
      <c r="Q251" s="2">
        <v>45782</v>
      </c>
      <c r="R251" s="1" t="s">
        <v>907</v>
      </c>
      <c r="S251" s="1" t="s">
        <v>31</v>
      </c>
      <c r="T251" s="1" t="s">
        <v>63</v>
      </c>
      <c r="U251" s="5">
        <f>product_sales_data__1[[#This Row],[TotalPrice]]-product_sales_data__1[[#This Row],[ShippingCost]]</f>
        <v>2466.27</v>
      </c>
      <c r="V251" s="5">
        <f>product_sales_data__1[[#This Row],[Quantity]]*product_sales_data__1[[#This Row],[UnitPrice]]*product_sales_data__1[[#This Row],[Discount]]</f>
        <v>131.607</v>
      </c>
    </row>
    <row r="252" spans="1:22" x14ac:dyDescent="0.3">
      <c r="A252" s="1" t="s">
        <v>908</v>
      </c>
      <c r="B252" s="1" t="s">
        <v>34</v>
      </c>
      <c r="C252" s="1" t="s">
        <v>71</v>
      </c>
      <c r="D252">
        <v>15</v>
      </c>
      <c r="E252" s="4">
        <v>486.03</v>
      </c>
      <c r="F252" s="1" t="s">
        <v>36</v>
      </c>
      <c r="G252" s="1" t="s">
        <v>24</v>
      </c>
      <c r="H252">
        <v>0</v>
      </c>
      <c r="I252" s="1" t="s">
        <v>25</v>
      </c>
      <c r="J252" s="4">
        <v>7290.45</v>
      </c>
      <c r="K252" s="1" t="s">
        <v>38</v>
      </c>
      <c r="L252" s="1" t="s">
        <v>27</v>
      </c>
      <c r="M252">
        <v>0</v>
      </c>
      <c r="N252" s="1" t="s">
        <v>909</v>
      </c>
      <c r="O252" s="1" t="s">
        <v>910</v>
      </c>
      <c r="P252" s="4">
        <v>14.9</v>
      </c>
      <c r="Q252" s="2">
        <v>45302</v>
      </c>
      <c r="R252" s="1" t="s">
        <v>399</v>
      </c>
      <c r="S252" s="1" t="s">
        <v>42</v>
      </c>
      <c r="T252" s="1" t="s">
        <v>187</v>
      </c>
      <c r="U252" s="5">
        <f>product_sales_data__1[[#This Row],[TotalPrice]]-product_sales_data__1[[#This Row],[ShippingCost]]</f>
        <v>7275.55</v>
      </c>
      <c r="V252" s="5">
        <f>product_sales_data__1[[#This Row],[Quantity]]*product_sales_data__1[[#This Row],[UnitPrice]]*product_sales_data__1[[#This Row],[Discount]]</f>
        <v>0</v>
      </c>
    </row>
    <row r="253" spans="1:22" x14ac:dyDescent="0.3">
      <c r="A253" s="1" t="s">
        <v>777</v>
      </c>
      <c r="B253" s="1" t="s">
        <v>70</v>
      </c>
      <c r="C253" s="1" t="s">
        <v>109</v>
      </c>
      <c r="D253">
        <v>14</v>
      </c>
      <c r="E253" s="4">
        <v>159.09</v>
      </c>
      <c r="F253" s="1" t="s">
        <v>36</v>
      </c>
      <c r="G253" s="1" t="s">
        <v>37</v>
      </c>
      <c r="H253">
        <v>0.15</v>
      </c>
      <c r="I253" s="1" t="s">
        <v>94</v>
      </c>
      <c r="J253" s="4">
        <v>1893.17</v>
      </c>
      <c r="K253" s="1" t="s">
        <v>38</v>
      </c>
      <c r="L253" s="1" t="s">
        <v>85</v>
      </c>
      <c r="M253">
        <v>0</v>
      </c>
      <c r="N253" s="1" t="s">
        <v>911</v>
      </c>
      <c r="O253" s="1" t="s">
        <v>912</v>
      </c>
      <c r="P253" s="4">
        <v>27.05</v>
      </c>
      <c r="Q253" s="2">
        <v>45840</v>
      </c>
      <c r="R253" s="1" t="s">
        <v>464</v>
      </c>
      <c r="S253" s="1" t="s">
        <v>75</v>
      </c>
      <c r="T253" s="1" t="s">
        <v>117</v>
      </c>
      <c r="U253" s="5">
        <f>product_sales_data__1[[#This Row],[TotalPrice]]-product_sales_data__1[[#This Row],[ShippingCost]]</f>
        <v>1866.1200000000001</v>
      </c>
      <c r="V253" s="5">
        <f>product_sales_data__1[[#This Row],[Quantity]]*product_sales_data__1[[#This Row],[UnitPrice]]*product_sales_data__1[[#This Row],[Discount]]</f>
        <v>334.089</v>
      </c>
    </row>
    <row r="254" spans="1:22" x14ac:dyDescent="0.3">
      <c r="A254" s="1" t="s">
        <v>410</v>
      </c>
      <c r="B254" s="1" t="s">
        <v>54</v>
      </c>
      <c r="C254" s="1" t="s">
        <v>127</v>
      </c>
      <c r="D254">
        <v>12</v>
      </c>
      <c r="E254" s="4">
        <v>290.27999999999997</v>
      </c>
      <c r="F254" s="1" t="s">
        <v>23</v>
      </c>
      <c r="G254" s="1" t="s">
        <v>37</v>
      </c>
      <c r="H254">
        <v>0.1</v>
      </c>
      <c r="I254" s="1" t="s">
        <v>46</v>
      </c>
      <c r="J254" s="4">
        <v>3135.02</v>
      </c>
      <c r="K254" s="1" t="s">
        <v>47</v>
      </c>
      <c r="L254" s="1" t="s">
        <v>85</v>
      </c>
      <c r="M254">
        <v>1</v>
      </c>
      <c r="N254" s="1" t="s">
        <v>913</v>
      </c>
      <c r="O254" s="1" t="s">
        <v>914</v>
      </c>
      <c r="P254" s="4">
        <v>5.55</v>
      </c>
      <c r="Q254" s="2">
        <v>45663</v>
      </c>
      <c r="R254" s="1" t="s">
        <v>915</v>
      </c>
      <c r="S254" s="1" t="s">
        <v>62</v>
      </c>
      <c r="T254" s="1" t="s">
        <v>187</v>
      </c>
      <c r="U254" s="5">
        <f>product_sales_data__1[[#This Row],[TotalPrice]]-product_sales_data__1[[#This Row],[ShippingCost]]</f>
        <v>3129.47</v>
      </c>
      <c r="V254" s="5">
        <f>product_sales_data__1[[#This Row],[Quantity]]*product_sales_data__1[[#This Row],[UnitPrice]]*product_sales_data__1[[#This Row],[Discount]]</f>
        <v>348.33600000000001</v>
      </c>
    </row>
    <row r="255" spans="1:22" x14ac:dyDescent="0.3">
      <c r="A255" s="1" t="s">
        <v>916</v>
      </c>
      <c r="B255" s="1" t="s">
        <v>54</v>
      </c>
      <c r="C255" s="1" t="s">
        <v>109</v>
      </c>
      <c r="D255">
        <v>6</v>
      </c>
      <c r="E255" s="4">
        <v>88.7</v>
      </c>
      <c r="F255" s="1" t="s">
        <v>23</v>
      </c>
      <c r="G255" s="1" t="s">
        <v>24</v>
      </c>
      <c r="H255">
        <v>0</v>
      </c>
      <c r="I255" s="1" t="s">
        <v>46</v>
      </c>
      <c r="J255" s="4">
        <v>532.20000000000005</v>
      </c>
      <c r="K255" s="1" t="s">
        <v>57</v>
      </c>
      <c r="L255" s="1" t="s">
        <v>48</v>
      </c>
      <c r="M255">
        <v>0</v>
      </c>
      <c r="N255" s="1" t="s">
        <v>917</v>
      </c>
      <c r="O255" s="1" t="s">
        <v>918</v>
      </c>
      <c r="P255" s="4">
        <v>16.98</v>
      </c>
      <c r="Q255" s="2">
        <v>45263</v>
      </c>
      <c r="R255" s="1" t="s">
        <v>919</v>
      </c>
      <c r="S255" s="1" t="s">
        <v>62</v>
      </c>
      <c r="T255" s="1" t="s">
        <v>76</v>
      </c>
      <c r="U255" s="5">
        <f>product_sales_data__1[[#This Row],[TotalPrice]]-product_sales_data__1[[#This Row],[ShippingCost]]</f>
        <v>515.22</v>
      </c>
      <c r="V255" s="5">
        <f>product_sales_data__1[[#This Row],[Quantity]]*product_sales_data__1[[#This Row],[UnitPrice]]*product_sales_data__1[[#This Row],[Discount]]</f>
        <v>0</v>
      </c>
    </row>
    <row r="256" spans="1:22" x14ac:dyDescent="0.3">
      <c r="A256" s="1" t="s">
        <v>266</v>
      </c>
      <c r="B256" s="1" t="s">
        <v>45</v>
      </c>
      <c r="C256" s="1" t="s">
        <v>22</v>
      </c>
      <c r="D256">
        <v>2</v>
      </c>
      <c r="E256" s="4">
        <v>239.69</v>
      </c>
      <c r="F256" s="1" t="s">
        <v>36</v>
      </c>
      <c r="G256" s="1" t="s">
        <v>37</v>
      </c>
      <c r="H256">
        <v>0</v>
      </c>
      <c r="I256" s="1" t="s">
        <v>78</v>
      </c>
      <c r="J256" s="4">
        <v>479.38</v>
      </c>
      <c r="K256" s="1" t="s">
        <v>101</v>
      </c>
      <c r="L256" s="1" t="s">
        <v>27</v>
      </c>
      <c r="M256">
        <v>0</v>
      </c>
      <c r="N256" s="1" t="s">
        <v>920</v>
      </c>
      <c r="O256" s="1" t="s">
        <v>921</v>
      </c>
      <c r="P256" s="4">
        <v>28.96</v>
      </c>
      <c r="Q256" s="2">
        <v>45607</v>
      </c>
      <c r="R256" s="1" t="s">
        <v>922</v>
      </c>
      <c r="S256" s="1" t="s">
        <v>51</v>
      </c>
      <c r="T256" s="1" t="s">
        <v>43</v>
      </c>
      <c r="U256" s="5">
        <f>product_sales_data__1[[#This Row],[TotalPrice]]-product_sales_data__1[[#This Row],[ShippingCost]]</f>
        <v>450.42</v>
      </c>
      <c r="V256" s="5">
        <f>product_sales_data__1[[#This Row],[Quantity]]*product_sales_data__1[[#This Row],[UnitPrice]]*product_sales_data__1[[#This Row],[Discount]]</f>
        <v>0</v>
      </c>
    </row>
    <row r="257" spans="1:22" x14ac:dyDescent="0.3">
      <c r="A257" s="1" t="s">
        <v>20</v>
      </c>
      <c r="B257" s="1" t="s">
        <v>70</v>
      </c>
      <c r="C257" s="1" t="s">
        <v>140</v>
      </c>
      <c r="D257">
        <v>18</v>
      </c>
      <c r="E257" s="4">
        <v>206.8</v>
      </c>
      <c r="F257" s="1" t="s">
        <v>84</v>
      </c>
      <c r="G257" s="1" t="s">
        <v>37</v>
      </c>
      <c r="H257">
        <v>0.05</v>
      </c>
      <c r="I257" s="1" t="s">
        <v>56</v>
      </c>
      <c r="J257" s="4">
        <v>3536.28</v>
      </c>
      <c r="K257" s="1" t="s">
        <v>38</v>
      </c>
      <c r="L257" s="1" t="s">
        <v>85</v>
      </c>
      <c r="M257">
        <v>1</v>
      </c>
      <c r="N257" s="1" t="s">
        <v>923</v>
      </c>
      <c r="O257" s="1" t="s">
        <v>924</v>
      </c>
      <c r="P257" s="4">
        <v>39.25</v>
      </c>
      <c r="Q257" s="2">
        <v>45204</v>
      </c>
      <c r="R257" s="1" t="s">
        <v>925</v>
      </c>
      <c r="S257" s="1" t="s">
        <v>75</v>
      </c>
      <c r="T257" s="1" t="s">
        <v>32</v>
      </c>
      <c r="U257" s="5">
        <f>product_sales_data__1[[#This Row],[TotalPrice]]-product_sales_data__1[[#This Row],[ShippingCost]]</f>
        <v>3497.03</v>
      </c>
      <c r="V257" s="5">
        <f>product_sales_data__1[[#This Row],[Quantity]]*product_sales_data__1[[#This Row],[UnitPrice]]*product_sales_data__1[[#This Row],[Discount]]</f>
        <v>186.12</v>
      </c>
    </row>
    <row r="258" spans="1:22" x14ac:dyDescent="0.3">
      <c r="A258" s="1" t="s">
        <v>300</v>
      </c>
      <c r="B258" s="1" t="s">
        <v>21</v>
      </c>
      <c r="C258" s="1" t="s">
        <v>109</v>
      </c>
      <c r="D258">
        <v>9</v>
      </c>
      <c r="E258" s="4">
        <v>507.74</v>
      </c>
      <c r="F258" s="1" t="s">
        <v>55</v>
      </c>
      <c r="G258" s="1" t="s">
        <v>37</v>
      </c>
      <c r="H258">
        <v>0.15</v>
      </c>
      <c r="I258" s="1" t="s">
        <v>94</v>
      </c>
      <c r="J258" s="4">
        <v>3884.21</v>
      </c>
      <c r="K258" s="1" t="s">
        <v>47</v>
      </c>
      <c r="L258" s="1" t="s">
        <v>85</v>
      </c>
      <c r="M258">
        <v>1</v>
      </c>
      <c r="N258" s="1" t="s">
        <v>926</v>
      </c>
      <c r="O258" s="1" t="s">
        <v>927</v>
      </c>
      <c r="P258" s="4">
        <v>22.08</v>
      </c>
      <c r="Q258" s="2">
        <v>45933</v>
      </c>
      <c r="R258" s="1" t="s">
        <v>897</v>
      </c>
      <c r="S258" s="1" t="s">
        <v>31</v>
      </c>
      <c r="T258" s="1" t="s">
        <v>32</v>
      </c>
      <c r="U258" s="5">
        <f>product_sales_data__1[[#This Row],[TotalPrice]]-product_sales_data__1[[#This Row],[ShippingCost]]</f>
        <v>3862.13</v>
      </c>
      <c r="V258" s="5">
        <f>product_sales_data__1[[#This Row],[Quantity]]*product_sales_data__1[[#This Row],[UnitPrice]]*product_sales_data__1[[#This Row],[Discount]]</f>
        <v>685.44899999999996</v>
      </c>
    </row>
    <row r="259" spans="1:22" x14ac:dyDescent="0.3">
      <c r="A259" s="1" t="s">
        <v>928</v>
      </c>
      <c r="B259" s="1" t="s">
        <v>45</v>
      </c>
      <c r="C259" s="1" t="s">
        <v>22</v>
      </c>
      <c r="D259">
        <v>1</v>
      </c>
      <c r="E259" s="4">
        <v>223.56</v>
      </c>
      <c r="F259" s="1" t="s">
        <v>23</v>
      </c>
      <c r="G259" s="1" t="s">
        <v>24</v>
      </c>
      <c r="H259">
        <v>0.15</v>
      </c>
      <c r="I259" s="1" t="s">
        <v>94</v>
      </c>
      <c r="J259" s="4">
        <v>190.03</v>
      </c>
      <c r="K259" s="1" t="s">
        <v>101</v>
      </c>
      <c r="L259" s="1" t="s">
        <v>27</v>
      </c>
      <c r="M259">
        <v>0</v>
      </c>
      <c r="N259" s="1" t="s">
        <v>929</v>
      </c>
      <c r="O259" s="1" t="s">
        <v>930</v>
      </c>
      <c r="P259" s="4">
        <v>37.840000000000003</v>
      </c>
      <c r="Q259" s="2">
        <v>45178</v>
      </c>
      <c r="R259" s="1" t="s">
        <v>526</v>
      </c>
      <c r="S259" s="1" t="s">
        <v>51</v>
      </c>
      <c r="T259" s="1" t="s">
        <v>52</v>
      </c>
      <c r="U259" s="5">
        <f>product_sales_data__1[[#This Row],[TotalPrice]]-product_sales_data__1[[#This Row],[ShippingCost]]</f>
        <v>152.19</v>
      </c>
      <c r="V259" s="5">
        <f>product_sales_data__1[[#This Row],[Quantity]]*product_sales_data__1[[#This Row],[UnitPrice]]*product_sales_data__1[[#This Row],[Discount]]</f>
        <v>33.533999999999999</v>
      </c>
    </row>
    <row r="260" spans="1:22" x14ac:dyDescent="0.3">
      <c r="A260" s="1" t="s">
        <v>864</v>
      </c>
      <c r="B260" s="1" t="s">
        <v>34</v>
      </c>
      <c r="C260" s="1" t="s">
        <v>100</v>
      </c>
      <c r="D260">
        <v>6</v>
      </c>
      <c r="E260" s="4">
        <v>48.48</v>
      </c>
      <c r="F260" s="1" t="s">
        <v>55</v>
      </c>
      <c r="G260" s="1" t="s">
        <v>37</v>
      </c>
      <c r="H260">
        <v>0.1</v>
      </c>
      <c r="I260" s="1" t="s">
        <v>78</v>
      </c>
      <c r="J260" s="4">
        <v>261.79000000000002</v>
      </c>
      <c r="K260" s="1" t="s">
        <v>26</v>
      </c>
      <c r="L260" s="1" t="s">
        <v>48</v>
      </c>
      <c r="M260">
        <v>0</v>
      </c>
      <c r="N260" s="1" t="s">
        <v>931</v>
      </c>
      <c r="O260" s="1" t="s">
        <v>932</v>
      </c>
      <c r="P260" s="4">
        <v>6.11</v>
      </c>
      <c r="Q260" s="2">
        <v>45514</v>
      </c>
      <c r="R260" s="1" t="s">
        <v>933</v>
      </c>
      <c r="S260" s="1" t="s">
        <v>42</v>
      </c>
      <c r="T260" s="1" t="s">
        <v>82</v>
      </c>
      <c r="U260" s="5">
        <f>product_sales_data__1[[#This Row],[TotalPrice]]-product_sales_data__1[[#This Row],[ShippingCost]]</f>
        <v>255.68</v>
      </c>
      <c r="V260" s="5">
        <f>product_sales_data__1[[#This Row],[Quantity]]*product_sales_data__1[[#This Row],[UnitPrice]]*product_sales_data__1[[#This Row],[Discount]]</f>
        <v>29.088000000000001</v>
      </c>
    </row>
    <row r="261" spans="1:22" x14ac:dyDescent="0.3">
      <c r="A261" s="1" t="s">
        <v>934</v>
      </c>
      <c r="B261" s="1" t="s">
        <v>34</v>
      </c>
      <c r="C261" s="1" t="s">
        <v>127</v>
      </c>
      <c r="D261">
        <v>17</v>
      </c>
      <c r="E261" s="4">
        <v>465.6</v>
      </c>
      <c r="F261" s="1" t="s">
        <v>36</v>
      </c>
      <c r="G261" s="1" t="s">
        <v>37</v>
      </c>
      <c r="H261">
        <v>0.1</v>
      </c>
      <c r="I261" s="1" t="s">
        <v>94</v>
      </c>
      <c r="J261" s="4">
        <v>7123.68</v>
      </c>
      <c r="K261" s="1" t="s">
        <v>38</v>
      </c>
      <c r="L261" s="1" t="s">
        <v>58</v>
      </c>
      <c r="M261">
        <v>0</v>
      </c>
      <c r="N261" s="1" t="s">
        <v>935</v>
      </c>
      <c r="O261" s="1" t="s">
        <v>936</v>
      </c>
      <c r="P261" s="4">
        <v>7.76</v>
      </c>
      <c r="Q261" s="2">
        <v>45049</v>
      </c>
      <c r="R261" s="1" t="s">
        <v>698</v>
      </c>
      <c r="S261" s="1" t="s">
        <v>42</v>
      </c>
      <c r="T261" s="1" t="s">
        <v>63</v>
      </c>
      <c r="U261" s="5">
        <f>product_sales_data__1[[#This Row],[TotalPrice]]-product_sales_data__1[[#This Row],[ShippingCost]]</f>
        <v>7115.92</v>
      </c>
      <c r="V261" s="5">
        <f>product_sales_data__1[[#This Row],[Quantity]]*product_sales_data__1[[#This Row],[UnitPrice]]*product_sales_data__1[[#This Row],[Discount]]</f>
        <v>791.5200000000001</v>
      </c>
    </row>
    <row r="262" spans="1:22" x14ac:dyDescent="0.3">
      <c r="A262" s="1" t="s">
        <v>507</v>
      </c>
      <c r="B262" s="1" t="s">
        <v>21</v>
      </c>
      <c r="C262" s="1" t="s">
        <v>100</v>
      </c>
      <c r="D262">
        <v>15</v>
      </c>
      <c r="E262" s="4">
        <v>281.73</v>
      </c>
      <c r="F262" s="1" t="s">
        <v>23</v>
      </c>
      <c r="G262" s="1" t="s">
        <v>24</v>
      </c>
      <c r="H262">
        <v>0.1</v>
      </c>
      <c r="I262" s="1" t="s">
        <v>94</v>
      </c>
      <c r="J262" s="4">
        <v>3803.36</v>
      </c>
      <c r="K262" s="1" t="s">
        <v>101</v>
      </c>
      <c r="L262" s="1" t="s">
        <v>27</v>
      </c>
      <c r="M262">
        <v>0</v>
      </c>
      <c r="N262" s="1" t="s">
        <v>937</v>
      </c>
      <c r="O262" s="1" t="s">
        <v>938</v>
      </c>
      <c r="P262" s="4">
        <v>36.869999999999997</v>
      </c>
      <c r="Q262" s="2">
        <v>45813</v>
      </c>
      <c r="R262" s="1" t="s">
        <v>510</v>
      </c>
      <c r="S262" s="1" t="s">
        <v>31</v>
      </c>
      <c r="T262" s="1" t="s">
        <v>105</v>
      </c>
      <c r="U262" s="5">
        <f>product_sales_data__1[[#This Row],[TotalPrice]]-product_sales_data__1[[#This Row],[ShippingCost]]</f>
        <v>3766.4900000000002</v>
      </c>
      <c r="V262" s="5">
        <f>product_sales_data__1[[#This Row],[Quantity]]*product_sales_data__1[[#This Row],[UnitPrice]]*product_sales_data__1[[#This Row],[Discount]]</f>
        <v>422.59500000000008</v>
      </c>
    </row>
    <row r="263" spans="1:22" x14ac:dyDescent="0.3">
      <c r="A263" s="1" t="s">
        <v>152</v>
      </c>
      <c r="B263" s="1" t="s">
        <v>45</v>
      </c>
      <c r="C263" s="1" t="s">
        <v>127</v>
      </c>
      <c r="D263">
        <v>19</v>
      </c>
      <c r="E263" s="4">
        <v>380.82</v>
      </c>
      <c r="F263" s="1" t="s">
        <v>55</v>
      </c>
      <c r="G263" s="1" t="s">
        <v>24</v>
      </c>
      <c r="H263">
        <v>0.1</v>
      </c>
      <c r="I263" s="1" t="s">
        <v>78</v>
      </c>
      <c r="J263" s="4">
        <v>6512.02</v>
      </c>
      <c r="K263" s="1" t="s">
        <v>101</v>
      </c>
      <c r="L263" s="1" t="s">
        <v>58</v>
      </c>
      <c r="M263">
        <v>0</v>
      </c>
      <c r="N263" s="1" t="s">
        <v>939</v>
      </c>
      <c r="O263" s="1" t="s">
        <v>940</v>
      </c>
      <c r="P263" s="4">
        <v>48.73</v>
      </c>
      <c r="Q263" s="2">
        <v>45536</v>
      </c>
      <c r="R263" s="1" t="s">
        <v>739</v>
      </c>
      <c r="S263" s="1" t="s">
        <v>51</v>
      </c>
      <c r="T263" s="1" t="s">
        <v>52</v>
      </c>
      <c r="U263" s="5">
        <f>product_sales_data__1[[#This Row],[TotalPrice]]-product_sales_data__1[[#This Row],[ShippingCost]]</f>
        <v>6463.2900000000009</v>
      </c>
      <c r="V263" s="5">
        <f>product_sales_data__1[[#This Row],[Quantity]]*product_sales_data__1[[#This Row],[UnitPrice]]*product_sales_data__1[[#This Row],[Discount]]</f>
        <v>723.55799999999999</v>
      </c>
    </row>
    <row r="264" spans="1:22" x14ac:dyDescent="0.3">
      <c r="A264" s="1" t="s">
        <v>941</v>
      </c>
      <c r="B264" s="1" t="s">
        <v>34</v>
      </c>
      <c r="C264" s="1" t="s">
        <v>35</v>
      </c>
      <c r="D264">
        <v>4</v>
      </c>
      <c r="E264" s="4">
        <v>444.87</v>
      </c>
      <c r="F264" s="1" t="s">
        <v>23</v>
      </c>
      <c r="G264" s="1" t="s">
        <v>37</v>
      </c>
      <c r="H264">
        <v>0.15</v>
      </c>
      <c r="I264" s="1" t="s">
        <v>46</v>
      </c>
      <c r="J264" s="4">
        <v>1512.56</v>
      </c>
      <c r="K264" s="1" t="s">
        <v>26</v>
      </c>
      <c r="L264" s="1" t="s">
        <v>85</v>
      </c>
      <c r="M264">
        <v>0</v>
      </c>
      <c r="N264" s="1" t="s">
        <v>942</v>
      </c>
      <c r="O264" s="1" t="s">
        <v>943</v>
      </c>
      <c r="P264" s="4">
        <v>47.14</v>
      </c>
      <c r="Q264" s="2">
        <v>45267</v>
      </c>
      <c r="R264" s="1" t="s">
        <v>944</v>
      </c>
      <c r="S264" s="1" t="s">
        <v>42</v>
      </c>
      <c r="T264" s="1" t="s">
        <v>76</v>
      </c>
      <c r="U264" s="5">
        <f>product_sales_data__1[[#This Row],[TotalPrice]]-product_sales_data__1[[#This Row],[ShippingCost]]</f>
        <v>1465.4199999999998</v>
      </c>
      <c r="V264" s="5">
        <f>product_sales_data__1[[#This Row],[Quantity]]*product_sales_data__1[[#This Row],[UnitPrice]]*product_sales_data__1[[#This Row],[Discount]]</f>
        <v>266.92199999999997</v>
      </c>
    </row>
    <row r="265" spans="1:22" x14ac:dyDescent="0.3">
      <c r="A265" s="1" t="s">
        <v>945</v>
      </c>
      <c r="B265" s="1" t="s">
        <v>45</v>
      </c>
      <c r="C265" s="1" t="s">
        <v>22</v>
      </c>
      <c r="D265">
        <v>5</v>
      </c>
      <c r="E265" s="4">
        <v>84.91</v>
      </c>
      <c r="F265" s="1" t="s">
        <v>84</v>
      </c>
      <c r="G265" s="1" t="s">
        <v>37</v>
      </c>
      <c r="H265">
        <v>0.1</v>
      </c>
      <c r="I265" s="1" t="s">
        <v>46</v>
      </c>
      <c r="J265" s="4">
        <v>382.1</v>
      </c>
      <c r="K265" s="1" t="s">
        <v>47</v>
      </c>
      <c r="L265" s="1" t="s">
        <v>85</v>
      </c>
      <c r="M265">
        <v>1</v>
      </c>
      <c r="N265" s="1" t="s">
        <v>946</v>
      </c>
      <c r="O265" s="1" t="s">
        <v>947</v>
      </c>
      <c r="P265" s="4">
        <v>29.06</v>
      </c>
      <c r="Q265" s="2">
        <v>45355</v>
      </c>
      <c r="R265" s="1" t="s">
        <v>339</v>
      </c>
      <c r="S265" s="1" t="s">
        <v>51</v>
      </c>
      <c r="T265" s="1" t="s">
        <v>98</v>
      </c>
      <c r="U265" s="5">
        <f>product_sales_data__1[[#This Row],[TotalPrice]]-product_sales_data__1[[#This Row],[ShippingCost]]</f>
        <v>353.04</v>
      </c>
      <c r="V265" s="5">
        <f>product_sales_data__1[[#This Row],[Quantity]]*product_sales_data__1[[#This Row],[UnitPrice]]*product_sales_data__1[[#This Row],[Discount]]</f>
        <v>42.454999999999998</v>
      </c>
    </row>
    <row r="266" spans="1:22" x14ac:dyDescent="0.3">
      <c r="A266" s="1" t="s">
        <v>948</v>
      </c>
      <c r="B266" s="1" t="s">
        <v>45</v>
      </c>
      <c r="C266" s="1" t="s">
        <v>127</v>
      </c>
      <c r="D266">
        <v>2</v>
      </c>
      <c r="E266" s="4">
        <v>231.96</v>
      </c>
      <c r="F266" s="1" t="s">
        <v>23</v>
      </c>
      <c r="G266" s="1" t="s">
        <v>37</v>
      </c>
      <c r="H266">
        <v>0.1</v>
      </c>
      <c r="I266" s="1" t="s">
        <v>25</v>
      </c>
      <c r="J266" s="4">
        <v>417.53</v>
      </c>
      <c r="K266" s="1" t="s">
        <v>38</v>
      </c>
      <c r="L266" s="1" t="s">
        <v>48</v>
      </c>
      <c r="M266">
        <v>1</v>
      </c>
      <c r="N266" s="1" t="s">
        <v>949</v>
      </c>
      <c r="O266" s="1" t="s">
        <v>950</v>
      </c>
      <c r="P266" s="4">
        <v>32.659999999999997</v>
      </c>
      <c r="Q266" s="2">
        <v>45781</v>
      </c>
      <c r="R266" s="1" t="s">
        <v>951</v>
      </c>
      <c r="S266" s="1" t="s">
        <v>51</v>
      </c>
      <c r="T266" s="1" t="s">
        <v>63</v>
      </c>
      <c r="U266" s="5">
        <f>product_sales_data__1[[#This Row],[TotalPrice]]-product_sales_data__1[[#This Row],[ShippingCost]]</f>
        <v>384.87</v>
      </c>
      <c r="V266" s="5">
        <f>product_sales_data__1[[#This Row],[Quantity]]*product_sales_data__1[[#This Row],[UnitPrice]]*product_sales_data__1[[#This Row],[Discount]]</f>
        <v>46.392000000000003</v>
      </c>
    </row>
    <row r="267" spans="1:22" x14ac:dyDescent="0.3">
      <c r="A267" s="1" t="s">
        <v>952</v>
      </c>
      <c r="B267" s="1" t="s">
        <v>45</v>
      </c>
      <c r="C267" s="1" t="s">
        <v>100</v>
      </c>
      <c r="D267">
        <v>2</v>
      </c>
      <c r="E267" s="4">
        <v>48.02</v>
      </c>
      <c r="F267" s="1" t="s">
        <v>36</v>
      </c>
      <c r="G267" s="1" t="s">
        <v>37</v>
      </c>
      <c r="H267">
        <v>0.05</v>
      </c>
      <c r="I267" s="1" t="s">
        <v>46</v>
      </c>
      <c r="J267" s="4">
        <v>91.24</v>
      </c>
      <c r="K267" s="1" t="s">
        <v>38</v>
      </c>
      <c r="L267" s="1" t="s">
        <v>85</v>
      </c>
      <c r="M267">
        <v>1</v>
      </c>
      <c r="N267" s="1" t="s">
        <v>953</v>
      </c>
      <c r="O267" s="1" t="s">
        <v>954</v>
      </c>
      <c r="P267" s="4">
        <v>25.81</v>
      </c>
      <c r="Q267" s="2">
        <v>45636</v>
      </c>
      <c r="R267" s="1" t="s">
        <v>955</v>
      </c>
      <c r="S267" s="1" t="s">
        <v>51</v>
      </c>
      <c r="T267" s="1" t="s">
        <v>76</v>
      </c>
      <c r="U267" s="5">
        <f>product_sales_data__1[[#This Row],[TotalPrice]]-product_sales_data__1[[#This Row],[ShippingCost]]</f>
        <v>65.429999999999993</v>
      </c>
      <c r="V267" s="5">
        <f>product_sales_data__1[[#This Row],[Quantity]]*product_sales_data__1[[#This Row],[UnitPrice]]*product_sales_data__1[[#This Row],[Discount]]</f>
        <v>4.8020000000000005</v>
      </c>
    </row>
    <row r="268" spans="1:22" x14ac:dyDescent="0.3">
      <c r="A268" s="1" t="s">
        <v>570</v>
      </c>
      <c r="B268" s="1" t="s">
        <v>54</v>
      </c>
      <c r="C268" s="1" t="s">
        <v>109</v>
      </c>
      <c r="D268">
        <v>3</v>
      </c>
      <c r="E268" s="4">
        <v>98.15</v>
      </c>
      <c r="F268" s="1" t="s">
        <v>55</v>
      </c>
      <c r="G268" s="1" t="s">
        <v>24</v>
      </c>
      <c r="H268">
        <v>0.15</v>
      </c>
      <c r="I268" s="1" t="s">
        <v>78</v>
      </c>
      <c r="J268" s="4">
        <v>250.28</v>
      </c>
      <c r="K268" s="1" t="s">
        <v>38</v>
      </c>
      <c r="L268" s="1" t="s">
        <v>58</v>
      </c>
      <c r="M268">
        <v>0</v>
      </c>
      <c r="N268" s="1" t="s">
        <v>956</v>
      </c>
      <c r="O268" s="1" t="s">
        <v>957</v>
      </c>
      <c r="P268" s="4">
        <v>46.37</v>
      </c>
      <c r="Q268" s="2">
        <v>45931</v>
      </c>
      <c r="R268" s="1" t="s">
        <v>722</v>
      </c>
      <c r="S268" s="1" t="s">
        <v>62</v>
      </c>
      <c r="T268" s="1" t="s">
        <v>32</v>
      </c>
      <c r="U268" s="5">
        <f>product_sales_data__1[[#This Row],[TotalPrice]]-product_sales_data__1[[#This Row],[ShippingCost]]</f>
        <v>203.91</v>
      </c>
      <c r="V268" s="5">
        <f>product_sales_data__1[[#This Row],[Quantity]]*product_sales_data__1[[#This Row],[UnitPrice]]*product_sales_data__1[[#This Row],[Discount]]</f>
        <v>44.167500000000004</v>
      </c>
    </row>
    <row r="269" spans="1:22" x14ac:dyDescent="0.3">
      <c r="A269" s="1" t="s">
        <v>414</v>
      </c>
      <c r="B269" s="1" t="s">
        <v>45</v>
      </c>
      <c r="C269" s="1" t="s">
        <v>22</v>
      </c>
      <c r="D269">
        <v>4</v>
      </c>
      <c r="E269" s="4">
        <v>529.03</v>
      </c>
      <c r="F269" s="1" t="s">
        <v>23</v>
      </c>
      <c r="G269" s="1" t="s">
        <v>24</v>
      </c>
      <c r="H269">
        <v>0.05</v>
      </c>
      <c r="I269" s="1" t="s">
        <v>46</v>
      </c>
      <c r="J269" s="4">
        <v>2010.31</v>
      </c>
      <c r="K269" s="1" t="s">
        <v>26</v>
      </c>
      <c r="L269" s="1" t="s">
        <v>58</v>
      </c>
      <c r="M269">
        <v>0</v>
      </c>
      <c r="N269" s="1" t="s">
        <v>958</v>
      </c>
      <c r="O269" s="1" t="s">
        <v>959</v>
      </c>
      <c r="P269" s="4">
        <v>25.96</v>
      </c>
      <c r="Q269" s="2">
        <v>45573</v>
      </c>
      <c r="R269" s="1" t="s">
        <v>960</v>
      </c>
      <c r="S269" s="1" t="s">
        <v>51</v>
      </c>
      <c r="T269" s="1" t="s">
        <v>32</v>
      </c>
      <c r="U269" s="5">
        <f>product_sales_data__1[[#This Row],[TotalPrice]]-product_sales_data__1[[#This Row],[ShippingCost]]</f>
        <v>1984.35</v>
      </c>
      <c r="V269" s="5">
        <f>product_sales_data__1[[#This Row],[Quantity]]*product_sales_data__1[[#This Row],[UnitPrice]]*product_sales_data__1[[#This Row],[Discount]]</f>
        <v>105.806</v>
      </c>
    </row>
    <row r="270" spans="1:22" x14ac:dyDescent="0.3">
      <c r="A270" s="1" t="s">
        <v>699</v>
      </c>
      <c r="B270" s="1" t="s">
        <v>54</v>
      </c>
      <c r="C270" s="1" t="s">
        <v>140</v>
      </c>
      <c r="D270">
        <v>17</v>
      </c>
      <c r="E270" s="4">
        <v>549.78</v>
      </c>
      <c r="F270" s="1" t="s">
        <v>23</v>
      </c>
      <c r="G270" s="1" t="s">
        <v>24</v>
      </c>
      <c r="H270">
        <v>0.05</v>
      </c>
      <c r="I270" s="1" t="s">
        <v>25</v>
      </c>
      <c r="J270" s="4">
        <v>8878.9500000000007</v>
      </c>
      <c r="K270" s="1" t="s">
        <v>101</v>
      </c>
      <c r="L270" s="1" t="s">
        <v>48</v>
      </c>
      <c r="M270">
        <v>1</v>
      </c>
      <c r="N270" s="1" t="s">
        <v>961</v>
      </c>
      <c r="O270" s="1" t="s">
        <v>962</v>
      </c>
      <c r="P270" s="4">
        <v>44.42</v>
      </c>
      <c r="Q270" s="2">
        <v>45606</v>
      </c>
      <c r="R270" s="1" t="s">
        <v>963</v>
      </c>
      <c r="S270" s="1" t="s">
        <v>62</v>
      </c>
      <c r="T270" s="1" t="s">
        <v>43</v>
      </c>
      <c r="U270" s="5">
        <f>product_sales_data__1[[#This Row],[TotalPrice]]-product_sales_data__1[[#This Row],[ShippingCost]]</f>
        <v>8834.5300000000007</v>
      </c>
      <c r="V270" s="5">
        <f>product_sales_data__1[[#This Row],[Quantity]]*product_sales_data__1[[#This Row],[UnitPrice]]*product_sales_data__1[[#This Row],[Discount]]</f>
        <v>467.31300000000005</v>
      </c>
    </row>
    <row r="271" spans="1:22" x14ac:dyDescent="0.3">
      <c r="A271" s="1" t="s">
        <v>349</v>
      </c>
      <c r="B271" s="1" t="s">
        <v>45</v>
      </c>
      <c r="C271" s="1" t="s">
        <v>71</v>
      </c>
      <c r="D271">
        <v>2</v>
      </c>
      <c r="E271" s="4">
        <v>298.06</v>
      </c>
      <c r="F271" s="1" t="s">
        <v>23</v>
      </c>
      <c r="G271" s="1" t="s">
        <v>24</v>
      </c>
      <c r="H271">
        <v>0</v>
      </c>
      <c r="I271" s="1" t="s">
        <v>25</v>
      </c>
      <c r="J271" s="4">
        <v>596.12</v>
      </c>
      <c r="K271" s="1" t="s">
        <v>38</v>
      </c>
      <c r="L271" s="1" t="s">
        <v>58</v>
      </c>
      <c r="M271">
        <v>1</v>
      </c>
      <c r="N271" s="1" t="s">
        <v>964</v>
      </c>
      <c r="O271" s="1" t="s">
        <v>965</v>
      </c>
      <c r="P271" s="4">
        <v>35.369999999999997</v>
      </c>
      <c r="Q271" s="2">
        <v>45873</v>
      </c>
      <c r="R271" s="1" t="s">
        <v>951</v>
      </c>
      <c r="S271" s="1" t="s">
        <v>51</v>
      </c>
      <c r="T271" s="1" t="s">
        <v>82</v>
      </c>
      <c r="U271" s="5">
        <f>product_sales_data__1[[#This Row],[TotalPrice]]-product_sales_data__1[[#This Row],[ShippingCost]]</f>
        <v>560.75</v>
      </c>
      <c r="V271" s="5">
        <f>product_sales_data__1[[#This Row],[Quantity]]*product_sales_data__1[[#This Row],[UnitPrice]]*product_sales_data__1[[#This Row],[Discount]]</f>
        <v>0</v>
      </c>
    </row>
    <row r="272" spans="1:22" x14ac:dyDescent="0.3">
      <c r="A272" s="1" t="s">
        <v>99</v>
      </c>
      <c r="B272" s="1" t="s">
        <v>70</v>
      </c>
      <c r="C272" s="1" t="s">
        <v>22</v>
      </c>
      <c r="D272">
        <v>7</v>
      </c>
      <c r="E272" s="4">
        <v>373.66</v>
      </c>
      <c r="F272" s="1" t="s">
        <v>23</v>
      </c>
      <c r="G272" s="1" t="s">
        <v>37</v>
      </c>
      <c r="H272">
        <v>0.05</v>
      </c>
      <c r="I272" s="1" t="s">
        <v>25</v>
      </c>
      <c r="J272" s="4">
        <v>2484.84</v>
      </c>
      <c r="K272" s="1" t="s">
        <v>57</v>
      </c>
      <c r="L272" s="1" t="s">
        <v>58</v>
      </c>
      <c r="M272">
        <v>0</v>
      </c>
      <c r="N272" s="1" t="s">
        <v>966</v>
      </c>
      <c r="O272" s="1" t="s">
        <v>967</v>
      </c>
      <c r="P272" s="4">
        <v>46.33</v>
      </c>
      <c r="Q272" s="2">
        <v>45085</v>
      </c>
      <c r="R272" s="1" t="s">
        <v>354</v>
      </c>
      <c r="S272" s="1" t="s">
        <v>75</v>
      </c>
      <c r="T272" s="1" t="s">
        <v>105</v>
      </c>
      <c r="U272" s="5">
        <f>product_sales_data__1[[#This Row],[TotalPrice]]-product_sales_data__1[[#This Row],[ShippingCost]]</f>
        <v>2438.5100000000002</v>
      </c>
      <c r="V272" s="5">
        <f>product_sales_data__1[[#This Row],[Quantity]]*product_sales_data__1[[#This Row],[UnitPrice]]*product_sales_data__1[[#This Row],[Discount]]</f>
        <v>130.78100000000003</v>
      </c>
    </row>
    <row r="273" spans="1:22" x14ac:dyDescent="0.3">
      <c r="A273" s="1" t="s">
        <v>603</v>
      </c>
      <c r="B273" s="1" t="s">
        <v>21</v>
      </c>
      <c r="C273" s="1" t="s">
        <v>109</v>
      </c>
      <c r="D273">
        <v>13</v>
      </c>
      <c r="E273" s="4">
        <v>494.78</v>
      </c>
      <c r="F273" s="1" t="s">
        <v>84</v>
      </c>
      <c r="G273" s="1" t="s">
        <v>24</v>
      </c>
      <c r="H273">
        <v>0.15</v>
      </c>
      <c r="I273" s="1" t="s">
        <v>78</v>
      </c>
      <c r="J273" s="4">
        <v>5467.32</v>
      </c>
      <c r="K273" s="1" t="s">
        <v>47</v>
      </c>
      <c r="L273" s="1" t="s">
        <v>85</v>
      </c>
      <c r="M273">
        <v>0</v>
      </c>
      <c r="N273" s="1" t="s">
        <v>968</v>
      </c>
      <c r="O273" s="1" t="s">
        <v>969</v>
      </c>
      <c r="P273" s="4">
        <v>5.85</v>
      </c>
      <c r="Q273" s="2">
        <v>45019</v>
      </c>
      <c r="R273" s="1" t="s">
        <v>611</v>
      </c>
      <c r="S273" s="1" t="s">
        <v>31</v>
      </c>
      <c r="T273" s="1" t="s">
        <v>147</v>
      </c>
      <c r="U273" s="5">
        <f>product_sales_data__1[[#This Row],[TotalPrice]]-product_sales_data__1[[#This Row],[ShippingCost]]</f>
        <v>5461.4699999999993</v>
      </c>
      <c r="V273" s="5">
        <f>product_sales_data__1[[#This Row],[Quantity]]*product_sales_data__1[[#This Row],[UnitPrice]]*product_sales_data__1[[#This Row],[Discount]]</f>
        <v>964.82099999999991</v>
      </c>
    </row>
    <row r="274" spans="1:22" x14ac:dyDescent="0.3">
      <c r="A274" s="1" t="s">
        <v>520</v>
      </c>
      <c r="B274" s="1" t="s">
        <v>70</v>
      </c>
      <c r="C274" s="1" t="s">
        <v>109</v>
      </c>
      <c r="D274">
        <v>14</v>
      </c>
      <c r="E274" s="4">
        <v>216.2</v>
      </c>
      <c r="F274" s="1" t="s">
        <v>36</v>
      </c>
      <c r="G274" s="1" t="s">
        <v>24</v>
      </c>
      <c r="H274">
        <v>0</v>
      </c>
      <c r="I274" s="1" t="s">
        <v>78</v>
      </c>
      <c r="J274" s="4">
        <v>3026.8</v>
      </c>
      <c r="K274" s="1" t="s">
        <v>26</v>
      </c>
      <c r="L274" s="1" t="s">
        <v>27</v>
      </c>
      <c r="M274">
        <v>0</v>
      </c>
      <c r="N274" s="1" t="s">
        <v>970</v>
      </c>
      <c r="O274" s="1" t="s">
        <v>971</v>
      </c>
      <c r="P274" s="4">
        <v>14.39</v>
      </c>
      <c r="Q274" s="2">
        <v>45547</v>
      </c>
      <c r="R274" s="1" t="s">
        <v>972</v>
      </c>
      <c r="S274" s="1" t="s">
        <v>75</v>
      </c>
      <c r="T274" s="1" t="s">
        <v>52</v>
      </c>
      <c r="U274" s="5">
        <f>product_sales_data__1[[#This Row],[TotalPrice]]-product_sales_data__1[[#This Row],[ShippingCost]]</f>
        <v>3012.4100000000003</v>
      </c>
      <c r="V274" s="5">
        <f>product_sales_data__1[[#This Row],[Quantity]]*product_sales_data__1[[#This Row],[UnitPrice]]*product_sales_data__1[[#This Row],[Discount]]</f>
        <v>0</v>
      </c>
    </row>
    <row r="275" spans="1:22" x14ac:dyDescent="0.3">
      <c r="A275" s="1" t="s">
        <v>973</v>
      </c>
      <c r="B275" s="1" t="s">
        <v>54</v>
      </c>
      <c r="C275" s="1" t="s">
        <v>100</v>
      </c>
      <c r="D275">
        <v>11</v>
      </c>
      <c r="E275" s="4">
        <v>128.99</v>
      </c>
      <c r="F275" s="1" t="s">
        <v>84</v>
      </c>
      <c r="G275" s="1" t="s">
        <v>37</v>
      </c>
      <c r="H275">
        <v>0.05</v>
      </c>
      <c r="I275" s="1" t="s">
        <v>78</v>
      </c>
      <c r="J275" s="4">
        <v>1347.95</v>
      </c>
      <c r="K275" s="1" t="s">
        <v>38</v>
      </c>
      <c r="L275" s="1" t="s">
        <v>58</v>
      </c>
      <c r="M275">
        <v>0</v>
      </c>
      <c r="N275" s="1" t="s">
        <v>974</v>
      </c>
      <c r="O275" s="1" t="s">
        <v>975</v>
      </c>
      <c r="P275" s="4">
        <v>38.58</v>
      </c>
      <c r="Q275" s="2">
        <v>45389</v>
      </c>
      <c r="R275" s="1" t="s">
        <v>217</v>
      </c>
      <c r="S275" s="1" t="s">
        <v>62</v>
      </c>
      <c r="T275" s="1" t="s">
        <v>147</v>
      </c>
      <c r="U275" s="5">
        <f>product_sales_data__1[[#This Row],[TotalPrice]]-product_sales_data__1[[#This Row],[ShippingCost]]</f>
        <v>1309.3700000000001</v>
      </c>
      <c r="V275" s="5">
        <f>product_sales_data__1[[#This Row],[Quantity]]*product_sales_data__1[[#This Row],[UnitPrice]]*product_sales_data__1[[#This Row],[Discount]]</f>
        <v>70.944500000000005</v>
      </c>
    </row>
    <row r="276" spans="1:22" x14ac:dyDescent="0.3">
      <c r="A276" s="1" t="s">
        <v>297</v>
      </c>
      <c r="B276" s="1" t="s">
        <v>70</v>
      </c>
      <c r="C276" s="1" t="s">
        <v>71</v>
      </c>
      <c r="D276">
        <v>11</v>
      </c>
      <c r="E276" s="4">
        <v>183.11</v>
      </c>
      <c r="F276" s="1" t="s">
        <v>23</v>
      </c>
      <c r="G276" s="1" t="s">
        <v>37</v>
      </c>
      <c r="H276">
        <v>0.15</v>
      </c>
      <c r="I276" s="1" t="s">
        <v>56</v>
      </c>
      <c r="J276" s="4">
        <v>1712.08</v>
      </c>
      <c r="K276" s="1" t="s">
        <v>57</v>
      </c>
      <c r="L276" s="1" t="s">
        <v>85</v>
      </c>
      <c r="M276">
        <v>0</v>
      </c>
      <c r="N276" s="1" t="s">
        <v>976</v>
      </c>
      <c r="O276" s="1" t="s">
        <v>977</v>
      </c>
      <c r="P276" s="4">
        <v>41.83</v>
      </c>
      <c r="Q276" s="2">
        <v>45750</v>
      </c>
      <c r="R276" s="1" t="s">
        <v>172</v>
      </c>
      <c r="S276" s="1" t="s">
        <v>75</v>
      </c>
      <c r="T276" s="1" t="s">
        <v>147</v>
      </c>
      <c r="U276" s="5">
        <f>product_sales_data__1[[#This Row],[TotalPrice]]-product_sales_data__1[[#This Row],[ShippingCost]]</f>
        <v>1670.25</v>
      </c>
      <c r="V276" s="5">
        <f>product_sales_data__1[[#This Row],[Quantity]]*product_sales_data__1[[#This Row],[UnitPrice]]*product_sales_data__1[[#This Row],[Discount]]</f>
        <v>302.13150000000002</v>
      </c>
    </row>
    <row r="277" spans="1:22" x14ac:dyDescent="0.3">
      <c r="A277" s="1" t="s">
        <v>978</v>
      </c>
      <c r="B277" s="1" t="s">
        <v>70</v>
      </c>
      <c r="C277" s="1" t="s">
        <v>22</v>
      </c>
      <c r="D277">
        <v>14</v>
      </c>
      <c r="E277" s="4">
        <v>554.08000000000004</v>
      </c>
      <c r="F277" s="1" t="s">
        <v>84</v>
      </c>
      <c r="G277" s="1" t="s">
        <v>37</v>
      </c>
      <c r="H277">
        <v>0.05</v>
      </c>
      <c r="I277" s="1" t="s">
        <v>78</v>
      </c>
      <c r="J277" s="4">
        <v>7369.26</v>
      </c>
      <c r="K277" s="1" t="s">
        <v>47</v>
      </c>
      <c r="L277" s="1" t="s">
        <v>48</v>
      </c>
      <c r="M277">
        <v>0</v>
      </c>
      <c r="N277" s="1" t="s">
        <v>979</v>
      </c>
      <c r="O277" s="1" t="s">
        <v>980</v>
      </c>
      <c r="P277" s="4">
        <v>36.72</v>
      </c>
      <c r="Q277" s="2">
        <v>45994</v>
      </c>
      <c r="R277" s="1" t="s">
        <v>981</v>
      </c>
      <c r="S277" s="1" t="s">
        <v>75</v>
      </c>
      <c r="T277" s="1" t="s">
        <v>76</v>
      </c>
      <c r="U277" s="5">
        <f>product_sales_data__1[[#This Row],[TotalPrice]]-product_sales_data__1[[#This Row],[ShippingCost]]</f>
        <v>7332.54</v>
      </c>
      <c r="V277" s="5">
        <f>product_sales_data__1[[#This Row],[Quantity]]*product_sales_data__1[[#This Row],[UnitPrice]]*product_sales_data__1[[#This Row],[Discount]]</f>
        <v>387.85600000000005</v>
      </c>
    </row>
    <row r="278" spans="1:22" x14ac:dyDescent="0.3">
      <c r="A278" s="1" t="s">
        <v>224</v>
      </c>
      <c r="B278" s="1" t="s">
        <v>70</v>
      </c>
      <c r="C278" s="1" t="s">
        <v>109</v>
      </c>
      <c r="D278">
        <v>1</v>
      </c>
      <c r="E278" s="4">
        <v>315.93</v>
      </c>
      <c r="F278" s="1" t="s">
        <v>36</v>
      </c>
      <c r="G278" s="1" t="s">
        <v>37</v>
      </c>
      <c r="H278">
        <v>0.15</v>
      </c>
      <c r="I278" s="1" t="s">
        <v>25</v>
      </c>
      <c r="J278" s="4">
        <v>268.54000000000002</v>
      </c>
      <c r="K278" s="1" t="s">
        <v>101</v>
      </c>
      <c r="L278" s="1" t="s">
        <v>58</v>
      </c>
      <c r="M278">
        <v>0</v>
      </c>
      <c r="N278" s="1" t="s">
        <v>982</v>
      </c>
      <c r="O278" s="1" t="s">
        <v>983</v>
      </c>
      <c r="P278" s="4">
        <v>43.2</v>
      </c>
      <c r="Q278" s="2">
        <v>45240</v>
      </c>
      <c r="R278" s="1" t="s">
        <v>984</v>
      </c>
      <c r="S278" s="1" t="s">
        <v>75</v>
      </c>
      <c r="T278" s="1" t="s">
        <v>43</v>
      </c>
      <c r="U278" s="5">
        <f>product_sales_data__1[[#This Row],[TotalPrice]]-product_sales_data__1[[#This Row],[ShippingCost]]</f>
        <v>225.34000000000003</v>
      </c>
      <c r="V278" s="5">
        <f>product_sales_data__1[[#This Row],[Quantity]]*product_sales_data__1[[#This Row],[UnitPrice]]*product_sales_data__1[[#This Row],[Discount]]</f>
        <v>47.389499999999998</v>
      </c>
    </row>
    <row r="279" spans="1:22" x14ac:dyDescent="0.3">
      <c r="A279" s="1" t="s">
        <v>985</v>
      </c>
      <c r="B279" s="1" t="s">
        <v>54</v>
      </c>
      <c r="C279" s="1" t="s">
        <v>140</v>
      </c>
      <c r="D279">
        <v>5</v>
      </c>
      <c r="E279" s="4">
        <v>596.97</v>
      </c>
      <c r="F279" s="1" t="s">
        <v>84</v>
      </c>
      <c r="G279" s="1" t="s">
        <v>37</v>
      </c>
      <c r="H279">
        <v>0</v>
      </c>
      <c r="I279" s="1" t="s">
        <v>65</v>
      </c>
      <c r="J279" s="4">
        <v>2984.85</v>
      </c>
      <c r="K279" s="1" t="s">
        <v>47</v>
      </c>
      <c r="L279" s="1" t="s">
        <v>58</v>
      </c>
      <c r="M279">
        <v>0</v>
      </c>
      <c r="N279" s="1" t="s">
        <v>986</v>
      </c>
      <c r="O279" s="1" t="s">
        <v>987</v>
      </c>
      <c r="P279" s="4">
        <v>14.43</v>
      </c>
      <c r="Q279" s="2">
        <v>45115</v>
      </c>
      <c r="R279" s="1" t="s">
        <v>104</v>
      </c>
      <c r="S279" s="1" t="s">
        <v>62</v>
      </c>
      <c r="T279" s="1" t="s">
        <v>117</v>
      </c>
      <c r="U279" s="5">
        <f>product_sales_data__1[[#This Row],[TotalPrice]]-product_sales_data__1[[#This Row],[ShippingCost]]</f>
        <v>2970.42</v>
      </c>
      <c r="V279" s="5">
        <f>product_sales_data__1[[#This Row],[Quantity]]*product_sales_data__1[[#This Row],[UnitPrice]]*product_sales_data__1[[#This Row],[Discount]]</f>
        <v>0</v>
      </c>
    </row>
    <row r="280" spans="1:22" x14ac:dyDescent="0.3">
      <c r="A280" s="1" t="s">
        <v>682</v>
      </c>
      <c r="B280" s="1" t="s">
        <v>21</v>
      </c>
      <c r="C280" s="1" t="s">
        <v>100</v>
      </c>
      <c r="D280">
        <v>17</v>
      </c>
      <c r="E280" s="4">
        <v>376.98</v>
      </c>
      <c r="F280" s="1" t="s">
        <v>84</v>
      </c>
      <c r="G280" s="1" t="s">
        <v>37</v>
      </c>
      <c r="H280">
        <v>0.05</v>
      </c>
      <c r="I280" s="1" t="s">
        <v>46</v>
      </c>
      <c r="J280" s="4">
        <v>6088.23</v>
      </c>
      <c r="K280" s="1" t="s">
        <v>38</v>
      </c>
      <c r="L280" s="1" t="s">
        <v>48</v>
      </c>
      <c r="M280">
        <v>1</v>
      </c>
      <c r="N280" s="1" t="s">
        <v>988</v>
      </c>
      <c r="O280" s="1" t="s">
        <v>989</v>
      </c>
      <c r="P280" s="4">
        <v>38.479999999999997</v>
      </c>
      <c r="Q280" s="2">
        <v>44997</v>
      </c>
      <c r="R280" s="1" t="s">
        <v>685</v>
      </c>
      <c r="S280" s="1" t="s">
        <v>31</v>
      </c>
      <c r="T280" s="1" t="s">
        <v>98</v>
      </c>
      <c r="U280" s="5">
        <f>product_sales_data__1[[#This Row],[TotalPrice]]-product_sales_data__1[[#This Row],[ShippingCost]]</f>
        <v>6049.75</v>
      </c>
      <c r="V280" s="5">
        <f>product_sales_data__1[[#This Row],[Quantity]]*product_sales_data__1[[#This Row],[UnitPrice]]*product_sales_data__1[[#This Row],[Discount]]</f>
        <v>320.43299999999999</v>
      </c>
    </row>
    <row r="281" spans="1:22" x14ac:dyDescent="0.3">
      <c r="A281" s="1" t="s">
        <v>990</v>
      </c>
      <c r="B281" s="1" t="s">
        <v>45</v>
      </c>
      <c r="C281" s="1" t="s">
        <v>140</v>
      </c>
      <c r="D281">
        <v>6</v>
      </c>
      <c r="E281" s="4">
        <v>208.64</v>
      </c>
      <c r="F281" s="1" t="s">
        <v>55</v>
      </c>
      <c r="G281" s="1" t="s">
        <v>37</v>
      </c>
      <c r="H281">
        <v>0.1</v>
      </c>
      <c r="I281" s="1" t="s">
        <v>56</v>
      </c>
      <c r="J281" s="4">
        <v>1126.6600000000001</v>
      </c>
      <c r="K281" s="1" t="s">
        <v>101</v>
      </c>
      <c r="L281" s="1" t="s">
        <v>85</v>
      </c>
      <c r="M281">
        <v>0</v>
      </c>
      <c r="N281" s="1" t="s">
        <v>991</v>
      </c>
      <c r="O281" s="1" t="s">
        <v>992</v>
      </c>
      <c r="P281" s="4">
        <v>49.93</v>
      </c>
      <c r="Q281" s="2">
        <v>45299</v>
      </c>
      <c r="R281" s="1" t="s">
        <v>500</v>
      </c>
      <c r="S281" s="1" t="s">
        <v>51</v>
      </c>
      <c r="T281" s="1" t="s">
        <v>187</v>
      </c>
      <c r="U281" s="5">
        <f>product_sales_data__1[[#This Row],[TotalPrice]]-product_sales_data__1[[#This Row],[ShippingCost]]</f>
        <v>1076.73</v>
      </c>
      <c r="V281" s="5">
        <f>product_sales_data__1[[#This Row],[Quantity]]*product_sales_data__1[[#This Row],[UnitPrice]]*product_sales_data__1[[#This Row],[Discount]]</f>
        <v>125.184</v>
      </c>
    </row>
    <row r="282" spans="1:22" x14ac:dyDescent="0.3">
      <c r="A282" s="1" t="s">
        <v>151</v>
      </c>
      <c r="B282" s="1" t="s">
        <v>34</v>
      </c>
      <c r="C282" s="1" t="s">
        <v>22</v>
      </c>
      <c r="D282">
        <v>9</v>
      </c>
      <c r="E282" s="4">
        <v>188.03</v>
      </c>
      <c r="F282" s="1" t="s">
        <v>23</v>
      </c>
      <c r="G282" s="1" t="s">
        <v>37</v>
      </c>
      <c r="H282">
        <v>0</v>
      </c>
      <c r="I282" s="1" t="s">
        <v>56</v>
      </c>
      <c r="J282" s="4">
        <v>1692.27</v>
      </c>
      <c r="K282" s="1" t="s">
        <v>47</v>
      </c>
      <c r="L282" s="1" t="s">
        <v>85</v>
      </c>
      <c r="M282">
        <v>0</v>
      </c>
      <c r="N282" s="1" t="s">
        <v>993</v>
      </c>
      <c r="O282" s="1" t="s">
        <v>994</v>
      </c>
      <c r="P282" s="4">
        <v>11.44</v>
      </c>
      <c r="Q282" s="2">
        <v>45779</v>
      </c>
      <c r="R282" s="1" t="s">
        <v>777</v>
      </c>
      <c r="S282" s="1" t="s">
        <v>42</v>
      </c>
      <c r="T282" s="1" t="s">
        <v>63</v>
      </c>
      <c r="U282" s="5">
        <f>product_sales_data__1[[#This Row],[TotalPrice]]-product_sales_data__1[[#This Row],[ShippingCost]]</f>
        <v>1680.83</v>
      </c>
      <c r="V282" s="5">
        <f>product_sales_data__1[[#This Row],[Quantity]]*product_sales_data__1[[#This Row],[UnitPrice]]*product_sales_data__1[[#This Row],[Discount]]</f>
        <v>0</v>
      </c>
    </row>
    <row r="283" spans="1:22" x14ac:dyDescent="0.3">
      <c r="A283" s="1" t="s">
        <v>603</v>
      </c>
      <c r="B283" s="1" t="s">
        <v>21</v>
      </c>
      <c r="C283" s="1" t="s">
        <v>140</v>
      </c>
      <c r="D283">
        <v>10</v>
      </c>
      <c r="E283" s="4">
        <v>450.71</v>
      </c>
      <c r="F283" s="1" t="s">
        <v>23</v>
      </c>
      <c r="G283" s="1" t="s">
        <v>37</v>
      </c>
      <c r="H283">
        <v>0.1</v>
      </c>
      <c r="I283" s="1" t="s">
        <v>94</v>
      </c>
      <c r="J283" s="4">
        <v>4056.39</v>
      </c>
      <c r="K283" s="1" t="s">
        <v>57</v>
      </c>
      <c r="L283" s="1" t="s">
        <v>58</v>
      </c>
      <c r="M283">
        <v>0</v>
      </c>
      <c r="N283" s="1" t="s">
        <v>995</v>
      </c>
      <c r="O283" s="1" t="s">
        <v>996</v>
      </c>
      <c r="P283" s="4">
        <v>21.31</v>
      </c>
      <c r="Q283" s="2">
        <v>45019</v>
      </c>
      <c r="R283" s="1" t="s">
        <v>916</v>
      </c>
      <c r="S283" s="1" t="s">
        <v>31</v>
      </c>
      <c r="T283" s="1" t="s">
        <v>147</v>
      </c>
      <c r="U283" s="5">
        <f>product_sales_data__1[[#This Row],[TotalPrice]]-product_sales_data__1[[#This Row],[ShippingCost]]</f>
        <v>4035.08</v>
      </c>
      <c r="V283" s="5">
        <f>product_sales_data__1[[#This Row],[Quantity]]*product_sales_data__1[[#This Row],[UnitPrice]]*product_sales_data__1[[#This Row],[Discount]]</f>
        <v>450.71</v>
      </c>
    </row>
    <row r="284" spans="1:22" x14ac:dyDescent="0.3">
      <c r="A284" s="1" t="s">
        <v>729</v>
      </c>
      <c r="B284" s="1" t="s">
        <v>54</v>
      </c>
      <c r="C284" s="1" t="s">
        <v>71</v>
      </c>
      <c r="D284">
        <v>5</v>
      </c>
      <c r="E284" s="4">
        <v>206.42</v>
      </c>
      <c r="F284" s="1" t="s">
        <v>55</v>
      </c>
      <c r="G284" s="1" t="s">
        <v>37</v>
      </c>
      <c r="H284">
        <v>0.05</v>
      </c>
      <c r="I284" s="1" t="s">
        <v>25</v>
      </c>
      <c r="J284" s="4">
        <v>980.5</v>
      </c>
      <c r="K284" s="1" t="s">
        <v>38</v>
      </c>
      <c r="L284" s="1" t="s">
        <v>27</v>
      </c>
      <c r="M284">
        <v>0</v>
      </c>
      <c r="N284" s="1" t="s">
        <v>997</v>
      </c>
      <c r="O284" s="1" t="s">
        <v>998</v>
      </c>
      <c r="P284" s="4">
        <v>35.51</v>
      </c>
      <c r="Q284" s="2">
        <v>45418</v>
      </c>
      <c r="R284" s="1" t="s">
        <v>999</v>
      </c>
      <c r="S284" s="1" t="s">
        <v>62</v>
      </c>
      <c r="T284" s="1" t="s">
        <v>63</v>
      </c>
      <c r="U284" s="5">
        <f>product_sales_data__1[[#This Row],[TotalPrice]]-product_sales_data__1[[#This Row],[ShippingCost]]</f>
        <v>944.99</v>
      </c>
      <c r="V284" s="5">
        <f>product_sales_data__1[[#This Row],[Quantity]]*product_sales_data__1[[#This Row],[UnitPrice]]*product_sales_data__1[[#This Row],[Discount]]</f>
        <v>51.604999999999997</v>
      </c>
    </row>
    <row r="285" spans="1:22" x14ac:dyDescent="0.3">
      <c r="A285" s="1" t="s">
        <v>1000</v>
      </c>
      <c r="B285" s="1" t="s">
        <v>70</v>
      </c>
      <c r="C285" s="1" t="s">
        <v>140</v>
      </c>
      <c r="D285">
        <v>4</v>
      </c>
      <c r="E285" s="4">
        <v>256.83</v>
      </c>
      <c r="F285" s="1" t="s">
        <v>84</v>
      </c>
      <c r="G285" s="1" t="s">
        <v>24</v>
      </c>
      <c r="H285">
        <v>0.15</v>
      </c>
      <c r="I285" s="1" t="s">
        <v>46</v>
      </c>
      <c r="J285" s="4">
        <v>873.22</v>
      </c>
      <c r="K285" s="1" t="s">
        <v>47</v>
      </c>
      <c r="L285" s="1" t="s">
        <v>48</v>
      </c>
      <c r="M285">
        <v>1</v>
      </c>
      <c r="N285" s="1" t="s">
        <v>1001</v>
      </c>
      <c r="O285" s="1" t="s">
        <v>1002</v>
      </c>
      <c r="P285" s="4">
        <v>44.72</v>
      </c>
      <c r="Q285" s="2">
        <v>45542</v>
      </c>
      <c r="R285" s="1" t="s">
        <v>220</v>
      </c>
      <c r="S285" s="1" t="s">
        <v>75</v>
      </c>
      <c r="T285" s="1" t="s">
        <v>52</v>
      </c>
      <c r="U285" s="5">
        <f>product_sales_data__1[[#This Row],[TotalPrice]]-product_sales_data__1[[#This Row],[ShippingCost]]</f>
        <v>828.5</v>
      </c>
      <c r="V285" s="5">
        <f>product_sales_data__1[[#This Row],[Quantity]]*product_sales_data__1[[#This Row],[UnitPrice]]*product_sales_data__1[[#This Row],[Discount]]</f>
        <v>154.09799999999998</v>
      </c>
    </row>
    <row r="286" spans="1:22" x14ac:dyDescent="0.3">
      <c r="A286" s="1" t="s">
        <v>460</v>
      </c>
      <c r="B286" s="1" t="s">
        <v>34</v>
      </c>
      <c r="C286" s="1" t="s">
        <v>127</v>
      </c>
      <c r="D286">
        <v>1</v>
      </c>
      <c r="E286" s="4">
        <v>247.04</v>
      </c>
      <c r="F286" s="1" t="s">
        <v>36</v>
      </c>
      <c r="G286" s="1" t="s">
        <v>24</v>
      </c>
      <c r="H286">
        <v>0</v>
      </c>
      <c r="I286" s="1" t="s">
        <v>94</v>
      </c>
      <c r="J286" s="4">
        <v>247.04</v>
      </c>
      <c r="K286" s="1" t="s">
        <v>101</v>
      </c>
      <c r="L286" s="1" t="s">
        <v>85</v>
      </c>
      <c r="M286">
        <v>0</v>
      </c>
      <c r="N286" s="1" t="s">
        <v>1003</v>
      </c>
      <c r="O286" s="1" t="s">
        <v>1004</v>
      </c>
      <c r="P286" s="4">
        <v>26.86</v>
      </c>
      <c r="Q286" s="2">
        <v>45872</v>
      </c>
      <c r="R286" s="1" t="s">
        <v>61</v>
      </c>
      <c r="S286" s="1" t="s">
        <v>42</v>
      </c>
      <c r="T286" s="1" t="s">
        <v>82</v>
      </c>
      <c r="U286" s="5">
        <f>product_sales_data__1[[#This Row],[TotalPrice]]-product_sales_data__1[[#This Row],[ShippingCost]]</f>
        <v>220.18</v>
      </c>
      <c r="V286" s="5">
        <f>product_sales_data__1[[#This Row],[Quantity]]*product_sales_data__1[[#This Row],[UnitPrice]]*product_sales_data__1[[#This Row],[Discount]]</f>
        <v>0</v>
      </c>
    </row>
    <row r="287" spans="1:22" x14ac:dyDescent="0.3">
      <c r="A287" s="1" t="s">
        <v>948</v>
      </c>
      <c r="B287" s="1" t="s">
        <v>54</v>
      </c>
      <c r="C287" s="1" t="s">
        <v>35</v>
      </c>
      <c r="D287">
        <v>19</v>
      </c>
      <c r="E287" s="4">
        <v>267.02999999999997</v>
      </c>
      <c r="F287" s="1" t="s">
        <v>55</v>
      </c>
      <c r="G287" s="1" t="s">
        <v>24</v>
      </c>
      <c r="H287">
        <v>0.15</v>
      </c>
      <c r="I287" s="1" t="s">
        <v>94</v>
      </c>
      <c r="J287" s="4">
        <v>4312.53</v>
      </c>
      <c r="K287" s="1" t="s">
        <v>26</v>
      </c>
      <c r="L287" s="1" t="s">
        <v>58</v>
      </c>
      <c r="M287">
        <v>1</v>
      </c>
      <c r="N287" s="1" t="s">
        <v>1005</v>
      </c>
      <c r="O287" s="1" t="s">
        <v>1006</v>
      </c>
      <c r="P287" s="4">
        <v>35.82</v>
      </c>
      <c r="Q287" s="2">
        <v>45781</v>
      </c>
      <c r="R287" s="1" t="s">
        <v>1007</v>
      </c>
      <c r="S287" s="1" t="s">
        <v>62</v>
      </c>
      <c r="T287" s="1" t="s">
        <v>63</v>
      </c>
      <c r="U287" s="5">
        <f>product_sales_data__1[[#This Row],[TotalPrice]]-product_sales_data__1[[#This Row],[ShippingCost]]</f>
        <v>4276.71</v>
      </c>
      <c r="V287" s="5">
        <f>product_sales_data__1[[#This Row],[Quantity]]*product_sales_data__1[[#This Row],[UnitPrice]]*product_sales_data__1[[#This Row],[Discount]]</f>
        <v>761.03549999999996</v>
      </c>
    </row>
    <row r="288" spans="1:22" x14ac:dyDescent="0.3">
      <c r="A288" s="1" t="s">
        <v>262</v>
      </c>
      <c r="B288" s="1" t="s">
        <v>34</v>
      </c>
      <c r="C288" s="1" t="s">
        <v>140</v>
      </c>
      <c r="D288">
        <v>7</v>
      </c>
      <c r="E288" s="4">
        <v>77.69</v>
      </c>
      <c r="F288" s="1" t="s">
        <v>55</v>
      </c>
      <c r="G288" s="1" t="s">
        <v>24</v>
      </c>
      <c r="H288">
        <v>0</v>
      </c>
      <c r="I288" s="1" t="s">
        <v>46</v>
      </c>
      <c r="J288" s="4">
        <v>543.83000000000004</v>
      </c>
      <c r="K288" s="1" t="s">
        <v>101</v>
      </c>
      <c r="L288" s="1" t="s">
        <v>58</v>
      </c>
      <c r="M288">
        <v>0</v>
      </c>
      <c r="N288" s="1" t="s">
        <v>1008</v>
      </c>
      <c r="O288" s="1" t="s">
        <v>1009</v>
      </c>
      <c r="P288" s="4">
        <v>41.89</v>
      </c>
      <c r="Q288" s="2">
        <v>45415</v>
      </c>
      <c r="R288" s="1" t="s">
        <v>191</v>
      </c>
      <c r="S288" s="1" t="s">
        <v>42</v>
      </c>
      <c r="T288" s="1" t="s">
        <v>63</v>
      </c>
      <c r="U288" s="5">
        <f>product_sales_data__1[[#This Row],[TotalPrice]]-product_sales_data__1[[#This Row],[ShippingCost]]</f>
        <v>501.94000000000005</v>
      </c>
      <c r="V288" s="5">
        <f>product_sales_data__1[[#This Row],[Quantity]]*product_sales_data__1[[#This Row],[UnitPrice]]*product_sales_data__1[[#This Row],[Discount]]</f>
        <v>0</v>
      </c>
    </row>
    <row r="289" spans="1:22" x14ac:dyDescent="0.3">
      <c r="A289" s="1" t="s">
        <v>1010</v>
      </c>
      <c r="B289" s="1" t="s">
        <v>70</v>
      </c>
      <c r="C289" s="1" t="s">
        <v>71</v>
      </c>
      <c r="D289">
        <v>20</v>
      </c>
      <c r="E289" s="4">
        <v>312.43</v>
      </c>
      <c r="F289" s="1" t="s">
        <v>36</v>
      </c>
      <c r="G289" s="1" t="s">
        <v>37</v>
      </c>
      <c r="H289">
        <v>0</v>
      </c>
      <c r="I289" s="1" t="s">
        <v>46</v>
      </c>
      <c r="J289" s="4">
        <v>6248.6</v>
      </c>
      <c r="K289" s="1" t="s">
        <v>101</v>
      </c>
      <c r="L289" s="1" t="s">
        <v>58</v>
      </c>
      <c r="M289">
        <v>0</v>
      </c>
      <c r="N289" s="1" t="s">
        <v>1011</v>
      </c>
      <c r="O289" s="1" t="s">
        <v>1012</v>
      </c>
      <c r="P289" s="4">
        <v>28.11</v>
      </c>
      <c r="Q289" s="2">
        <v>45538</v>
      </c>
      <c r="R289" s="1" t="s">
        <v>883</v>
      </c>
      <c r="S289" s="1" t="s">
        <v>75</v>
      </c>
      <c r="T289" s="1" t="s">
        <v>52</v>
      </c>
      <c r="U289" s="5">
        <f>product_sales_data__1[[#This Row],[TotalPrice]]-product_sales_data__1[[#This Row],[ShippingCost]]</f>
        <v>6220.4900000000007</v>
      </c>
      <c r="V289" s="5">
        <f>product_sales_data__1[[#This Row],[Quantity]]*product_sales_data__1[[#This Row],[UnitPrice]]*product_sales_data__1[[#This Row],[Discount]]</f>
        <v>0</v>
      </c>
    </row>
    <row r="290" spans="1:22" x14ac:dyDescent="0.3">
      <c r="A290" s="1" t="s">
        <v>990</v>
      </c>
      <c r="B290" s="1" t="s">
        <v>34</v>
      </c>
      <c r="C290" s="1" t="s">
        <v>140</v>
      </c>
      <c r="D290">
        <v>20</v>
      </c>
      <c r="E290" s="4">
        <v>248.11</v>
      </c>
      <c r="F290" s="1" t="s">
        <v>55</v>
      </c>
      <c r="G290" s="1" t="s">
        <v>24</v>
      </c>
      <c r="H290">
        <v>0.05</v>
      </c>
      <c r="I290" s="1" t="s">
        <v>46</v>
      </c>
      <c r="J290" s="4">
        <v>4714.09</v>
      </c>
      <c r="K290" s="1" t="s">
        <v>26</v>
      </c>
      <c r="L290" s="1" t="s">
        <v>58</v>
      </c>
      <c r="M290">
        <v>0</v>
      </c>
      <c r="N290" s="1" t="s">
        <v>1013</v>
      </c>
      <c r="O290" s="1" t="s">
        <v>1014</v>
      </c>
      <c r="P290" s="4">
        <v>22.96</v>
      </c>
      <c r="Q290" s="2">
        <v>45299</v>
      </c>
      <c r="R290" s="1" t="s">
        <v>1015</v>
      </c>
      <c r="S290" s="1" t="s">
        <v>42</v>
      </c>
      <c r="T290" s="1" t="s">
        <v>187</v>
      </c>
      <c r="U290" s="5">
        <f>product_sales_data__1[[#This Row],[TotalPrice]]-product_sales_data__1[[#This Row],[ShippingCost]]</f>
        <v>4691.13</v>
      </c>
      <c r="V290" s="5">
        <f>product_sales_data__1[[#This Row],[Quantity]]*product_sales_data__1[[#This Row],[UnitPrice]]*product_sales_data__1[[#This Row],[Discount]]</f>
        <v>248.11000000000004</v>
      </c>
    </row>
    <row r="291" spans="1:22" x14ac:dyDescent="0.3">
      <c r="A291" s="1" t="s">
        <v>743</v>
      </c>
      <c r="B291" s="1" t="s">
        <v>21</v>
      </c>
      <c r="C291" s="1" t="s">
        <v>22</v>
      </c>
      <c r="D291">
        <v>6</v>
      </c>
      <c r="E291" s="4">
        <v>126.86</v>
      </c>
      <c r="F291" s="1" t="s">
        <v>36</v>
      </c>
      <c r="G291" s="1" t="s">
        <v>24</v>
      </c>
      <c r="H291">
        <v>0.05</v>
      </c>
      <c r="I291" s="1" t="s">
        <v>65</v>
      </c>
      <c r="J291" s="4">
        <v>723.1</v>
      </c>
      <c r="K291" s="1" t="s">
        <v>38</v>
      </c>
      <c r="L291" s="1" t="s">
        <v>85</v>
      </c>
      <c r="M291">
        <v>0</v>
      </c>
      <c r="N291" s="1" t="s">
        <v>1016</v>
      </c>
      <c r="O291" s="1" t="s">
        <v>1017</v>
      </c>
      <c r="P291" s="4">
        <v>35.49</v>
      </c>
      <c r="Q291" s="2">
        <v>45508</v>
      </c>
      <c r="R291" s="1" t="s">
        <v>68</v>
      </c>
      <c r="S291" s="1" t="s">
        <v>31</v>
      </c>
      <c r="T291" s="1" t="s">
        <v>82</v>
      </c>
      <c r="U291" s="5">
        <f>product_sales_data__1[[#This Row],[TotalPrice]]-product_sales_data__1[[#This Row],[ShippingCost]]</f>
        <v>687.61</v>
      </c>
      <c r="V291" s="5">
        <f>product_sales_data__1[[#This Row],[Quantity]]*product_sales_data__1[[#This Row],[UnitPrice]]*product_sales_data__1[[#This Row],[Discount]]</f>
        <v>38.058</v>
      </c>
    </row>
    <row r="292" spans="1:22" x14ac:dyDescent="0.3">
      <c r="A292" s="1" t="s">
        <v>567</v>
      </c>
      <c r="B292" s="1" t="s">
        <v>21</v>
      </c>
      <c r="C292" s="1" t="s">
        <v>35</v>
      </c>
      <c r="D292">
        <v>15</v>
      </c>
      <c r="E292" s="4">
        <v>240.05</v>
      </c>
      <c r="F292" s="1" t="s">
        <v>36</v>
      </c>
      <c r="G292" s="1" t="s">
        <v>37</v>
      </c>
      <c r="H292">
        <v>0.05</v>
      </c>
      <c r="I292" s="1" t="s">
        <v>46</v>
      </c>
      <c r="J292" s="4">
        <v>3420.71</v>
      </c>
      <c r="K292" s="1" t="s">
        <v>101</v>
      </c>
      <c r="L292" s="1" t="s">
        <v>85</v>
      </c>
      <c r="M292">
        <v>0</v>
      </c>
      <c r="N292" s="1" t="s">
        <v>1018</v>
      </c>
      <c r="O292" s="1" t="s">
        <v>1019</v>
      </c>
      <c r="P292" s="4">
        <v>14.31</v>
      </c>
      <c r="Q292" s="2">
        <v>45839</v>
      </c>
      <c r="R292" s="1" t="s">
        <v>754</v>
      </c>
      <c r="S292" s="1" t="s">
        <v>31</v>
      </c>
      <c r="T292" s="1" t="s">
        <v>117</v>
      </c>
      <c r="U292" s="5">
        <f>product_sales_data__1[[#This Row],[TotalPrice]]-product_sales_data__1[[#This Row],[ShippingCost]]</f>
        <v>3406.4</v>
      </c>
      <c r="V292" s="5">
        <f>product_sales_data__1[[#This Row],[Quantity]]*product_sales_data__1[[#This Row],[UnitPrice]]*product_sales_data__1[[#This Row],[Discount]]</f>
        <v>180.03750000000002</v>
      </c>
    </row>
    <row r="293" spans="1:22" x14ac:dyDescent="0.3">
      <c r="A293" s="1" t="s">
        <v>773</v>
      </c>
      <c r="B293" s="1" t="s">
        <v>45</v>
      </c>
      <c r="C293" s="1" t="s">
        <v>22</v>
      </c>
      <c r="D293">
        <v>10</v>
      </c>
      <c r="E293" s="4">
        <v>451.14</v>
      </c>
      <c r="F293" s="1" t="s">
        <v>84</v>
      </c>
      <c r="G293" s="1" t="s">
        <v>37</v>
      </c>
      <c r="H293">
        <v>0</v>
      </c>
      <c r="I293" s="1" t="s">
        <v>94</v>
      </c>
      <c r="J293" s="4">
        <v>4511.3999999999996</v>
      </c>
      <c r="K293" s="1" t="s">
        <v>57</v>
      </c>
      <c r="L293" s="1" t="s">
        <v>85</v>
      </c>
      <c r="M293">
        <v>0</v>
      </c>
      <c r="N293" s="1" t="s">
        <v>1020</v>
      </c>
      <c r="O293" s="1" t="s">
        <v>1021</v>
      </c>
      <c r="P293" s="4">
        <v>29.96</v>
      </c>
      <c r="Q293" s="2">
        <v>45717</v>
      </c>
      <c r="R293" s="1" t="s">
        <v>837</v>
      </c>
      <c r="S293" s="1" t="s">
        <v>51</v>
      </c>
      <c r="T293" s="1" t="s">
        <v>98</v>
      </c>
      <c r="U293" s="5">
        <f>product_sales_data__1[[#This Row],[TotalPrice]]-product_sales_data__1[[#This Row],[ShippingCost]]</f>
        <v>4481.4399999999996</v>
      </c>
      <c r="V293" s="5">
        <f>product_sales_data__1[[#This Row],[Quantity]]*product_sales_data__1[[#This Row],[UnitPrice]]*product_sales_data__1[[#This Row],[Discount]]</f>
        <v>0</v>
      </c>
    </row>
    <row r="294" spans="1:22" x14ac:dyDescent="0.3">
      <c r="A294" s="1" t="s">
        <v>1022</v>
      </c>
      <c r="B294" s="1" t="s">
        <v>34</v>
      </c>
      <c r="C294" s="1" t="s">
        <v>71</v>
      </c>
      <c r="D294">
        <v>9</v>
      </c>
      <c r="E294" s="4">
        <v>115.24</v>
      </c>
      <c r="F294" s="1" t="s">
        <v>23</v>
      </c>
      <c r="G294" s="1" t="s">
        <v>24</v>
      </c>
      <c r="H294">
        <v>0</v>
      </c>
      <c r="I294" s="1" t="s">
        <v>25</v>
      </c>
      <c r="J294" s="4">
        <v>1037.1600000000001</v>
      </c>
      <c r="K294" s="1" t="s">
        <v>101</v>
      </c>
      <c r="L294" s="1" t="s">
        <v>85</v>
      </c>
      <c r="M294">
        <v>0</v>
      </c>
      <c r="N294" s="1" t="s">
        <v>1023</v>
      </c>
      <c r="O294" s="1" t="s">
        <v>1024</v>
      </c>
      <c r="P294" s="4">
        <v>8.2799999999999994</v>
      </c>
      <c r="Q294" s="2">
        <v>45144</v>
      </c>
      <c r="R294" s="1" t="s">
        <v>1025</v>
      </c>
      <c r="S294" s="1" t="s">
        <v>42</v>
      </c>
      <c r="T294" s="1" t="s">
        <v>82</v>
      </c>
      <c r="U294" s="5">
        <f>product_sales_data__1[[#This Row],[TotalPrice]]-product_sales_data__1[[#This Row],[ShippingCost]]</f>
        <v>1028.8800000000001</v>
      </c>
      <c r="V294" s="5">
        <f>product_sales_data__1[[#This Row],[Quantity]]*product_sales_data__1[[#This Row],[UnitPrice]]*product_sales_data__1[[#This Row],[Discount]]</f>
        <v>0</v>
      </c>
    </row>
    <row r="295" spans="1:22" x14ac:dyDescent="0.3">
      <c r="A295" s="1" t="s">
        <v>537</v>
      </c>
      <c r="B295" s="1" t="s">
        <v>70</v>
      </c>
      <c r="C295" s="1" t="s">
        <v>22</v>
      </c>
      <c r="D295">
        <v>14</v>
      </c>
      <c r="E295" s="4">
        <v>175.66</v>
      </c>
      <c r="F295" s="1" t="s">
        <v>23</v>
      </c>
      <c r="G295" s="1" t="s">
        <v>24</v>
      </c>
      <c r="H295">
        <v>0.05</v>
      </c>
      <c r="I295" s="1" t="s">
        <v>94</v>
      </c>
      <c r="J295" s="4">
        <v>2336.2800000000002</v>
      </c>
      <c r="K295" s="1" t="s">
        <v>47</v>
      </c>
      <c r="L295" s="1" t="s">
        <v>58</v>
      </c>
      <c r="M295">
        <v>0</v>
      </c>
      <c r="N295" s="1" t="s">
        <v>1026</v>
      </c>
      <c r="O295" s="1" t="s">
        <v>1027</v>
      </c>
      <c r="P295" s="4">
        <v>26.12</v>
      </c>
      <c r="Q295" s="2">
        <v>45082</v>
      </c>
      <c r="R295" s="1" t="s">
        <v>1028</v>
      </c>
      <c r="S295" s="1" t="s">
        <v>75</v>
      </c>
      <c r="T295" s="1" t="s">
        <v>105</v>
      </c>
      <c r="U295" s="5">
        <f>product_sales_data__1[[#This Row],[TotalPrice]]-product_sales_data__1[[#This Row],[ShippingCost]]</f>
        <v>2310.1600000000003</v>
      </c>
      <c r="V295" s="5">
        <f>product_sales_data__1[[#This Row],[Quantity]]*product_sales_data__1[[#This Row],[UnitPrice]]*product_sales_data__1[[#This Row],[Discount]]</f>
        <v>122.96199999999999</v>
      </c>
    </row>
    <row r="296" spans="1:22" x14ac:dyDescent="0.3">
      <c r="A296" s="1" t="s">
        <v>562</v>
      </c>
      <c r="B296" s="1" t="s">
        <v>45</v>
      </c>
      <c r="C296" s="1" t="s">
        <v>22</v>
      </c>
      <c r="D296">
        <v>5</v>
      </c>
      <c r="E296" s="4">
        <v>538.52</v>
      </c>
      <c r="F296" s="1" t="s">
        <v>23</v>
      </c>
      <c r="G296" s="1" t="s">
        <v>24</v>
      </c>
      <c r="H296">
        <v>0.05</v>
      </c>
      <c r="I296" s="1" t="s">
        <v>25</v>
      </c>
      <c r="J296" s="4">
        <v>2557.9699999999998</v>
      </c>
      <c r="K296" s="1" t="s">
        <v>57</v>
      </c>
      <c r="L296" s="1" t="s">
        <v>48</v>
      </c>
      <c r="M296">
        <v>0</v>
      </c>
      <c r="N296" s="1" t="s">
        <v>1029</v>
      </c>
      <c r="O296" s="1" t="s">
        <v>1030</v>
      </c>
      <c r="P296" s="4">
        <v>45.81</v>
      </c>
      <c r="Q296" s="2">
        <v>45602</v>
      </c>
      <c r="R296" s="1" t="s">
        <v>1031</v>
      </c>
      <c r="S296" s="1" t="s">
        <v>51</v>
      </c>
      <c r="T296" s="1" t="s">
        <v>43</v>
      </c>
      <c r="U296" s="5">
        <f>product_sales_data__1[[#This Row],[TotalPrice]]-product_sales_data__1[[#This Row],[ShippingCost]]</f>
        <v>2512.16</v>
      </c>
      <c r="V296" s="5">
        <f>product_sales_data__1[[#This Row],[Quantity]]*product_sales_data__1[[#This Row],[UnitPrice]]*product_sales_data__1[[#This Row],[Discount]]</f>
        <v>134.63</v>
      </c>
    </row>
    <row r="297" spans="1:22" x14ac:dyDescent="0.3">
      <c r="A297" s="1" t="s">
        <v>1032</v>
      </c>
      <c r="B297" s="1" t="s">
        <v>45</v>
      </c>
      <c r="C297" s="1" t="s">
        <v>140</v>
      </c>
      <c r="D297">
        <v>10</v>
      </c>
      <c r="E297" s="4">
        <v>50.1</v>
      </c>
      <c r="F297" s="1" t="s">
        <v>84</v>
      </c>
      <c r="G297" s="1" t="s">
        <v>24</v>
      </c>
      <c r="H297">
        <v>0.1</v>
      </c>
      <c r="I297" s="1" t="s">
        <v>94</v>
      </c>
      <c r="J297" s="4">
        <v>450.9</v>
      </c>
      <c r="K297" s="1" t="s">
        <v>47</v>
      </c>
      <c r="L297" s="1" t="s">
        <v>85</v>
      </c>
      <c r="M297">
        <v>1</v>
      </c>
      <c r="N297" s="1" t="s">
        <v>1033</v>
      </c>
      <c r="O297" s="1" t="s">
        <v>1034</v>
      </c>
      <c r="P297" s="4">
        <v>23.43</v>
      </c>
      <c r="Q297" s="2">
        <v>45265</v>
      </c>
      <c r="R297" s="1" t="s">
        <v>30</v>
      </c>
      <c r="S297" s="1" t="s">
        <v>51</v>
      </c>
      <c r="T297" s="1" t="s">
        <v>76</v>
      </c>
      <c r="U297" s="5">
        <f>product_sales_data__1[[#This Row],[TotalPrice]]-product_sales_data__1[[#This Row],[ShippingCost]]</f>
        <v>427.46999999999997</v>
      </c>
      <c r="V297" s="5">
        <f>product_sales_data__1[[#This Row],[Quantity]]*product_sales_data__1[[#This Row],[UnitPrice]]*product_sales_data__1[[#This Row],[Discount]]</f>
        <v>50.1</v>
      </c>
    </row>
    <row r="298" spans="1:22" x14ac:dyDescent="0.3">
      <c r="A298" s="1" t="s">
        <v>576</v>
      </c>
      <c r="B298" s="1" t="s">
        <v>21</v>
      </c>
      <c r="C298" s="1" t="s">
        <v>100</v>
      </c>
      <c r="D298">
        <v>14</v>
      </c>
      <c r="E298" s="4">
        <v>117.31</v>
      </c>
      <c r="F298" s="1" t="s">
        <v>84</v>
      </c>
      <c r="G298" s="1" t="s">
        <v>24</v>
      </c>
      <c r="H298">
        <v>0</v>
      </c>
      <c r="I298" s="1" t="s">
        <v>78</v>
      </c>
      <c r="J298" s="4">
        <v>1642.34</v>
      </c>
      <c r="K298" s="1" t="s">
        <v>26</v>
      </c>
      <c r="L298" s="1" t="s">
        <v>27</v>
      </c>
      <c r="M298">
        <v>0</v>
      </c>
      <c r="N298" s="1" t="s">
        <v>1035</v>
      </c>
      <c r="O298" s="1" t="s">
        <v>1036</v>
      </c>
      <c r="P298" s="4">
        <v>41.24</v>
      </c>
      <c r="Q298" s="2">
        <v>45386</v>
      </c>
      <c r="R298" s="1" t="s">
        <v>1037</v>
      </c>
      <c r="S298" s="1" t="s">
        <v>31</v>
      </c>
      <c r="T298" s="1" t="s">
        <v>147</v>
      </c>
      <c r="U298" s="5">
        <f>product_sales_data__1[[#This Row],[TotalPrice]]-product_sales_data__1[[#This Row],[ShippingCost]]</f>
        <v>1601.1</v>
      </c>
      <c r="V298" s="5">
        <f>product_sales_data__1[[#This Row],[Quantity]]*product_sales_data__1[[#This Row],[UnitPrice]]*product_sales_data__1[[#This Row],[Discount]]</f>
        <v>0</v>
      </c>
    </row>
    <row r="299" spans="1:22" x14ac:dyDescent="0.3">
      <c r="A299" s="1" t="s">
        <v>207</v>
      </c>
      <c r="B299" s="1" t="s">
        <v>45</v>
      </c>
      <c r="C299" s="1" t="s">
        <v>109</v>
      </c>
      <c r="D299">
        <v>3</v>
      </c>
      <c r="E299" s="4">
        <v>193.98</v>
      </c>
      <c r="F299" s="1" t="s">
        <v>84</v>
      </c>
      <c r="G299" s="1" t="s">
        <v>37</v>
      </c>
      <c r="H299">
        <v>0</v>
      </c>
      <c r="I299" s="1" t="s">
        <v>94</v>
      </c>
      <c r="J299" s="4">
        <v>581.94000000000005</v>
      </c>
      <c r="K299" s="1" t="s">
        <v>101</v>
      </c>
      <c r="L299" s="1" t="s">
        <v>27</v>
      </c>
      <c r="M299">
        <v>0</v>
      </c>
      <c r="N299" s="1" t="s">
        <v>1038</v>
      </c>
      <c r="O299" s="1" t="s">
        <v>1039</v>
      </c>
      <c r="P299" s="4">
        <v>27.53</v>
      </c>
      <c r="Q299" s="2">
        <v>45992</v>
      </c>
      <c r="R299" s="1" t="s">
        <v>1040</v>
      </c>
      <c r="S299" s="1" t="s">
        <v>51</v>
      </c>
      <c r="T299" s="1" t="s">
        <v>76</v>
      </c>
      <c r="U299" s="5">
        <f>product_sales_data__1[[#This Row],[TotalPrice]]-product_sales_data__1[[#This Row],[ShippingCost]]</f>
        <v>554.41000000000008</v>
      </c>
      <c r="V299" s="5">
        <f>product_sales_data__1[[#This Row],[Quantity]]*product_sales_data__1[[#This Row],[UnitPrice]]*product_sales_data__1[[#This Row],[Discount]]</f>
        <v>0</v>
      </c>
    </row>
    <row r="300" spans="1:22" x14ac:dyDescent="0.3">
      <c r="A300" s="1" t="s">
        <v>928</v>
      </c>
      <c r="B300" s="1" t="s">
        <v>21</v>
      </c>
      <c r="C300" s="1" t="s">
        <v>35</v>
      </c>
      <c r="D300">
        <v>12</v>
      </c>
      <c r="E300" s="4">
        <v>81.33</v>
      </c>
      <c r="F300" s="1" t="s">
        <v>55</v>
      </c>
      <c r="G300" s="1" t="s">
        <v>24</v>
      </c>
      <c r="H300">
        <v>0</v>
      </c>
      <c r="I300" s="1" t="s">
        <v>46</v>
      </c>
      <c r="J300" s="4">
        <v>975.96</v>
      </c>
      <c r="K300" s="1" t="s">
        <v>47</v>
      </c>
      <c r="L300" s="1" t="s">
        <v>58</v>
      </c>
      <c r="M300">
        <v>1</v>
      </c>
      <c r="N300" s="1" t="s">
        <v>1041</v>
      </c>
      <c r="O300" s="1" t="s">
        <v>940</v>
      </c>
      <c r="P300" s="4">
        <v>30.73</v>
      </c>
      <c r="Q300" s="2">
        <v>45178</v>
      </c>
      <c r="R300" s="1" t="s">
        <v>1042</v>
      </c>
      <c r="S300" s="1" t="s">
        <v>31</v>
      </c>
      <c r="T300" s="1" t="s">
        <v>52</v>
      </c>
      <c r="U300" s="5">
        <f>product_sales_data__1[[#This Row],[TotalPrice]]-product_sales_data__1[[#This Row],[ShippingCost]]</f>
        <v>945.23</v>
      </c>
      <c r="V300" s="5">
        <f>product_sales_data__1[[#This Row],[Quantity]]*product_sales_data__1[[#This Row],[UnitPrice]]*product_sales_data__1[[#This Row],[Discount]]</f>
        <v>0</v>
      </c>
    </row>
    <row r="301" spans="1:22" x14ac:dyDescent="0.3">
      <c r="A301" s="1" t="s">
        <v>329</v>
      </c>
      <c r="B301" s="1" t="s">
        <v>54</v>
      </c>
      <c r="C301" s="1" t="s">
        <v>140</v>
      </c>
      <c r="D301">
        <v>4</v>
      </c>
      <c r="E301" s="4">
        <v>473.91</v>
      </c>
      <c r="F301" s="1" t="s">
        <v>84</v>
      </c>
      <c r="G301" s="1" t="s">
        <v>37</v>
      </c>
      <c r="H301">
        <v>0.05</v>
      </c>
      <c r="I301" s="1" t="s">
        <v>65</v>
      </c>
      <c r="J301" s="4">
        <v>1800.86</v>
      </c>
      <c r="K301" s="1" t="s">
        <v>101</v>
      </c>
      <c r="L301" s="1" t="s">
        <v>58</v>
      </c>
      <c r="M301">
        <v>0</v>
      </c>
      <c r="N301" s="1" t="s">
        <v>1043</v>
      </c>
      <c r="O301" s="1" t="s">
        <v>918</v>
      </c>
      <c r="P301" s="4">
        <v>29.22</v>
      </c>
      <c r="Q301" s="2">
        <v>45810</v>
      </c>
      <c r="R301" s="1" t="s">
        <v>1044</v>
      </c>
      <c r="S301" s="1" t="s">
        <v>62</v>
      </c>
      <c r="T301" s="1" t="s">
        <v>105</v>
      </c>
      <c r="U301" s="5">
        <f>product_sales_data__1[[#This Row],[TotalPrice]]-product_sales_data__1[[#This Row],[ShippingCost]]</f>
        <v>1771.6399999999999</v>
      </c>
      <c r="V301" s="5">
        <f>product_sales_data__1[[#This Row],[Quantity]]*product_sales_data__1[[#This Row],[UnitPrice]]*product_sales_data__1[[#This Row],[Discount]]</f>
        <v>94.782000000000011</v>
      </c>
    </row>
    <row r="302" spans="1:22" x14ac:dyDescent="0.3">
      <c r="A302" s="1" t="s">
        <v>908</v>
      </c>
      <c r="B302" s="1" t="s">
        <v>21</v>
      </c>
      <c r="C302" s="1" t="s">
        <v>71</v>
      </c>
      <c r="D302">
        <v>2</v>
      </c>
      <c r="E302" s="4">
        <v>437.04</v>
      </c>
      <c r="F302" s="1" t="s">
        <v>36</v>
      </c>
      <c r="G302" s="1" t="s">
        <v>24</v>
      </c>
      <c r="H302">
        <v>0</v>
      </c>
      <c r="I302" s="1" t="s">
        <v>56</v>
      </c>
      <c r="J302" s="4">
        <v>874.08</v>
      </c>
      <c r="K302" s="1" t="s">
        <v>101</v>
      </c>
      <c r="L302" s="1" t="s">
        <v>58</v>
      </c>
      <c r="M302">
        <v>1</v>
      </c>
      <c r="N302" s="1" t="s">
        <v>1045</v>
      </c>
      <c r="O302" s="1" t="s">
        <v>1046</v>
      </c>
      <c r="P302" s="4">
        <v>37.369999999999997</v>
      </c>
      <c r="Q302" s="2">
        <v>45302</v>
      </c>
      <c r="R302" s="1" t="s">
        <v>263</v>
      </c>
      <c r="S302" s="1" t="s">
        <v>31</v>
      </c>
      <c r="T302" s="1" t="s">
        <v>187</v>
      </c>
      <c r="U302" s="5">
        <f>product_sales_data__1[[#This Row],[TotalPrice]]-product_sales_data__1[[#This Row],[ShippingCost]]</f>
        <v>836.71</v>
      </c>
      <c r="V302" s="5">
        <f>product_sales_data__1[[#This Row],[Quantity]]*product_sales_data__1[[#This Row],[UnitPrice]]*product_sales_data__1[[#This Row],[Discount]]</f>
        <v>0</v>
      </c>
    </row>
    <row r="303" spans="1:22" x14ac:dyDescent="0.3">
      <c r="A303" s="1" t="s">
        <v>551</v>
      </c>
      <c r="B303" s="1" t="s">
        <v>54</v>
      </c>
      <c r="C303" s="1" t="s">
        <v>22</v>
      </c>
      <c r="D303">
        <v>5</v>
      </c>
      <c r="E303" s="4">
        <v>448.86</v>
      </c>
      <c r="F303" s="1" t="s">
        <v>36</v>
      </c>
      <c r="G303" s="1" t="s">
        <v>24</v>
      </c>
      <c r="H303">
        <v>0.15</v>
      </c>
      <c r="I303" s="1" t="s">
        <v>56</v>
      </c>
      <c r="J303" s="4">
        <v>1907.66</v>
      </c>
      <c r="K303" s="1" t="s">
        <v>101</v>
      </c>
      <c r="L303" s="1" t="s">
        <v>58</v>
      </c>
      <c r="M303">
        <v>1</v>
      </c>
      <c r="N303" s="1" t="s">
        <v>1047</v>
      </c>
      <c r="O303" s="1" t="s">
        <v>1048</v>
      </c>
      <c r="P303" s="4">
        <v>21.22</v>
      </c>
      <c r="Q303" s="2">
        <v>45634</v>
      </c>
      <c r="R303" s="1" t="s">
        <v>1049</v>
      </c>
      <c r="S303" s="1" t="s">
        <v>62</v>
      </c>
      <c r="T303" s="1" t="s">
        <v>76</v>
      </c>
      <c r="U303" s="5">
        <f>product_sales_data__1[[#This Row],[TotalPrice]]-product_sales_data__1[[#This Row],[ShippingCost]]</f>
        <v>1886.44</v>
      </c>
      <c r="V303" s="5">
        <f>product_sales_data__1[[#This Row],[Quantity]]*product_sales_data__1[[#This Row],[UnitPrice]]*product_sales_data__1[[#This Row],[Discount]]</f>
        <v>336.64500000000004</v>
      </c>
    </row>
    <row r="304" spans="1:22" x14ac:dyDescent="0.3">
      <c r="A304" s="1" t="s">
        <v>349</v>
      </c>
      <c r="B304" s="1" t="s">
        <v>45</v>
      </c>
      <c r="C304" s="1" t="s">
        <v>71</v>
      </c>
      <c r="D304">
        <v>14</v>
      </c>
      <c r="E304" s="4">
        <v>299.94</v>
      </c>
      <c r="F304" s="1" t="s">
        <v>55</v>
      </c>
      <c r="G304" s="1" t="s">
        <v>37</v>
      </c>
      <c r="H304">
        <v>0</v>
      </c>
      <c r="I304" s="1" t="s">
        <v>46</v>
      </c>
      <c r="J304" s="4">
        <v>4199.16</v>
      </c>
      <c r="K304" s="1" t="s">
        <v>57</v>
      </c>
      <c r="L304" s="1" t="s">
        <v>85</v>
      </c>
      <c r="M304">
        <v>0</v>
      </c>
      <c r="N304" s="1" t="s">
        <v>1050</v>
      </c>
      <c r="O304" s="1" t="s">
        <v>1051</v>
      </c>
      <c r="P304" s="4">
        <v>21.04</v>
      </c>
      <c r="Q304" s="2">
        <v>45873</v>
      </c>
      <c r="R304" s="1" t="s">
        <v>1052</v>
      </c>
      <c r="S304" s="1" t="s">
        <v>51</v>
      </c>
      <c r="T304" s="1" t="s">
        <v>82</v>
      </c>
      <c r="U304" s="5">
        <f>product_sales_data__1[[#This Row],[TotalPrice]]-product_sales_data__1[[#This Row],[ShippingCost]]</f>
        <v>4178.12</v>
      </c>
      <c r="V304" s="5">
        <f>product_sales_data__1[[#This Row],[Quantity]]*product_sales_data__1[[#This Row],[UnitPrice]]*product_sales_data__1[[#This Row],[Discount]]</f>
        <v>0</v>
      </c>
    </row>
    <row r="305" spans="1:22" x14ac:dyDescent="0.3">
      <c r="A305" s="1" t="s">
        <v>1053</v>
      </c>
      <c r="B305" s="1" t="s">
        <v>70</v>
      </c>
      <c r="C305" s="1" t="s">
        <v>71</v>
      </c>
      <c r="D305">
        <v>8</v>
      </c>
      <c r="E305" s="4">
        <v>432.27</v>
      </c>
      <c r="F305" s="1" t="s">
        <v>55</v>
      </c>
      <c r="G305" s="1" t="s">
        <v>37</v>
      </c>
      <c r="H305">
        <v>0.05</v>
      </c>
      <c r="I305" s="1" t="s">
        <v>65</v>
      </c>
      <c r="J305" s="4">
        <v>3285.25</v>
      </c>
      <c r="K305" s="1" t="s">
        <v>47</v>
      </c>
      <c r="L305" s="1" t="s">
        <v>85</v>
      </c>
      <c r="M305">
        <v>1</v>
      </c>
      <c r="N305" s="1" t="s">
        <v>1054</v>
      </c>
      <c r="O305" s="1" t="s">
        <v>1055</v>
      </c>
      <c r="P305" s="4">
        <v>20.64</v>
      </c>
      <c r="Q305" s="2">
        <v>45329</v>
      </c>
      <c r="R305" s="1" t="s">
        <v>973</v>
      </c>
      <c r="S305" s="1" t="s">
        <v>75</v>
      </c>
      <c r="T305" s="1" t="s">
        <v>199</v>
      </c>
      <c r="U305" s="5">
        <f>product_sales_data__1[[#This Row],[TotalPrice]]-product_sales_data__1[[#This Row],[ShippingCost]]</f>
        <v>3264.61</v>
      </c>
      <c r="V305" s="5">
        <f>product_sales_data__1[[#This Row],[Quantity]]*product_sales_data__1[[#This Row],[UnitPrice]]*product_sales_data__1[[#This Row],[Discount]]</f>
        <v>172.90800000000002</v>
      </c>
    </row>
    <row r="306" spans="1:22" x14ac:dyDescent="0.3">
      <c r="A306" s="1" t="s">
        <v>309</v>
      </c>
      <c r="B306" s="1" t="s">
        <v>21</v>
      </c>
      <c r="C306" s="1" t="s">
        <v>127</v>
      </c>
      <c r="D306">
        <v>4</v>
      </c>
      <c r="E306" s="4">
        <v>249.98</v>
      </c>
      <c r="F306" s="1" t="s">
        <v>36</v>
      </c>
      <c r="G306" s="1" t="s">
        <v>37</v>
      </c>
      <c r="H306">
        <v>0.15</v>
      </c>
      <c r="I306" s="1" t="s">
        <v>65</v>
      </c>
      <c r="J306" s="4">
        <v>849.93</v>
      </c>
      <c r="K306" s="1" t="s">
        <v>38</v>
      </c>
      <c r="L306" s="1" t="s">
        <v>58</v>
      </c>
      <c r="M306">
        <v>0</v>
      </c>
      <c r="N306" s="1" t="s">
        <v>1056</v>
      </c>
      <c r="O306" s="1" t="s">
        <v>1057</v>
      </c>
      <c r="P306" s="4">
        <v>49.08</v>
      </c>
      <c r="Q306" s="2">
        <v>45661</v>
      </c>
      <c r="R306" s="1" t="s">
        <v>312</v>
      </c>
      <c r="S306" s="1" t="s">
        <v>31</v>
      </c>
      <c r="T306" s="1" t="s">
        <v>187</v>
      </c>
      <c r="U306" s="5">
        <f>product_sales_data__1[[#This Row],[TotalPrice]]-product_sales_data__1[[#This Row],[ShippingCost]]</f>
        <v>800.84999999999991</v>
      </c>
      <c r="V306" s="5">
        <f>product_sales_data__1[[#This Row],[Quantity]]*product_sales_data__1[[#This Row],[UnitPrice]]*product_sales_data__1[[#This Row],[Discount]]</f>
        <v>149.988</v>
      </c>
    </row>
    <row r="307" spans="1:22" x14ac:dyDescent="0.3">
      <c r="A307" s="1" t="s">
        <v>1058</v>
      </c>
      <c r="B307" s="1" t="s">
        <v>34</v>
      </c>
      <c r="C307" s="1" t="s">
        <v>140</v>
      </c>
      <c r="D307">
        <v>14</v>
      </c>
      <c r="E307" s="4">
        <v>194.31</v>
      </c>
      <c r="F307" s="1" t="s">
        <v>36</v>
      </c>
      <c r="G307" s="1" t="s">
        <v>24</v>
      </c>
      <c r="H307">
        <v>0.15</v>
      </c>
      <c r="I307" s="1" t="s">
        <v>56</v>
      </c>
      <c r="J307" s="4">
        <v>2312.29</v>
      </c>
      <c r="K307" s="1" t="s">
        <v>38</v>
      </c>
      <c r="L307" s="1" t="s">
        <v>85</v>
      </c>
      <c r="M307">
        <v>0</v>
      </c>
      <c r="N307" s="1" t="s">
        <v>1059</v>
      </c>
      <c r="O307" s="1" t="s">
        <v>1060</v>
      </c>
      <c r="P307" s="4">
        <v>15.3</v>
      </c>
      <c r="Q307" s="2">
        <v>45694</v>
      </c>
      <c r="R307" s="1" t="s">
        <v>225</v>
      </c>
      <c r="S307" s="1" t="s">
        <v>42</v>
      </c>
      <c r="T307" s="1" t="s">
        <v>199</v>
      </c>
      <c r="U307" s="5">
        <f>product_sales_data__1[[#This Row],[TotalPrice]]-product_sales_data__1[[#This Row],[ShippingCost]]</f>
        <v>2296.9899999999998</v>
      </c>
      <c r="V307" s="5">
        <f>product_sales_data__1[[#This Row],[Quantity]]*product_sales_data__1[[#This Row],[UnitPrice]]*product_sales_data__1[[#This Row],[Discount]]</f>
        <v>408.05099999999999</v>
      </c>
    </row>
    <row r="308" spans="1:22" x14ac:dyDescent="0.3">
      <c r="A308" s="1" t="s">
        <v>1061</v>
      </c>
      <c r="B308" s="1" t="s">
        <v>34</v>
      </c>
      <c r="C308" s="1" t="s">
        <v>140</v>
      </c>
      <c r="D308">
        <v>15</v>
      </c>
      <c r="E308" s="4">
        <v>306.91000000000003</v>
      </c>
      <c r="F308" s="1" t="s">
        <v>84</v>
      </c>
      <c r="G308" s="1" t="s">
        <v>37</v>
      </c>
      <c r="H308">
        <v>0</v>
      </c>
      <c r="I308" s="1" t="s">
        <v>46</v>
      </c>
      <c r="J308" s="4">
        <v>4603.6499999999996</v>
      </c>
      <c r="K308" s="1" t="s">
        <v>47</v>
      </c>
      <c r="L308" s="1" t="s">
        <v>85</v>
      </c>
      <c r="M308">
        <v>1</v>
      </c>
      <c r="N308" s="1" t="s">
        <v>1062</v>
      </c>
      <c r="O308" s="1" t="s">
        <v>1063</v>
      </c>
      <c r="P308" s="4">
        <v>19.38</v>
      </c>
      <c r="Q308" s="2">
        <v>45566</v>
      </c>
      <c r="R308" s="1" t="s">
        <v>858</v>
      </c>
      <c r="S308" s="1" t="s">
        <v>42</v>
      </c>
      <c r="T308" s="1" t="s">
        <v>32</v>
      </c>
      <c r="U308" s="5">
        <f>product_sales_data__1[[#This Row],[TotalPrice]]-product_sales_data__1[[#This Row],[ShippingCost]]</f>
        <v>4584.2699999999995</v>
      </c>
      <c r="V308" s="5">
        <f>product_sales_data__1[[#This Row],[Quantity]]*product_sales_data__1[[#This Row],[UnitPrice]]*product_sales_data__1[[#This Row],[Discount]]</f>
        <v>0</v>
      </c>
    </row>
    <row r="309" spans="1:22" x14ac:dyDescent="0.3">
      <c r="A309" s="1" t="s">
        <v>476</v>
      </c>
      <c r="B309" s="1" t="s">
        <v>54</v>
      </c>
      <c r="C309" s="1" t="s">
        <v>127</v>
      </c>
      <c r="D309">
        <v>7</v>
      </c>
      <c r="E309" s="4">
        <v>83.32</v>
      </c>
      <c r="F309" s="1" t="s">
        <v>55</v>
      </c>
      <c r="G309" s="1" t="s">
        <v>24</v>
      </c>
      <c r="H309">
        <v>0.05</v>
      </c>
      <c r="I309" s="1" t="s">
        <v>46</v>
      </c>
      <c r="J309" s="4">
        <v>554.08000000000004</v>
      </c>
      <c r="K309" s="1" t="s">
        <v>47</v>
      </c>
      <c r="L309" s="1" t="s">
        <v>85</v>
      </c>
      <c r="M309">
        <v>0</v>
      </c>
      <c r="N309" s="1" t="s">
        <v>1064</v>
      </c>
      <c r="O309" s="1" t="s">
        <v>1065</v>
      </c>
      <c r="P309" s="4">
        <v>23.4</v>
      </c>
      <c r="Q309" s="2">
        <v>45546</v>
      </c>
      <c r="R309" s="1" t="s">
        <v>602</v>
      </c>
      <c r="S309" s="1" t="s">
        <v>62</v>
      </c>
      <c r="T309" s="1" t="s">
        <v>52</v>
      </c>
      <c r="U309" s="5">
        <f>product_sales_data__1[[#This Row],[TotalPrice]]-product_sales_data__1[[#This Row],[ShippingCost]]</f>
        <v>530.68000000000006</v>
      </c>
      <c r="V309" s="5">
        <f>product_sales_data__1[[#This Row],[Quantity]]*product_sales_data__1[[#This Row],[UnitPrice]]*product_sales_data__1[[#This Row],[Discount]]</f>
        <v>29.162000000000003</v>
      </c>
    </row>
    <row r="310" spans="1:22" x14ac:dyDescent="0.3">
      <c r="A310" s="1" t="s">
        <v>945</v>
      </c>
      <c r="B310" s="1" t="s">
        <v>54</v>
      </c>
      <c r="C310" s="1" t="s">
        <v>127</v>
      </c>
      <c r="D310">
        <v>4</v>
      </c>
      <c r="E310" s="4">
        <v>563.05999999999995</v>
      </c>
      <c r="F310" s="1" t="s">
        <v>55</v>
      </c>
      <c r="G310" s="1" t="s">
        <v>37</v>
      </c>
      <c r="H310">
        <v>0.05</v>
      </c>
      <c r="I310" s="1" t="s">
        <v>94</v>
      </c>
      <c r="J310" s="4">
        <v>2139.63</v>
      </c>
      <c r="K310" s="1" t="s">
        <v>47</v>
      </c>
      <c r="L310" s="1" t="s">
        <v>27</v>
      </c>
      <c r="M310">
        <v>0</v>
      </c>
      <c r="N310" s="1" t="s">
        <v>1066</v>
      </c>
      <c r="O310" s="1" t="s">
        <v>1067</v>
      </c>
      <c r="P310" s="4">
        <v>19.5</v>
      </c>
      <c r="Q310" s="2">
        <v>45355</v>
      </c>
      <c r="R310" s="1" t="s">
        <v>1037</v>
      </c>
      <c r="S310" s="1" t="s">
        <v>62</v>
      </c>
      <c r="T310" s="1" t="s">
        <v>98</v>
      </c>
      <c r="U310" s="5">
        <f>product_sales_data__1[[#This Row],[TotalPrice]]-product_sales_data__1[[#This Row],[ShippingCost]]</f>
        <v>2120.13</v>
      </c>
      <c r="V310" s="5">
        <f>product_sales_data__1[[#This Row],[Quantity]]*product_sales_data__1[[#This Row],[UnitPrice]]*product_sales_data__1[[#This Row],[Discount]]</f>
        <v>112.61199999999999</v>
      </c>
    </row>
    <row r="311" spans="1:22" x14ac:dyDescent="0.3">
      <c r="A311" s="1" t="s">
        <v>1068</v>
      </c>
      <c r="B311" s="1" t="s">
        <v>21</v>
      </c>
      <c r="C311" s="1" t="s">
        <v>71</v>
      </c>
      <c r="D311">
        <v>13</v>
      </c>
      <c r="E311" s="4">
        <v>256.35000000000002</v>
      </c>
      <c r="F311" s="1" t="s">
        <v>55</v>
      </c>
      <c r="G311" s="1" t="s">
        <v>24</v>
      </c>
      <c r="H311">
        <v>0.15</v>
      </c>
      <c r="I311" s="1" t="s">
        <v>25</v>
      </c>
      <c r="J311" s="4">
        <v>2832.67</v>
      </c>
      <c r="K311" s="1" t="s">
        <v>47</v>
      </c>
      <c r="L311" s="1" t="s">
        <v>58</v>
      </c>
      <c r="M311">
        <v>0</v>
      </c>
      <c r="N311" s="1" t="s">
        <v>1069</v>
      </c>
      <c r="O311" s="1" t="s">
        <v>1070</v>
      </c>
      <c r="P311" s="4">
        <v>26.04</v>
      </c>
      <c r="Q311" s="2">
        <v>45444</v>
      </c>
      <c r="R311" s="1" t="s">
        <v>423</v>
      </c>
      <c r="S311" s="1" t="s">
        <v>31</v>
      </c>
      <c r="T311" s="1" t="s">
        <v>105</v>
      </c>
      <c r="U311" s="5">
        <f>product_sales_data__1[[#This Row],[TotalPrice]]-product_sales_data__1[[#This Row],[ShippingCost]]</f>
        <v>2806.63</v>
      </c>
      <c r="V311" s="5">
        <f>product_sales_data__1[[#This Row],[Quantity]]*product_sales_data__1[[#This Row],[UnitPrice]]*product_sales_data__1[[#This Row],[Discount]]</f>
        <v>499.88249999999999</v>
      </c>
    </row>
    <row r="312" spans="1:22" x14ac:dyDescent="0.3">
      <c r="A312" s="1" t="s">
        <v>1071</v>
      </c>
      <c r="B312" s="1" t="s">
        <v>45</v>
      </c>
      <c r="C312" s="1" t="s">
        <v>140</v>
      </c>
      <c r="D312">
        <v>9</v>
      </c>
      <c r="E312" s="4">
        <v>303.26</v>
      </c>
      <c r="F312" s="1" t="s">
        <v>84</v>
      </c>
      <c r="G312" s="1" t="s">
        <v>24</v>
      </c>
      <c r="H312">
        <v>0.05</v>
      </c>
      <c r="I312" s="1" t="s">
        <v>78</v>
      </c>
      <c r="J312" s="4">
        <v>2592.87</v>
      </c>
      <c r="K312" s="1" t="s">
        <v>38</v>
      </c>
      <c r="L312" s="1" t="s">
        <v>85</v>
      </c>
      <c r="M312">
        <v>0</v>
      </c>
      <c r="N312" s="1" t="s">
        <v>1072</v>
      </c>
      <c r="O312" s="1" t="s">
        <v>1073</v>
      </c>
      <c r="P312" s="4">
        <v>17.010000000000002</v>
      </c>
      <c r="Q312" s="2">
        <v>44965</v>
      </c>
      <c r="R312" s="1" t="s">
        <v>521</v>
      </c>
      <c r="S312" s="1" t="s">
        <v>51</v>
      </c>
      <c r="T312" s="1" t="s">
        <v>199</v>
      </c>
      <c r="U312" s="5">
        <f>product_sales_data__1[[#This Row],[TotalPrice]]-product_sales_data__1[[#This Row],[ShippingCost]]</f>
        <v>2575.8599999999997</v>
      </c>
      <c r="V312" s="5">
        <f>product_sales_data__1[[#This Row],[Quantity]]*product_sales_data__1[[#This Row],[UnitPrice]]*product_sales_data__1[[#This Row],[Discount]]</f>
        <v>136.46700000000001</v>
      </c>
    </row>
    <row r="313" spans="1:22" x14ac:dyDescent="0.3">
      <c r="A313" s="1" t="s">
        <v>548</v>
      </c>
      <c r="B313" s="1" t="s">
        <v>45</v>
      </c>
      <c r="C313" s="1" t="s">
        <v>35</v>
      </c>
      <c r="D313">
        <v>19</v>
      </c>
      <c r="E313" s="4">
        <v>465.27</v>
      </c>
      <c r="F313" s="1" t="s">
        <v>36</v>
      </c>
      <c r="G313" s="1" t="s">
        <v>37</v>
      </c>
      <c r="H313">
        <v>0.05</v>
      </c>
      <c r="I313" s="1" t="s">
        <v>78</v>
      </c>
      <c r="J313" s="4">
        <v>8398.1200000000008</v>
      </c>
      <c r="K313" s="1" t="s">
        <v>101</v>
      </c>
      <c r="L313" s="1" t="s">
        <v>48</v>
      </c>
      <c r="M313">
        <v>0</v>
      </c>
      <c r="N313" s="1" t="s">
        <v>1074</v>
      </c>
      <c r="O313" s="1" t="s">
        <v>1075</v>
      </c>
      <c r="P313" s="4">
        <v>44.95</v>
      </c>
      <c r="Q313" s="2">
        <v>45870</v>
      </c>
      <c r="R313" s="1" t="s">
        <v>570</v>
      </c>
      <c r="S313" s="1" t="s">
        <v>51</v>
      </c>
      <c r="T313" s="1" t="s">
        <v>82</v>
      </c>
      <c r="U313" s="5">
        <f>product_sales_data__1[[#This Row],[TotalPrice]]-product_sales_data__1[[#This Row],[ShippingCost]]</f>
        <v>8353.17</v>
      </c>
      <c r="V313" s="5">
        <f>product_sales_data__1[[#This Row],[Quantity]]*product_sales_data__1[[#This Row],[UnitPrice]]*product_sales_data__1[[#This Row],[Discount]]</f>
        <v>442.00649999999996</v>
      </c>
    </row>
    <row r="314" spans="1:22" x14ac:dyDescent="0.3">
      <c r="A314" s="1" t="s">
        <v>630</v>
      </c>
      <c r="B314" s="1" t="s">
        <v>70</v>
      </c>
      <c r="C314" s="1" t="s">
        <v>35</v>
      </c>
      <c r="D314">
        <v>18</v>
      </c>
      <c r="E314" s="4">
        <v>343.68</v>
      </c>
      <c r="F314" s="1" t="s">
        <v>23</v>
      </c>
      <c r="G314" s="1" t="s">
        <v>37</v>
      </c>
      <c r="H314">
        <v>0</v>
      </c>
      <c r="I314" s="1" t="s">
        <v>65</v>
      </c>
      <c r="J314" s="4">
        <v>6186.24</v>
      </c>
      <c r="K314" s="1" t="s">
        <v>57</v>
      </c>
      <c r="L314" s="1" t="s">
        <v>58</v>
      </c>
      <c r="M314">
        <v>0</v>
      </c>
      <c r="N314" s="1" t="s">
        <v>1076</v>
      </c>
      <c r="O314" s="1" t="s">
        <v>1077</v>
      </c>
      <c r="P314" s="4">
        <v>20.37</v>
      </c>
      <c r="Q314" s="2">
        <v>45448</v>
      </c>
      <c r="R314" s="1" t="s">
        <v>618</v>
      </c>
      <c r="S314" s="1" t="s">
        <v>75</v>
      </c>
      <c r="T314" s="1" t="s">
        <v>105</v>
      </c>
      <c r="U314" s="5">
        <f>product_sales_data__1[[#This Row],[TotalPrice]]-product_sales_data__1[[#This Row],[ShippingCost]]</f>
        <v>6165.87</v>
      </c>
      <c r="V314" s="5">
        <f>product_sales_data__1[[#This Row],[Quantity]]*product_sales_data__1[[#This Row],[UnitPrice]]*product_sales_data__1[[#This Row],[Discount]]</f>
        <v>0</v>
      </c>
    </row>
    <row r="315" spans="1:22" x14ac:dyDescent="0.3">
      <c r="A315" s="1" t="s">
        <v>428</v>
      </c>
      <c r="B315" s="1" t="s">
        <v>54</v>
      </c>
      <c r="C315" s="1" t="s">
        <v>100</v>
      </c>
      <c r="D315">
        <v>20</v>
      </c>
      <c r="E315" s="4">
        <v>142.52000000000001</v>
      </c>
      <c r="F315" s="1" t="s">
        <v>84</v>
      </c>
      <c r="G315" s="1" t="s">
        <v>37</v>
      </c>
      <c r="H315">
        <v>0.1</v>
      </c>
      <c r="I315" s="1" t="s">
        <v>65</v>
      </c>
      <c r="J315" s="4">
        <v>2565.36</v>
      </c>
      <c r="K315" s="1" t="s">
        <v>47</v>
      </c>
      <c r="L315" s="1" t="s">
        <v>85</v>
      </c>
      <c r="M315">
        <v>0</v>
      </c>
      <c r="N315" s="1" t="s">
        <v>1078</v>
      </c>
      <c r="O315" s="1" t="s">
        <v>1079</v>
      </c>
      <c r="P315" s="4">
        <v>30.67</v>
      </c>
      <c r="Q315" s="2">
        <v>45109</v>
      </c>
      <c r="R315" s="1" t="s">
        <v>436</v>
      </c>
      <c r="S315" s="1" t="s">
        <v>62</v>
      </c>
      <c r="T315" s="1" t="s">
        <v>117</v>
      </c>
      <c r="U315" s="5">
        <f>product_sales_data__1[[#This Row],[TotalPrice]]-product_sales_data__1[[#This Row],[ShippingCost]]</f>
        <v>2534.69</v>
      </c>
      <c r="V315" s="5">
        <f>product_sales_data__1[[#This Row],[Quantity]]*product_sales_data__1[[#This Row],[UnitPrice]]*product_sales_data__1[[#This Row],[Discount]]</f>
        <v>285.04000000000002</v>
      </c>
    </row>
    <row r="316" spans="1:22" x14ac:dyDescent="0.3">
      <c r="A316" s="1" t="s">
        <v>1080</v>
      </c>
      <c r="B316" s="1" t="s">
        <v>70</v>
      </c>
      <c r="C316" s="1" t="s">
        <v>71</v>
      </c>
      <c r="D316">
        <v>1</v>
      </c>
      <c r="E316" s="4">
        <v>31.42</v>
      </c>
      <c r="F316" s="1" t="s">
        <v>23</v>
      </c>
      <c r="G316" s="1" t="s">
        <v>37</v>
      </c>
      <c r="H316">
        <v>0.05</v>
      </c>
      <c r="I316" s="1" t="s">
        <v>94</v>
      </c>
      <c r="J316" s="4">
        <v>29.85</v>
      </c>
      <c r="K316" s="1" t="s">
        <v>101</v>
      </c>
      <c r="L316" s="1" t="s">
        <v>58</v>
      </c>
      <c r="M316">
        <v>0</v>
      </c>
      <c r="N316" s="1" t="s">
        <v>1081</v>
      </c>
      <c r="O316" s="1" t="s">
        <v>1082</v>
      </c>
      <c r="P316" s="4">
        <v>11.35</v>
      </c>
      <c r="Q316" s="2">
        <v>44929</v>
      </c>
      <c r="R316" s="1" t="s">
        <v>605</v>
      </c>
      <c r="S316" s="1" t="s">
        <v>75</v>
      </c>
      <c r="T316" s="1" t="s">
        <v>187</v>
      </c>
      <c r="U316" s="5">
        <f>product_sales_data__1[[#This Row],[TotalPrice]]-product_sales_data__1[[#This Row],[ShippingCost]]</f>
        <v>18.5</v>
      </c>
      <c r="V316" s="5">
        <f>product_sales_data__1[[#This Row],[Quantity]]*product_sales_data__1[[#This Row],[UnitPrice]]*product_sales_data__1[[#This Row],[Discount]]</f>
        <v>1.5710000000000002</v>
      </c>
    </row>
    <row r="317" spans="1:22" x14ac:dyDescent="0.3">
      <c r="A317" s="1" t="s">
        <v>615</v>
      </c>
      <c r="B317" s="1" t="s">
        <v>21</v>
      </c>
      <c r="C317" s="1" t="s">
        <v>109</v>
      </c>
      <c r="D317">
        <v>17</v>
      </c>
      <c r="E317" s="4">
        <v>572.29</v>
      </c>
      <c r="F317" s="1" t="s">
        <v>55</v>
      </c>
      <c r="G317" s="1" t="s">
        <v>37</v>
      </c>
      <c r="H317">
        <v>0.15</v>
      </c>
      <c r="I317" s="1" t="s">
        <v>65</v>
      </c>
      <c r="J317" s="4">
        <v>8269.59</v>
      </c>
      <c r="K317" s="1" t="s">
        <v>26</v>
      </c>
      <c r="L317" s="1" t="s">
        <v>58</v>
      </c>
      <c r="M317">
        <v>1</v>
      </c>
      <c r="N317" s="1" t="s">
        <v>1083</v>
      </c>
      <c r="O317" s="1" t="s">
        <v>1084</v>
      </c>
      <c r="P317" s="4">
        <v>44.99</v>
      </c>
      <c r="Q317" s="2">
        <v>45509</v>
      </c>
      <c r="R317" s="1" t="s">
        <v>203</v>
      </c>
      <c r="S317" s="1" t="s">
        <v>31</v>
      </c>
      <c r="T317" s="1" t="s">
        <v>82</v>
      </c>
      <c r="U317" s="5">
        <f>product_sales_data__1[[#This Row],[TotalPrice]]-product_sales_data__1[[#This Row],[ShippingCost]]</f>
        <v>8224.6</v>
      </c>
      <c r="V317" s="5">
        <f>product_sales_data__1[[#This Row],[Quantity]]*product_sales_data__1[[#This Row],[UnitPrice]]*product_sales_data__1[[#This Row],[Discount]]</f>
        <v>1459.3395</v>
      </c>
    </row>
    <row r="318" spans="1:22" x14ac:dyDescent="0.3">
      <c r="A318" s="1" t="s">
        <v>1085</v>
      </c>
      <c r="B318" s="1" t="s">
        <v>70</v>
      </c>
      <c r="C318" s="1" t="s">
        <v>22</v>
      </c>
      <c r="D318">
        <v>18</v>
      </c>
      <c r="E318" s="4">
        <v>333.6</v>
      </c>
      <c r="F318" s="1" t="s">
        <v>84</v>
      </c>
      <c r="G318" s="1" t="s">
        <v>37</v>
      </c>
      <c r="H318">
        <v>0.1</v>
      </c>
      <c r="I318" s="1" t="s">
        <v>46</v>
      </c>
      <c r="J318" s="4">
        <v>5404.32</v>
      </c>
      <c r="K318" s="1" t="s">
        <v>38</v>
      </c>
      <c r="L318" s="1" t="s">
        <v>85</v>
      </c>
      <c r="M318">
        <v>1</v>
      </c>
      <c r="N318" s="1" t="s">
        <v>1086</v>
      </c>
      <c r="O318" s="1" t="s">
        <v>1087</v>
      </c>
      <c r="P318" s="4">
        <v>33.79</v>
      </c>
      <c r="Q318" s="2">
        <v>45449</v>
      </c>
      <c r="R318" s="1" t="s">
        <v>714</v>
      </c>
      <c r="S318" s="1" t="s">
        <v>75</v>
      </c>
      <c r="T318" s="1" t="s">
        <v>105</v>
      </c>
      <c r="U318" s="5">
        <f>product_sales_data__1[[#This Row],[TotalPrice]]-product_sales_data__1[[#This Row],[ShippingCost]]</f>
        <v>5370.53</v>
      </c>
      <c r="V318" s="5">
        <f>product_sales_data__1[[#This Row],[Quantity]]*product_sales_data__1[[#This Row],[UnitPrice]]*product_sales_data__1[[#This Row],[Discount]]</f>
        <v>600.48</v>
      </c>
    </row>
    <row r="319" spans="1:22" x14ac:dyDescent="0.3">
      <c r="A319" s="1" t="s">
        <v>263</v>
      </c>
      <c r="B319" s="1" t="s">
        <v>34</v>
      </c>
      <c r="C319" s="1" t="s">
        <v>35</v>
      </c>
      <c r="D319">
        <v>18</v>
      </c>
      <c r="E319" s="4">
        <v>153.28</v>
      </c>
      <c r="F319" s="1" t="s">
        <v>23</v>
      </c>
      <c r="G319" s="1" t="s">
        <v>37</v>
      </c>
      <c r="H319">
        <v>0.05</v>
      </c>
      <c r="I319" s="1" t="s">
        <v>56</v>
      </c>
      <c r="J319" s="4">
        <v>2621.09</v>
      </c>
      <c r="K319" s="1" t="s">
        <v>26</v>
      </c>
      <c r="L319" s="1" t="s">
        <v>27</v>
      </c>
      <c r="M319">
        <v>1</v>
      </c>
      <c r="N319" s="1" t="s">
        <v>1088</v>
      </c>
      <c r="O319" s="1" t="s">
        <v>1089</v>
      </c>
      <c r="P319" s="4">
        <v>33.71</v>
      </c>
      <c r="Q319" s="2">
        <v>45515</v>
      </c>
      <c r="R319" s="1" t="s">
        <v>308</v>
      </c>
      <c r="S319" s="1" t="s">
        <v>42</v>
      </c>
      <c r="T319" s="1" t="s">
        <v>82</v>
      </c>
      <c r="U319" s="5">
        <f>product_sales_data__1[[#This Row],[TotalPrice]]-product_sales_data__1[[#This Row],[ShippingCost]]</f>
        <v>2587.38</v>
      </c>
      <c r="V319" s="5">
        <f>product_sales_data__1[[#This Row],[Quantity]]*product_sales_data__1[[#This Row],[UnitPrice]]*product_sales_data__1[[#This Row],[Discount]]</f>
        <v>137.952</v>
      </c>
    </row>
    <row r="320" spans="1:22" x14ac:dyDescent="0.3">
      <c r="A320" s="1" t="s">
        <v>1090</v>
      </c>
      <c r="B320" s="1" t="s">
        <v>70</v>
      </c>
      <c r="C320" s="1" t="s">
        <v>127</v>
      </c>
      <c r="D320">
        <v>5</v>
      </c>
      <c r="E320" s="4">
        <v>367.61</v>
      </c>
      <c r="F320" s="1" t="s">
        <v>36</v>
      </c>
      <c r="G320" s="1" t="s">
        <v>37</v>
      </c>
      <c r="H320">
        <v>0</v>
      </c>
      <c r="I320" s="1" t="s">
        <v>25</v>
      </c>
      <c r="J320" s="4">
        <v>1838.05</v>
      </c>
      <c r="K320" s="1" t="s">
        <v>101</v>
      </c>
      <c r="L320" s="1" t="s">
        <v>58</v>
      </c>
      <c r="M320">
        <v>0</v>
      </c>
      <c r="N320" s="1" t="s">
        <v>1091</v>
      </c>
      <c r="O320" s="1" t="s">
        <v>1092</v>
      </c>
      <c r="P320" s="4">
        <v>19.55</v>
      </c>
      <c r="Q320" s="2">
        <v>45055</v>
      </c>
      <c r="R320" s="1" t="s">
        <v>1042</v>
      </c>
      <c r="S320" s="1" t="s">
        <v>75</v>
      </c>
      <c r="T320" s="1" t="s">
        <v>63</v>
      </c>
      <c r="U320" s="5">
        <f>product_sales_data__1[[#This Row],[TotalPrice]]-product_sales_data__1[[#This Row],[ShippingCost]]</f>
        <v>1818.5</v>
      </c>
      <c r="V320" s="5">
        <f>product_sales_data__1[[#This Row],[Quantity]]*product_sales_data__1[[#This Row],[UnitPrice]]*product_sales_data__1[[#This Row],[Discount]]</f>
        <v>0</v>
      </c>
    </row>
    <row r="321" spans="1:22" x14ac:dyDescent="0.3">
      <c r="A321" s="1" t="s">
        <v>844</v>
      </c>
      <c r="B321" s="1" t="s">
        <v>21</v>
      </c>
      <c r="C321" s="1" t="s">
        <v>71</v>
      </c>
      <c r="D321">
        <v>5</v>
      </c>
      <c r="E321" s="4">
        <v>32.56</v>
      </c>
      <c r="F321" s="1" t="s">
        <v>36</v>
      </c>
      <c r="G321" s="1" t="s">
        <v>37</v>
      </c>
      <c r="H321">
        <v>0.05</v>
      </c>
      <c r="I321" s="1" t="s">
        <v>78</v>
      </c>
      <c r="J321" s="4">
        <v>154.66</v>
      </c>
      <c r="K321" s="1" t="s">
        <v>47</v>
      </c>
      <c r="L321" s="1" t="s">
        <v>85</v>
      </c>
      <c r="M321">
        <v>0</v>
      </c>
      <c r="N321" s="1" t="s">
        <v>1093</v>
      </c>
      <c r="O321" s="1" t="s">
        <v>1094</v>
      </c>
      <c r="P321" s="4">
        <v>46.73</v>
      </c>
      <c r="Q321" s="2">
        <v>45814</v>
      </c>
      <c r="R321" s="1" t="s">
        <v>229</v>
      </c>
      <c r="S321" s="1" t="s">
        <v>31</v>
      </c>
      <c r="T321" s="1" t="s">
        <v>105</v>
      </c>
      <c r="U321" s="5">
        <f>product_sales_data__1[[#This Row],[TotalPrice]]-product_sales_data__1[[#This Row],[ShippingCost]]</f>
        <v>107.93</v>
      </c>
      <c r="V321" s="5">
        <f>product_sales_data__1[[#This Row],[Quantity]]*product_sales_data__1[[#This Row],[UnitPrice]]*product_sales_data__1[[#This Row],[Discount]]</f>
        <v>8.14</v>
      </c>
    </row>
    <row r="322" spans="1:22" x14ac:dyDescent="0.3">
      <c r="A322" s="1" t="s">
        <v>450</v>
      </c>
      <c r="B322" s="1" t="s">
        <v>34</v>
      </c>
      <c r="C322" s="1" t="s">
        <v>71</v>
      </c>
      <c r="D322">
        <v>12</v>
      </c>
      <c r="E322" s="4">
        <v>369.45</v>
      </c>
      <c r="F322" s="1" t="s">
        <v>55</v>
      </c>
      <c r="G322" s="1" t="s">
        <v>24</v>
      </c>
      <c r="H322">
        <v>0.1</v>
      </c>
      <c r="I322" s="1" t="s">
        <v>56</v>
      </c>
      <c r="J322" s="4">
        <v>3990.06</v>
      </c>
      <c r="K322" s="1" t="s">
        <v>101</v>
      </c>
      <c r="L322" s="1" t="s">
        <v>27</v>
      </c>
      <c r="M322">
        <v>1</v>
      </c>
      <c r="N322" s="1" t="s">
        <v>1095</v>
      </c>
      <c r="O322" s="1" t="s">
        <v>748</v>
      </c>
      <c r="P322" s="4">
        <v>44.76</v>
      </c>
      <c r="Q322" s="2">
        <v>45147</v>
      </c>
      <c r="R322" s="1" t="s">
        <v>652</v>
      </c>
      <c r="S322" s="1" t="s">
        <v>42</v>
      </c>
      <c r="T322" s="1" t="s">
        <v>82</v>
      </c>
      <c r="U322" s="5">
        <f>product_sales_data__1[[#This Row],[TotalPrice]]-product_sales_data__1[[#This Row],[ShippingCost]]</f>
        <v>3945.2999999999997</v>
      </c>
      <c r="V322" s="5">
        <f>product_sales_data__1[[#This Row],[Quantity]]*product_sales_data__1[[#This Row],[UnitPrice]]*product_sales_data__1[[#This Row],[Discount]]</f>
        <v>443.34</v>
      </c>
    </row>
    <row r="323" spans="1:22" x14ac:dyDescent="0.3">
      <c r="A323" s="1" t="s">
        <v>1096</v>
      </c>
      <c r="B323" s="1" t="s">
        <v>70</v>
      </c>
      <c r="C323" s="1" t="s">
        <v>109</v>
      </c>
      <c r="D323">
        <v>12</v>
      </c>
      <c r="E323" s="4">
        <v>181.96</v>
      </c>
      <c r="F323" s="1" t="s">
        <v>55</v>
      </c>
      <c r="G323" s="1" t="s">
        <v>37</v>
      </c>
      <c r="H323">
        <v>0.15</v>
      </c>
      <c r="I323" s="1" t="s">
        <v>65</v>
      </c>
      <c r="J323" s="4">
        <v>1855.99</v>
      </c>
      <c r="K323" s="1" t="s">
        <v>57</v>
      </c>
      <c r="L323" s="1" t="s">
        <v>27</v>
      </c>
      <c r="M323">
        <v>0</v>
      </c>
      <c r="N323" s="1" t="s">
        <v>1097</v>
      </c>
      <c r="O323" s="1" t="s">
        <v>1098</v>
      </c>
      <c r="P323" s="4">
        <v>25.06</v>
      </c>
      <c r="Q323" s="2">
        <v>45392</v>
      </c>
      <c r="R323" s="1" t="s">
        <v>699</v>
      </c>
      <c r="S323" s="1" t="s">
        <v>75</v>
      </c>
      <c r="T323" s="1" t="s">
        <v>147</v>
      </c>
      <c r="U323" s="5">
        <f>product_sales_data__1[[#This Row],[TotalPrice]]-product_sales_data__1[[#This Row],[ShippingCost]]</f>
        <v>1830.93</v>
      </c>
      <c r="V323" s="5">
        <f>product_sales_data__1[[#This Row],[Quantity]]*product_sales_data__1[[#This Row],[UnitPrice]]*product_sales_data__1[[#This Row],[Discount]]</f>
        <v>327.52799999999996</v>
      </c>
    </row>
    <row r="324" spans="1:22" x14ac:dyDescent="0.3">
      <c r="A324" s="1" t="s">
        <v>1099</v>
      </c>
      <c r="B324" s="1" t="s">
        <v>70</v>
      </c>
      <c r="C324" s="1" t="s">
        <v>22</v>
      </c>
      <c r="D324">
        <v>3</v>
      </c>
      <c r="E324" s="4">
        <v>32.07</v>
      </c>
      <c r="F324" s="1" t="s">
        <v>55</v>
      </c>
      <c r="G324" s="1" t="s">
        <v>37</v>
      </c>
      <c r="H324">
        <v>0.15</v>
      </c>
      <c r="I324" s="1" t="s">
        <v>25</v>
      </c>
      <c r="J324" s="4">
        <v>81.78</v>
      </c>
      <c r="K324" s="1" t="s">
        <v>26</v>
      </c>
      <c r="L324" s="1" t="s">
        <v>27</v>
      </c>
      <c r="M324">
        <v>1</v>
      </c>
      <c r="N324" s="1" t="s">
        <v>1100</v>
      </c>
      <c r="O324" s="1" t="s">
        <v>1101</v>
      </c>
      <c r="P324" s="4">
        <v>43.18</v>
      </c>
      <c r="Q324" s="2">
        <v>45812</v>
      </c>
      <c r="R324" s="1" t="s">
        <v>349</v>
      </c>
      <c r="S324" s="1" t="s">
        <v>75</v>
      </c>
      <c r="T324" s="1" t="s">
        <v>105</v>
      </c>
      <c r="U324" s="5">
        <f>product_sales_data__1[[#This Row],[TotalPrice]]-product_sales_data__1[[#This Row],[ShippingCost]]</f>
        <v>38.6</v>
      </c>
      <c r="V324" s="5">
        <f>product_sales_data__1[[#This Row],[Quantity]]*product_sales_data__1[[#This Row],[UnitPrice]]*product_sales_data__1[[#This Row],[Discount]]</f>
        <v>14.4315</v>
      </c>
    </row>
    <row r="325" spans="1:22" x14ac:dyDescent="0.3">
      <c r="A325" s="1" t="s">
        <v>880</v>
      </c>
      <c r="B325" s="1" t="s">
        <v>21</v>
      </c>
      <c r="C325" s="1" t="s">
        <v>71</v>
      </c>
      <c r="D325">
        <v>7</v>
      </c>
      <c r="E325" s="4">
        <v>374.43</v>
      </c>
      <c r="F325" s="1" t="s">
        <v>84</v>
      </c>
      <c r="G325" s="1" t="s">
        <v>37</v>
      </c>
      <c r="H325">
        <v>0.15</v>
      </c>
      <c r="I325" s="1" t="s">
        <v>46</v>
      </c>
      <c r="J325" s="4">
        <v>2227.86</v>
      </c>
      <c r="K325" s="1" t="s">
        <v>47</v>
      </c>
      <c r="L325" s="1" t="s">
        <v>58</v>
      </c>
      <c r="M325">
        <v>0</v>
      </c>
      <c r="N325" s="1" t="s">
        <v>1102</v>
      </c>
      <c r="O325" s="1" t="s">
        <v>1103</v>
      </c>
      <c r="P325" s="4">
        <v>28.97</v>
      </c>
      <c r="Q325" s="2">
        <v>45446</v>
      </c>
      <c r="R325" s="1" t="s">
        <v>191</v>
      </c>
      <c r="S325" s="1" t="s">
        <v>31</v>
      </c>
      <c r="T325" s="1" t="s">
        <v>105</v>
      </c>
      <c r="U325" s="5">
        <f>product_sales_data__1[[#This Row],[TotalPrice]]-product_sales_data__1[[#This Row],[ShippingCost]]</f>
        <v>2198.8900000000003</v>
      </c>
      <c r="V325" s="5">
        <f>product_sales_data__1[[#This Row],[Quantity]]*product_sales_data__1[[#This Row],[UnitPrice]]*product_sales_data__1[[#This Row],[Discount]]</f>
        <v>393.1515</v>
      </c>
    </row>
    <row r="326" spans="1:22" x14ac:dyDescent="0.3">
      <c r="A326" s="1" t="s">
        <v>1104</v>
      </c>
      <c r="B326" s="1" t="s">
        <v>45</v>
      </c>
      <c r="C326" s="1" t="s">
        <v>127</v>
      </c>
      <c r="D326">
        <v>20</v>
      </c>
      <c r="E326" s="4">
        <v>274.37</v>
      </c>
      <c r="F326" s="1" t="s">
        <v>23</v>
      </c>
      <c r="G326" s="1" t="s">
        <v>37</v>
      </c>
      <c r="H326">
        <v>0.1</v>
      </c>
      <c r="I326" s="1" t="s">
        <v>65</v>
      </c>
      <c r="J326" s="4">
        <v>4938.66</v>
      </c>
      <c r="K326" s="1" t="s">
        <v>57</v>
      </c>
      <c r="L326" s="1" t="s">
        <v>27</v>
      </c>
      <c r="M326">
        <v>0</v>
      </c>
      <c r="N326" s="1" t="s">
        <v>1105</v>
      </c>
      <c r="O326" s="1" t="s">
        <v>1106</v>
      </c>
      <c r="P326" s="4">
        <v>12.28</v>
      </c>
      <c r="Q326" s="2">
        <v>45200</v>
      </c>
      <c r="R326" s="1" t="s">
        <v>41</v>
      </c>
      <c r="S326" s="1" t="s">
        <v>51</v>
      </c>
      <c r="T326" s="1" t="s">
        <v>32</v>
      </c>
      <c r="U326" s="5">
        <f>product_sales_data__1[[#This Row],[TotalPrice]]-product_sales_data__1[[#This Row],[ShippingCost]]</f>
        <v>4926.38</v>
      </c>
      <c r="V326" s="5">
        <f>product_sales_data__1[[#This Row],[Quantity]]*product_sales_data__1[[#This Row],[UnitPrice]]*product_sales_data__1[[#This Row],[Discount]]</f>
        <v>548.74</v>
      </c>
    </row>
    <row r="327" spans="1:22" x14ac:dyDescent="0.3">
      <c r="A327" s="1" t="s">
        <v>520</v>
      </c>
      <c r="B327" s="1" t="s">
        <v>45</v>
      </c>
      <c r="C327" s="1" t="s">
        <v>127</v>
      </c>
      <c r="D327">
        <v>19</v>
      </c>
      <c r="E327" s="4">
        <v>62.07</v>
      </c>
      <c r="F327" s="1" t="s">
        <v>55</v>
      </c>
      <c r="G327" s="1" t="s">
        <v>37</v>
      </c>
      <c r="H327">
        <v>0.1</v>
      </c>
      <c r="I327" s="1" t="s">
        <v>78</v>
      </c>
      <c r="J327" s="4">
        <v>1061.4000000000001</v>
      </c>
      <c r="K327" s="1" t="s">
        <v>38</v>
      </c>
      <c r="L327" s="1" t="s">
        <v>85</v>
      </c>
      <c r="M327">
        <v>0</v>
      </c>
      <c r="N327" s="1" t="s">
        <v>1107</v>
      </c>
      <c r="O327" s="1" t="s">
        <v>1108</v>
      </c>
      <c r="P327" s="4">
        <v>14.85</v>
      </c>
      <c r="Q327" s="2">
        <v>45547</v>
      </c>
      <c r="R327" s="1" t="s">
        <v>1109</v>
      </c>
      <c r="S327" s="1" t="s">
        <v>51</v>
      </c>
      <c r="T327" s="1" t="s">
        <v>52</v>
      </c>
      <c r="U327" s="5">
        <f>product_sales_data__1[[#This Row],[TotalPrice]]-product_sales_data__1[[#This Row],[ShippingCost]]</f>
        <v>1046.5500000000002</v>
      </c>
      <c r="V327" s="5">
        <f>product_sales_data__1[[#This Row],[Quantity]]*product_sales_data__1[[#This Row],[UnitPrice]]*product_sales_data__1[[#This Row],[Discount]]</f>
        <v>117.93299999999999</v>
      </c>
    </row>
    <row r="328" spans="1:22" x14ac:dyDescent="0.3">
      <c r="A328" s="1" t="s">
        <v>20</v>
      </c>
      <c r="B328" s="1" t="s">
        <v>45</v>
      </c>
      <c r="C328" s="1" t="s">
        <v>109</v>
      </c>
      <c r="D328">
        <v>11</v>
      </c>
      <c r="E328" s="4">
        <v>529.20000000000005</v>
      </c>
      <c r="F328" s="1" t="s">
        <v>84</v>
      </c>
      <c r="G328" s="1" t="s">
        <v>24</v>
      </c>
      <c r="H328">
        <v>0.05</v>
      </c>
      <c r="I328" s="1" t="s">
        <v>94</v>
      </c>
      <c r="J328" s="4">
        <v>5530.14</v>
      </c>
      <c r="K328" s="1" t="s">
        <v>101</v>
      </c>
      <c r="L328" s="1" t="s">
        <v>48</v>
      </c>
      <c r="M328">
        <v>1</v>
      </c>
      <c r="N328" s="1" t="s">
        <v>1110</v>
      </c>
      <c r="O328" s="1" t="s">
        <v>1111</v>
      </c>
      <c r="P328" s="4">
        <v>16.78</v>
      </c>
      <c r="Q328" s="2">
        <v>45204</v>
      </c>
      <c r="R328" s="1" t="s">
        <v>1112</v>
      </c>
      <c r="S328" s="1" t="s">
        <v>51</v>
      </c>
      <c r="T328" s="1" t="s">
        <v>32</v>
      </c>
      <c r="U328" s="5">
        <f>product_sales_data__1[[#This Row],[TotalPrice]]-product_sales_data__1[[#This Row],[ShippingCost]]</f>
        <v>5513.3600000000006</v>
      </c>
      <c r="V328" s="5">
        <f>product_sales_data__1[[#This Row],[Quantity]]*product_sales_data__1[[#This Row],[UnitPrice]]*product_sales_data__1[[#This Row],[Discount]]</f>
        <v>291.06000000000006</v>
      </c>
    </row>
    <row r="329" spans="1:22" x14ac:dyDescent="0.3">
      <c r="A329" s="1" t="s">
        <v>1113</v>
      </c>
      <c r="B329" s="1" t="s">
        <v>34</v>
      </c>
      <c r="C329" s="1" t="s">
        <v>71</v>
      </c>
      <c r="D329">
        <v>1</v>
      </c>
      <c r="E329" s="4">
        <v>152.75</v>
      </c>
      <c r="F329" s="1" t="s">
        <v>84</v>
      </c>
      <c r="G329" s="1" t="s">
        <v>24</v>
      </c>
      <c r="H329">
        <v>0</v>
      </c>
      <c r="I329" s="1" t="s">
        <v>94</v>
      </c>
      <c r="J329" s="4">
        <v>152.75</v>
      </c>
      <c r="K329" s="1" t="s">
        <v>101</v>
      </c>
      <c r="L329" s="1" t="s">
        <v>85</v>
      </c>
      <c r="M329">
        <v>1</v>
      </c>
      <c r="N329" s="1" t="s">
        <v>1114</v>
      </c>
      <c r="O329" s="1" t="s">
        <v>1115</v>
      </c>
      <c r="P329" s="4">
        <v>9.61</v>
      </c>
      <c r="Q329" s="2">
        <v>45363</v>
      </c>
      <c r="R329" s="1" t="s">
        <v>1116</v>
      </c>
      <c r="S329" s="1" t="s">
        <v>42</v>
      </c>
      <c r="T329" s="1" t="s">
        <v>98</v>
      </c>
      <c r="U329" s="5">
        <f>product_sales_data__1[[#This Row],[TotalPrice]]-product_sales_data__1[[#This Row],[ShippingCost]]</f>
        <v>143.13999999999999</v>
      </c>
      <c r="V329" s="5">
        <f>product_sales_data__1[[#This Row],[Quantity]]*product_sales_data__1[[#This Row],[UnitPrice]]*product_sales_data__1[[#This Row],[Discount]]</f>
        <v>0</v>
      </c>
    </row>
    <row r="330" spans="1:22" x14ac:dyDescent="0.3">
      <c r="A330" s="1" t="s">
        <v>493</v>
      </c>
      <c r="B330" s="1" t="s">
        <v>34</v>
      </c>
      <c r="C330" s="1" t="s">
        <v>35</v>
      </c>
      <c r="D330">
        <v>8</v>
      </c>
      <c r="E330" s="4">
        <v>72.48</v>
      </c>
      <c r="F330" s="1" t="s">
        <v>84</v>
      </c>
      <c r="G330" s="1" t="s">
        <v>24</v>
      </c>
      <c r="H330">
        <v>0.1</v>
      </c>
      <c r="I330" s="1" t="s">
        <v>46</v>
      </c>
      <c r="J330" s="4">
        <v>521.86</v>
      </c>
      <c r="K330" s="1" t="s">
        <v>38</v>
      </c>
      <c r="L330" s="1" t="s">
        <v>48</v>
      </c>
      <c r="M330">
        <v>1</v>
      </c>
      <c r="N330" s="1" t="s">
        <v>1117</v>
      </c>
      <c r="O330" s="1" t="s">
        <v>1118</v>
      </c>
      <c r="P330" s="4">
        <v>26.92</v>
      </c>
      <c r="Q330" s="2">
        <v>45575</v>
      </c>
      <c r="R330" s="1" t="s">
        <v>485</v>
      </c>
      <c r="S330" s="1" t="s">
        <v>42</v>
      </c>
      <c r="T330" s="1" t="s">
        <v>32</v>
      </c>
      <c r="U330" s="5">
        <f>product_sales_data__1[[#This Row],[TotalPrice]]-product_sales_data__1[[#This Row],[ShippingCost]]</f>
        <v>494.94</v>
      </c>
      <c r="V330" s="5">
        <f>product_sales_data__1[[#This Row],[Quantity]]*product_sales_data__1[[#This Row],[UnitPrice]]*product_sales_data__1[[#This Row],[Discount]]</f>
        <v>57.984000000000009</v>
      </c>
    </row>
    <row r="331" spans="1:22" x14ac:dyDescent="0.3">
      <c r="A331" s="1" t="s">
        <v>365</v>
      </c>
      <c r="B331" s="1" t="s">
        <v>70</v>
      </c>
      <c r="C331" s="1" t="s">
        <v>71</v>
      </c>
      <c r="D331">
        <v>4</v>
      </c>
      <c r="E331" s="4">
        <v>194.09</v>
      </c>
      <c r="F331" s="1" t="s">
        <v>55</v>
      </c>
      <c r="G331" s="1" t="s">
        <v>24</v>
      </c>
      <c r="H331">
        <v>0.1</v>
      </c>
      <c r="I331" s="1" t="s">
        <v>65</v>
      </c>
      <c r="J331" s="4">
        <v>698.72</v>
      </c>
      <c r="K331" s="1" t="s">
        <v>101</v>
      </c>
      <c r="L331" s="1" t="s">
        <v>27</v>
      </c>
      <c r="M331">
        <v>0</v>
      </c>
      <c r="N331" s="1" t="s">
        <v>1119</v>
      </c>
      <c r="O331" s="1" t="s">
        <v>1120</v>
      </c>
      <c r="P331" s="4">
        <v>26.35</v>
      </c>
      <c r="Q331" s="2">
        <v>45357</v>
      </c>
      <c r="R331" s="1" t="s">
        <v>506</v>
      </c>
      <c r="S331" s="1" t="s">
        <v>75</v>
      </c>
      <c r="T331" s="1" t="s">
        <v>98</v>
      </c>
      <c r="U331" s="5">
        <f>product_sales_data__1[[#This Row],[TotalPrice]]-product_sales_data__1[[#This Row],[ShippingCost]]</f>
        <v>672.37</v>
      </c>
      <c r="V331" s="5">
        <f>product_sales_data__1[[#This Row],[Quantity]]*product_sales_data__1[[#This Row],[UnitPrice]]*product_sales_data__1[[#This Row],[Discount]]</f>
        <v>77.63600000000001</v>
      </c>
    </row>
    <row r="332" spans="1:22" x14ac:dyDescent="0.3">
      <c r="A332" s="1" t="s">
        <v>1121</v>
      </c>
      <c r="B332" s="1" t="s">
        <v>54</v>
      </c>
      <c r="C332" s="1" t="s">
        <v>35</v>
      </c>
      <c r="D332">
        <v>16</v>
      </c>
      <c r="E332" s="4">
        <v>541.96</v>
      </c>
      <c r="F332" s="1" t="s">
        <v>36</v>
      </c>
      <c r="G332" s="1" t="s">
        <v>37</v>
      </c>
      <c r="H332">
        <v>0.1</v>
      </c>
      <c r="I332" s="1" t="s">
        <v>65</v>
      </c>
      <c r="J332" s="4">
        <v>7804.22</v>
      </c>
      <c r="K332" s="1" t="s">
        <v>47</v>
      </c>
      <c r="L332" s="1" t="s">
        <v>58</v>
      </c>
      <c r="M332">
        <v>1</v>
      </c>
      <c r="N332" s="1" t="s">
        <v>1122</v>
      </c>
      <c r="O332" s="1" t="s">
        <v>1123</v>
      </c>
      <c r="P332" s="4">
        <v>9.93</v>
      </c>
      <c r="Q332" s="2">
        <v>45051</v>
      </c>
      <c r="R332" s="1" t="s">
        <v>925</v>
      </c>
      <c r="S332" s="1" t="s">
        <v>62</v>
      </c>
      <c r="T332" s="1" t="s">
        <v>63</v>
      </c>
      <c r="U332" s="5">
        <f>product_sales_data__1[[#This Row],[TotalPrice]]-product_sales_data__1[[#This Row],[ShippingCost]]</f>
        <v>7794.29</v>
      </c>
      <c r="V332" s="5">
        <f>product_sales_data__1[[#This Row],[Quantity]]*product_sales_data__1[[#This Row],[UnitPrice]]*product_sales_data__1[[#This Row],[Discount]]</f>
        <v>867.13600000000008</v>
      </c>
    </row>
    <row r="333" spans="1:22" x14ac:dyDescent="0.3">
      <c r="A333" s="1" t="s">
        <v>460</v>
      </c>
      <c r="B333" s="1" t="s">
        <v>34</v>
      </c>
      <c r="C333" s="1" t="s">
        <v>127</v>
      </c>
      <c r="D333">
        <v>16</v>
      </c>
      <c r="E333" s="4">
        <v>217.74</v>
      </c>
      <c r="F333" s="1" t="s">
        <v>84</v>
      </c>
      <c r="G333" s="1" t="s">
        <v>24</v>
      </c>
      <c r="H333">
        <v>0.15</v>
      </c>
      <c r="I333" s="1" t="s">
        <v>56</v>
      </c>
      <c r="J333" s="4">
        <v>2961.26</v>
      </c>
      <c r="K333" s="1" t="s">
        <v>47</v>
      </c>
      <c r="L333" s="1" t="s">
        <v>85</v>
      </c>
      <c r="M333">
        <v>1</v>
      </c>
      <c r="N333" s="1" t="s">
        <v>1124</v>
      </c>
      <c r="O333" s="1" t="s">
        <v>1125</v>
      </c>
      <c r="P333" s="4">
        <v>25.11</v>
      </c>
      <c r="Q333" s="2">
        <v>45872</v>
      </c>
      <c r="R333" s="1" t="s">
        <v>121</v>
      </c>
      <c r="S333" s="1" t="s">
        <v>42</v>
      </c>
      <c r="T333" s="1" t="s">
        <v>82</v>
      </c>
      <c r="U333" s="5">
        <f>product_sales_data__1[[#This Row],[TotalPrice]]-product_sales_data__1[[#This Row],[ShippingCost]]</f>
        <v>2936.15</v>
      </c>
      <c r="V333" s="5">
        <f>product_sales_data__1[[#This Row],[Quantity]]*product_sales_data__1[[#This Row],[UnitPrice]]*product_sales_data__1[[#This Row],[Discount]]</f>
        <v>522.57600000000002</v>
      </c>
    </row>
    <row r="334" spans="1:22" x14ac:dyDescent="0.3">
      <c r="A334" s="1" t="s">
        <v>1126</v>
      </c>
      <c r="B334" s="1" t="s">
        <v>70</v>
      </c>
      <c r="C334" s="1" t="s">
        <v>140</v>
      </c>
      <c r="D334">
        <v>15</v>
      </c>
      <c r="E334" s="4">
        <v>324.58</v>
      </c>
      <c r="F334" s="1" t="s">
        <v>84</v>
      </c>
      <c r="G334" s="1" t="s">
        <v>37</v>
      </c>
      <c r="H334">
        <v>0.15</v>
      </c>
      <c r="I334" s="1" t="s">
        <v>78</v>
      </c>
      <c r="J334" s="4">
        <v>4138.3999999999996</v>
      </c>
      <c r="K334" s="1" t="s">
        <v>38</v>
      </c>
      <c r="L334" s="1" t="s">
        <v>48</v>
      </c>
      <c r="M334">
        <v>0</v>
      </c>
      <c r="N334" s="1" t="s">
        <v>1127</v>
      </c>
      <c r="O334" s="1" t="s">
        <v>1128</v>
      </c>
      <c r="P334" s="4">
        <v>24.57</v>
      </c>
      <c r="Q334" s="2">
        <v>45052</v>
      </c>
      <c r="R334" s="1" t="s">
        <v>135</v>
      </c>
      <c r="S334" s="1" t="s">
        <v>75</v>
      </c>
      <c r="T334" s="1" t="s">
        <v>63</v>
      </c>
      <c r="U334" s="5">
        <f>product_sales_data__1[[#This Row],[TotalPrice]]-product_sales_data__1[[#This Row],[ShippingCost]]</f>
        <v>4113.83</v>
      </c>
      <c r="V334" s="5">
        <f>product_sales_data__1[[#This Row],[Quantity]]*product_sales_data__1[[#This Row],[UnitPrice]]*product_sales_data__1[[#This Row],[Discount]]</f>
        <v>730.30499999999995</v>
      </c>
    </row>
    <row r="335" spans="1:22" x14ac:dyDescent="0.3">
      <c r="A335" s="1" t="s">
        <v>1129</v>
      </c>
      <c r="B335" s="1" t="s">
        <v>21</v>
      </c>
      <c r="C335" s="1" t="s">
        <v>140</v>
      </c>
      <c r="D335">
        <v>8</v>
      </c>
      <c r="E335" s="4">
        <v>141.28</v>
      </c>
      <c r="F335" s="1" t="s">
        <v>55</v>
      </c>
      <c r="G335" s="1" t="s">
        <v>24</v>
      </c>
      <c r="H335">
        <v>0.05</v>
      </c>
      <c r="I335" s="1" t="s">
        <v>56</v>
      </c>
      <c r="J335" s="4">
        <v>1073.73</v>
      </c>
      <c r="K335" s="1" t="s">
        <v>26</v>
      </c>
      <c r="L335" s="1" t="s">
        <v>85</v>
      </c>
      <c r="M335">
        <v>0</v>
      </c>
      <c r="N335" s="1" t="s">
        <v>1130</v>
      </c>
      <c r="O335" s="1" t="s">
        <v>950</v>
      </c>
      <c r="P335" s="4">
        <v>28.69</v>
      </c>
      <c r="Q335" s="2">
        <v>44934</v>
      </c>
      <c r="R335" s="1" t="s">
        <v>139</v>
      </c>
      <c r="S335" s="1" t="s">
        <v>31</v>
      </c>
      <c r="T335" s="1" t="s">
        <v>187</v>
      </c>
      <c r="U335" s="5">
        <f>product_sales_data__1[[#This Row],[TotalPrice]]-product_sales_data__1[[#This Row],[ShippingCost]]</f>
        <v>1045.04</v>
      </c>
      <c r="V335" s="5">
        <f>product_sales_data__1[[#This Row],[Quantity]]*product_sales_data__1[[#This Row],[UnitPrice]]*product_sales_data__1[[#This Row],[Discount]]</f>
        <v>56.512</v>
      </c>
    </row>
    <row r="336" spans="1:22" x14ac:dyDescent="0.3">
      <c r="A336" s="1" t="s">
        <v>277</v>
      </c>
      <c r="B336" s="1" t="s">
        <v>54</v>
      </c>
      <c r="C336" s="1" t="s">
        <v>71</v>
      </c>
      <c r="D336">
        <v>13</v>
      </c>
      <c r="E336" s="4">
        <v>227.64</v>
      </c>
      <c r="F336" s="1" t="s">
        <v>36</v>
      </c>
      <c r="G336" s="1" t="s">
        <v>37</v>
      </c>
      <c r="H336">
        <v>0.15</v>
      </c>
      <c r="I336" s="1" t="s">
        <v>56</v>
      </c>
      <c r="J336" s="4">
        <v>2515.42</v>
      </c>
      <c r="K336" s="1" t="s">
        <v>47</v>
      </c>
      <c r="L336" s="1" t="s">
        <v>85</v>
      </c>
      <c r="M336">
        <v>1</v>
      </c>
      <c r="N336" s="1" t="s">
        <v>1131</v>
      </c>
      <c r="O336" s="1" t="s">
        <v>1132</v>
      </c>
      <c r="P336" s="4">
        <v>46.67</v>
      </c>
      <c r="Q336" s="2">
        <v>45993</v>
      </c>
      <c r="R336" s="1" t="s">
        <v>1133</v>
      </c>
      <c r="S336" s="1" t="s">
        <v>62</v>
      </c>
      <c r="T336" s="1" t="s">
        <v>76</v>
      </c>
      <c r="U336" s="5">
        <f>product_sales_data__1[[#This Row],[TotalPrice]]-product_sales_data__1[[#This Row],[ShippingCost]]</f>
        <v>2468.75</v>
      </c>
      <c r="V336" s="5">
        <f>product_sales_data__1[[#This Row],[Quantity]]*product_sales_data__1[[#This Row],[UnitPrice]]*product_sales_data__1[[#This Row],[Discount]]</f>
        <v>443.89799999999997</v>
      </c>
    </row>
    <row r="337" spans="1:22" x14ac:dyDescent="0.3">
      <c r="A337" s="1" t="s">
        <v>579</v>
      </c>
      <c r="B337" s="1" t="s">
        <v>45</v>
      </c>
      <c r="C337" s="1" t="s">
        <v>100</v>
      </c>
      <c r="D337">
        <v>19</v>
      </c>
      <c r="E337" s="4">
        <v>341.07</v>
      </c>
      <c r="F337" s="1" t="s">
        <v>36</v>
      </c>
      <c r="G337" s="1" t="s">
        <v>37</v>
      </c>
      <c r="H337">
        <v>0.1</v>
      </c>
      <c r="I337" s="1" t="s">
        <v>46</v>
      </c>
      <c r="J337" s="4">
        <v>5832.3</v>
      </c>
      <c r="K337" s="1" t="s">
        <v>47</v>
      </c>
      <c r="L337" s="1" t="s">
        <v>27</v>
      </c>
      <c r="M337">
        <v>0</v>
      </c>
      <c r="N337" s="1" t="s">
        <v>1134</v>
      </c>
      <c r="O337" s="1" t="s">
        <v>1135</v>
      </c>
      <c r="P337" s="4">
        <v>47.75</v>
      </c>
      <c r="Q337" s="2">
        <v>44992</v>
      </c>
      <c r="R337" s="1" t="s">
        <v>582</v>
      </c>
      <c r="S337" s="1" t="s">
        <v>51</v>
      </c>
      <c r="T337" s="1" t="s">
        <v>98</v>
      </c>
      <c r="U337" s="5">
        <f>product_sales_data__1[[#This Row],[TotalPrice]]-product_sales_data__1[[#This Row],[ShippingCost]]</f>
        <v>5784.55</v>
      </c>
      <c r="V337" s="5">
        <f>product_sales_data__1[[#This Row],[Quantity]]*product_sales_data__1[[#This Row],[UnitPrice]]*product_sales_data__1[[#This Row],[Discount]]</f>
        <v>648.03300000000002</v>
      </c>
    </row>
    <row r="338" spans="1:22" x14ac:dyDescent="0.3">
      <c r="A338" s="1" t="s">
        <v>639</v>
      </c>
      <c r="B338" s="1" t="s">
        <v>45</v>
      </c>
      <c r="C338" s="1" t="s">
        <v>71</v>
      </c>
      <c r="D338">
        <v>20</v>
      </c>
      <c r="E338" s="4">
        <v>324.55</v>
      </c>
      <c r="F338" s="1" t="s">
        <v>23</v>
      </c>
      <c r="G338" s="1" t="s">
        <v>24</v>
      </c>
      <c r="H338">
        <v>0.05</v>
      </c>
      <c r="I338" s="1" t="s">
        <v>65</v>
      </c>
      <c r="J338" s="4">
        <v>6166.45</v>
      </c>
      <c r="K338" s="1" t="s">
        <v>101</v>
      </c>
      <c r="L338" s="1" t="s">
        <v>27</v>
      </c>
      <c r="M338">
        <v>1</v>
      </c>
      <c r="N338" s="1" t="s">
        <v>1136</v>
      </c>
      <c r="O338" s="1" t="s">
        <v>1137</v>
      </c>
      <c r="P338" s="4">
        <v>21.21</v>
      </c>
      <c r="Q338" s="2">
        <v>45905</v>
      </c>
      <c r="R338" s="1" t="s">
        <v>1138</v>
      </c>
      <c r="S338" s="1" t="s">
        <v>51</v>
      </c>
      <c r="T338" s="1" t="s">
        <v>52</v>
      </c>
      <c r="U338" s="5">
        <f>product_sales_data__1[[#This Row],[TotalPrice]]-product_sales_data__1[[#This Row],[ShippingCost]]</f>
        <v>6145.24</v>
      </c>
      <c r="V338" s="5">
        <f>product_sales_data__1[[#This Row],[Quantity]]*product_sales_data__1[[#This Row],[UnitPrice]]*product_sales_data__1[[#This Row],[Discount]]</f>
        <v>324.55</v>
      </c>
    </row>
    <row r="339" spans="1:22" x14ac:dyDescent="0.3">
      <c r="A339" s="1" t="s">
        <v>816</v>
      </c>
      <c r="B339" s="1" t="s">
        <v>54</v>
      </c>
      <c r="C339" s="1" t="s">
        <v>22</v>
      </c>
      <c r="D339">
        <v>16</v>
      </c>
      <c r="E339" s="4">
        <v>301.07</v>
      </c>
      <c r="F339" s="1" t="s">
        <v>23</v>
      </c>
      <c r="G339" s="1" t="s">
        <v>37</v>
      </c>
      <c r="H339">
        <v>0.1</v>
      </c>
      <c r="I339" s="1" t="s">
        <v>46</v>
      </c>
      <c r="J339" s="4">
        <v>4335.41</v>
      </c>
      <c r="K339" s="1" t="s">
        <v>57</v>
      </c>
      <c r="L339" s="1" t="s">
        <v>27</v>
      </c>
      <c r="M339">
        <v>0</v>
      </c>
      <c r="N339" s="1" t="s">
        <v>1139</v>
      </c>
      <c r="O339" s="1" t="s">
        <v>1140</v>
      </c>
      <c r="P339" s="4">
        <v>5.58</v>
      </c>
      <c r="Q339" s="2">
        <v>45417</v>
      </c>
      <c r="R339" s="1" t="s">
        <v>618</v>
      </c>
      <c r="S339" s="1" t="s">
        <v>62</v>
      </c>
      <c r="T339" s="1" t="s">
        <v>63</v>
      </c>
      <c r="U339" s="5">
        <f>product_sales_data__1[[#This Row],[TotalPrice]]-product_sales_data__1[[#This Row],[ShippingCost]]</f>
        <v>4329.83</v>
      </c>
      <c r="V339" s="5">
        <f>product_sales_data__1[[#This Row],[Quantity]]*product_sales_data__1[[#This Row],[UnitPrice]]*product_sales_data__1[[#This Row],[Discount]]</f>
        <v>481.71199999999999</v>
      </c>
    </row>
    <row r="340" spans="1:22" x14ac:dyDescent="0.3">
      <c r="A340" s="1" t="s">
        <v>423</v>
      </c>
      <c r="B340" s="1" t="s">
        <v>34</v>
      </c>
      <c r="C340" s="1" t="s">
        <v>127</v>
      </c>
      <c r="D340">
        <v>13</v>
      </c>
      <c r="E340" s="4">
        <v>285.27999999999997</v>
      </c>
      <c r="F340" s="1" t="s">
        <v>55</v>
      </c>
      <c r="G340" s="1" t="s">
        <v>37</v>
      </c>
      <c r="H340">
        <v>0</v>
      </c>
      <c r="I340" s="1" t="s">
        <v>65</v>
      </c>
      <c r="J340" s="4">
        <v>3708.64</v>
      </c>
      <c r="K340" s="1" t="s">
        <v>57</v>
      </c>
      <c r="L340" s="1" t="s">
        <v>58</v>
      </c>
      <c r="M340">
        <v>0</v>
      </c>
      <c r="N340" s="1" t="s">
        <v>1141</v>
      </c>
      <c r="O340" s="1" t="s">
        <v>1142</v>
      </c>
      <c r="P340" s="4">
        <v>31.2</v>
      </c>
      <c r="Q340" s="2">
        <v>45505</v>
      </c>
      <c r="R340" s="1" t="s">
        <v>167</v>
      </c>
      <c r="S340" s="1" t="s">
        <v>42</v>
      </c>
      <c r="T340" s="1" t="s">
        <v>82</v>
      </c>
      <c r="U340" s="5">
        <f>product_sales_data__1[[#This Row],[TotalPrice]]-product_sales_data__1[[#This Row],[ShippingCost]]</f>
        <v>3677.44</v>
      </c>
      <c r="V340" s="5">
        <f>product_sales_data__1[[#This Row],[Quantity]]*product_sales_data__1[[#This Row],[UnitPrice]]*product_sales_data__1[[#This Row],[Discount]]</f>
        <v>0</v>
      </c>
    </row>
    <row r="341" spans="1:22" x14ac:dyDescent="0.3">
      <c r="A341" s="1" t="s">
        <v>229</v>
      </c>
      <c r="B341" s="1" t="s">
        <v>70</v>
      </c>
      <c r="C341" s="1" t="s">
        <v>140</v>
      </c>
      <c r="D341">
        <v>11</v>
      </c>
      <c r="E341" s="4">
        <v>495.44</v>
      </c>
      <c r="F341" s="1" t="s">
        <v>84</v>
      </c>
      <c r="G341" s="1" t="s">
        <v>24</v>
      </c>
      <c r="H341">
        <v>0</v>
      </c>
      <c r="I341" s="1" t="s">
        <v>94</v>
      </c>
      <c r="J341" s="4">
        <v>5449.84</v>
      </c>
      <c r="K341" s="1" t="s">
        <v>57</v>
      </c>
      <c r="L341" s="1" t="s">
        <v>85</v>
      </c>
      <c r="M341">
        <v>0</v>
      </c>
      <c r="N341" s="1" t="s">
        <v>1143</v>
      </c>
      <c r="O341" s="1" t="s">
        <v>1144</v>
      </c>
      <c r="P341" s="4">
        <v>44.77</v>
      </c>
      <c r="Q341" s="2">
        <v>45997</v>
      </c>
      <c r="R341" s="1" t="s">
        <v>378</v>
      </c>
      <c r="S341" s="1" t="s">
        <v>75</v>
      </c>
      <c r="T341" s="1" t="s">
        <v>76</v>
      </c>
      <c r="U341" s="5">
        <f>product_sales_data__1[[#This Row],[TotalPrice]]-product_sales_data__1[[#This Row],[ShippingCost]]</f>
        <v>5405.07</v>
      </c>
      <c r="V341" s="5">
        <f>product_sales_data__1[[#This Row],[Quantity]]*product_sales_data__1[[#This Row],[UnitPrice]]*product_sales_data__1[[#This Row],[Discount]]</f>
        <v>0</v>
      </c>
    </row>
    <row r="342" spans="1:22" x14ac:dyDescent="0.3">
      <c r="A342" s="1" t="s">
        <v>1145</v>
      </c>
      <c r="B342" s="1" t="s">
        <v>21</v>
      </c>
      <c r="C342" s="1" t="s">
        <v>100</v>
      </c>
      <c r="D342">
        <v>12</v>
      </c>
      <c r="E342" s="4">
        <v>276.42</v>
      </c>
      <c r="F342" s="1" t="s">
        <v>36</v>
      </c>
      <c r="G342" s="1" t="s">
        <v>37</v>
      </c>
      <c r="H342">
        <v>0.15</v>
      </c>
      <c r="I342" s="1" t="s">
        <v>46</v>
      </c>
      <c r="J342" s="4">
        <v>2819.48</v>
      </c>
      <c r="K342" s="1" t="s">
        <v>26</v>
      </c>
      <c r="L342" s="1" t="s">
        <v>48</v>
      </c>
      <c r="M342">
        <v>0</v>
      </c>
      <c r="N342" s="1" t="s">
        <v>1146</v>
      </c>
      <c r="O342" s="1" t="s">
        <v>1147</v>
      </c>
      <c r="P342" s="4">
        <v>30.57</v>
      </c>
      <c r="Q342" s="2">
        <v>45720</v>
      </c>
      <c r="R342" s="1" t="s">
        <v>1148</v>
      </c>
      <c r="S342" s="1" t="s">
        <v>31</v>
      </c>
      <c r="T342" s="1" t="s">
        <v>98</v>
      </c>
      <c r="U342" s="5">
        <f>product_sales_data__1[[#This Row],[TotalPrice]]-product_sales_data__1[[#This Row],[ShippingCost]]</f>
        <v>2788.91</v>
      </c>
      <c r="V342" s="5">
        <f>product_sales_data__1[[#This Row],[Quantity]]*product_sales_data__1[[#This Row],[UnitPrice]]*product_sales_data__1[[#This Row],[Discount]]</f>
        <v>497.55599999999998</v>
      </c>
    </row>
    <row r="343" spans="1:22" x14ac:dyDescent="0.3">
      <c r="A343" s="1" t="s">
        <v>811</v>
      </c>
      <c r="B343" s="1" t="s">
        <v>45</v>
      </c>
      <c r="C343" s="1" t="s">
        <v>127</v>
      </c>
      <c r="D343">
        <v>1</v>
      </c>
      <c r="E343" s="4">
        <v>498.19</v>
      </c>
      <c r="F343" s="1" t="s">
        <v>84</v>
      </c>
      <c r="G343" s="1" t="s">
        <v>24</v>
      </c>
      <c r="H343">
        <v>0.1</v>
      </c>
      <c r="I343" s="1" t="s">
        <v>94</v>
      </c>
      <c r="J343" s="4">
        <v>448.37</v>
      </c>
      <c r="K343" s="1" t="s">
        <v>57</v>
      </c>
      <c r="L343" s="1" t="s">
        <v>58</v>
      </c>
      <c r="M343">
        <v>0</v>
      </c>
      <c r="N343" s="1" t="s">
        <v>1149</v>
      </c>
      <c r="O343" s="1" t="s">
        <v>1150</v>
      </c>
      <c r="P343" s="4">
        <v>25.55</v>
      </c>
      <c r="Q343" s="2">
        <v>45108</v>
      </c>
      <c r="R343" s="1" t="s">
        <v>33</v>
      </c>
      <c r="S343" s="1" t="s">
        <v>51</v>
      </c>
      <c r="T343" s="1" t="s">
        <v>117</v>
      </c>
      <c r="U343" s="5">
        <f>product_sales_data__1[[#This Row],[TotalPrice]]-product_sales_data__1[[#This Row],[ShippingCost]]</f>
        <v>422.82</v>
      </c>
      <c r="V343" s="5">
        <f>product_sales_data__1[[#This Row],[Quantity]]*product_sales_data__1[[#This Row],[UnitPrice]]*product_sales_data__1[[#This Row],[Discount]]</f>
        <v>49.819000000000003</v>
      </c>
    </row>
    <row r="344" spans="1:22" x14ac:dyDescent="0.3">
      <c r="A344" s="1" t="s">
        <v>168</v>
      </c>
      <c r="B344" s="1" t="s">
        <v>21</v>
      </c>
      <c r="C344" s="1" t="s">
        <v>22</v>
      </c>
      <c r="D344">
        <v>19</v>
      </c>
      <c r="E344" s="4">
        <v>278.04000000000002</v>
      </c>
      <c r="F344" s="1" t="s">
        <v>23</v>
      </c>
      <c r="G344" s="1" t="s">
        <v>37</v>
      </c>
      <c r="H344">
        <v>0.05</v>
      </c>
      <c r="I344" s="1" t="s">
        <v>94</v>
      </c>
      <c r="J344" s="4">
        <v>5018.62</v>
      </c>
      <c r="K344" s="1" t="s">
        <v>101</v>
      </c>
      <c r="L344" s="1" t="s">
        <v>58</v>
      </c>
      <c r="M344">
        <v>0</v>
      </c>
      <c r="N344" s="1" t="s">
        <v>1151</v>
      </c>
      <c r="O344" s="1" t="s">
        <v>1152</v>
      </c>
      <c r="P344" s="4">
        <v>16.399999999999999</v>
      </c>
      <c r="Q344" s="2">
        <v>45967</v>
      </c>
      <c r="R344" s="1" t="s">
        <v>250</v>
      </c>
      <c r="S344" s="1" t="s">
        <v>31</v>
      </c>
      <c r="T344" s="1" t="s">
        <v>43</v>
      </c>
      <c r="U344" s="5">
        <f>product_sales_data__1[[#This Row],[TotalPrice]]-product_sales_data__1[[#This Row],[ShippingCost]]</f>
        <v>5002.22</v>
      </c>
      <c r="V344" s="5">
        <f>product_sales_data__1[[#This Row],[Quantity]]*product_sales_data__1[[#This Row],[UnitPrice]]*product_sales_data__1[[#This Row],[Discount]]</f>
        <v>264.13800000000003</v>
      </c>
    </row>
    <row r="345" spans="1:22" x14ac:dyDescent="0.3">
      <c r="A345" s="1" t="s">
        <v>305</v>
      </c>
      <c r="B345" s="1" t="s">
        <v>70</v>
      </c>
      <c r="C345" s="1" t="s">
        <v>127</v>
      </c>
      <c r="D345">
        <v>11</v>
      </c>
      <c r="E345" s="4">
        <v>200.3</v>
      </c>
      <c r="F345" s="1" t="s">
        <v>55</v>
      </c>
      <c r="G345" s="1" t="s">
        <v>37</v>
      </c>
      <c r="H345">
        <v>0.1</v>
      </c>
      <c r="I345" s="1" t="s">
        <v>65</v>
      </c>
      <c r="J345" s="4">
        <v>1982.97</v>
      </c>
      <c r="K345" s="1" t="s">
        <v>38</v>
      </c>
      <c r="L345" s="1" t="s">
        <v>27</v>
      </c>
      <c r="M345">
        <v>1</v>
      </c>
      <c r="N345" s="1" t="s">
        <v>1153</v>
      </c>
      <c r="O345" s="1" t="s">
        <v>1154</v>
      </c>
      <c r="P345" s="4">
        <v>48.27</v>
      </c>
      <c r="Q345" s="2">
        <v>45454</v>
      </c>
      <c r="R345" s="1" t="s">
        <v>308</v>
      </c>
      <c r="S345" s="1" t="s">
        <v>75</v>
      </c>
      <c r="T345" s="1" t="s">
        <v>105</v>
      </c>
      <c r="U345" s="5">
        <f>product_sales_data__1[[#This Row],[TotalPrice]]-product_sales_data__1[[#This Row],[ShippingCost]]</f>
        <v>1934.7</v>
      </c>
      <c r="V345" s="5">
        <f>product_sales_data__1[[#This Row],[Quantity]]*product_sales_data__1[[#This Row],[UnitPrice]]*product_sales_data__1[[#This Row],[Discount]]</f>
        <v>220.33000000000004</v>
      </c>
    </row>
    <row r="346" spans="1:22" x14ac:dyDescent="0.3">
      <c r="A346" s="1" t="s">
        <v>277</v>
      </c>
      <c r="B346" s="1" t="s">
        <v>21</v>
      </c>
      <c r="C346" s="1" t="s">
        <v>140</v>
      </c>
      <c r="D346">
        <v>4</v>
      </c>
      <c r="E346" s="4">
        <v>75.8</v>
      </c>
      <c r="F346" s="1" t="s">
        <v>36</v>
      </c>
      <c r="G346" s="1" t="s">
        <v>37</v>
      </c>
      <c r="H346">
        <v>0.15</v>
      </c>
      <c r="I346" s="1" t="s">
        <v>46</v>
      </c>
      <c r="J346" s="4">
        <v>257.72000000000003</v>
      </c>
      <c r="K346" s="1" t="s">
        <v>101</v>
      </c>
      <c r="L346" s="1" t="s">
        <v>58</v>
      </c>
      <c r="M346">
        <v>0</v>
      </c>
      <c r="N346" s="1" t="s">
        <v>1155</v>
      </c>
      <c r="O346" s="1" t="s">
        <v>1156</v>
      </c>
      <c r="P346" s="4">
        <v>12.22</v>
      </c>
      <c r="Q346" s="2">
        <v>45993</v>
      </c>
      <c r="R346" s="1" t="s">
        <v>1133</v>
      </c>
      <c r="S346" s="1" t="s">
        <v>31</v>
      </c>
      <c r="T346" s="1" t="s">
        <v>76</v>
      </c>
      <c r="U346" s="5">
        <f>product_sales_data__1[[#This Row],[TotalPrice]]-product_sales_data__1[[#This Row],[ShippingCost]]</f>
        <v>245.50000000000003</v>
      </c>
      <c r="V346" s="5">
        <f>product_sales_data__1[[#This Row],[Quantity]]*product_sales_data__1[[#This Row],[UnitPrice]]*product_sales_data__1[[#This Row],[Discount]]</f>
        <v>45.48</v>
      </c>
    </row>
    <row r="347" spans="1:22" x14ac:dyDescent="0.3">
      <c r="A347" s="1" t="s">
        <v>583</v>
      </c>
      <c r="B347" s="1" t="s">
        <v>21</v>
      </c>
      <c r="C347" s="1" t="s">
        <v>127</v>
      </c>
      <c r="D347">
        <v>4</v>
      </c>
      <c r="E347" s="4">
        <v>518.42999999999995</v>
      </c>
      <c r="F347" s="1" t="s">
        <v>84</v>
      </c>
      <c r="G347" s="1" t="s">
        <v>24</v>
      </c>
      <c r="H347">
        <v>0</v>
      </c>
      <c r="I347" s="1" t="s">
        <v>25</v>
      </c>
      <c r="J347" s="4">
        <v>2073.7199999999998</v>
      </c>
      <c r="K347" s="1" t="s">
        <v>26</v>
      </c>
      <c r="L347" s="1" t="s">
        <v>58</v>
      </c>
      <c r="M347">
        <v>0</v>
      </c>
      <c r="N347" s="1" t="s">
        <v>1157</v>
      </c>
      <c r="O347" s="1" t="s">
        <v>1158</v>
      </c>
      <c r="P347" s="4">
        <v>30.86</v>
      </c>
      <c r="Q347" s="2">
        <v>45904</v>
      </c>
      <c r="R347" s="1" t="s">
        <v>951</v>
      </c>
      <c r="S347" s="1" t="s">
        <v>31</v>
      </c>
      <c r="T347" s="1" t="s">
        <v>52</v>
      </c>
      <c r="U347" s="5">
        <f>product_sales_data__1[[#This Row],[TotalPrice]]-product_sales_data__1[[#This Row],[ShippingCost]]</f>
        <v>2042.86</v>
      </c>
      <c r="V347" s="5">
        <f>product_sales_data__1[[#This Row],[Quantity]]*product_sales_data__1[[#This Row],[UnitPrice]]*product_sales_data__1[[#This Row],[Discount]]</f>
        <v>0</v>
      </c>
    </row>
    <row r="348" spans="1:22" x14ac:dyDescent="0.3">
      <c r="A348" s="1" t="s">
        <v>139</v>
      </c>
      <c r="B348" s="1" t="s">
        <v>45</v>
      </c>
      <c r="C348" s="1" t="s">
        <v>140</v>
      </c>
      <c r="D348">
        <v>3</v>
      </c>
      <c r="E348" s="4">
        <v>59.78</v>
      </c>
      <c r="F348" s="1" t="s">
        <v>36</v>
      </c>
      <c r="G348" s="1" t="s">
        <v>37</v>
      </c>
      <c r="H348">
        <v>0</v>
      </c>
      <c r="I348" s="1" t="s">
        <v>65</v>
      </c>
      <c r="J348" s="4">
        <v>179.34</v>
      </c>
      <c r="K348" s="1" t="s">
        <v>26</v>
      </c>
      <c r="L348" s="1" t="s">
        <v>58</v>
      </c>
      <c r="M348">
        <v>0</v>
      </c>
      <c r="N348" s="1" t="s">
        <v>1159</v>
      </c>
      <c r="O348" s="1" t="s">
        <v>1160</v>
      </c>
      <c r="P348" s="4">
        <v>46.98</v>
      </c>
      <c r="Q348" s="2">
        <v>45207</v>
      </c>
      <c r="R348" s="1" t="s">
        <v>892</v>
      </c>
      <c r="S348" s="1" t="s">
        <v>51</v>
      </c>
      <c r="T348" s="1" t="s">
        <v>32</v>
      </c>
      <c r="U348" s="5">
        <f>product_sales_data__1[[#This Row],[TotalPrice]]-product_sales_data__1[[#This Row],[ShippingCost]]</f>
        <v>132.36000000000001</v>
      </c>
      <c r="V348" s="5">
        <f>product_sales_data__1[[#This Row],[Quantity]]*product_sales_data__1[[#This Row],[UnitPrice]]*product_sales_data__1[[#This Row],[Discount]]</f>
        <v>0</v>
      </c>
    </row>
    <row r="349" spans="1:22" x14ac:dyDescent="0.3">
      <c r="A349" s="1" t="s">
        <v>99</v>
      </c>
      <c r="B349" s="1" t="s">
        <v>45</v>
      </c>
      <c r="C349" s="1" t="s">
        <v>140</v>
      </c>
      <c r="D349">
        <v>13</v>
      </c>
      <c r="E349" s="4">
        <v>69.97</v>
      </c>
      <c r="F349" s="1" t="s">
        <v>84</v>
      </c>
      <c r="G349" s="1" t="s">
        <v>24</v>
      </c>
      <c r="H349">
        <v>0.05</v>
      </c>
      <c r="I349" s="1" t="s">
        <v>25</v>
      </c>
      <c r="J349" s="4">
        <v>864.13</v>
      </c>
      <c r="K349" s="1" t="s">
        <v>38</v>
      </c>
      <c r="L349" s="1" t="s">
        <v>48</v>
      </c>
      <c r="M349">
        <v>0</v>
      </c>
      <c r="N349" s="1" t="s">
        <v>1161</v>
      </c>
      <c r="O349" s="1" t="s">
        <v>1162</v>
      </c>
      <c r="P349" s="4">
        <v>27.66</v>
      </c>
      <c r="Q349" s="2">
        <v>45085</v>
      </c>
      <c r="R349" s="1" t="s">
        <v>354</v>
      </c>
      <c r="S349" s="1" t="s">
        <v>51</v>
      </c>
      <c r="T349" s="1" t="s">
        <v>105</v>
      </c>
      <c r="U349" s="5">
        <f>product_sales_data__1[[#This Row],[TotalPrice]]-product_sales_data__1[[#This Row],[ShippingCost]]</f>
        <v>836.47</v>
      </c>
      <c r="V349" s="5">
        <f>product_sales_data__1[[#This Row],[Quantity]]*product_sales_data__1[[#This Row],[UnitPrice]]*product_sales_data__1[[#This Row],[Discount]]</f>
        <v>45.480500000000006</v>
      </c>
    </row>
    <row r="350" spans="1:22" x14ac:dyDescent="0.3">
      <c r="A350" s="1" t="s">
        <v>329</v>
      </c>
      <c r="B350" s="1" t="s">
        <v>70</v>
      </c>
      <c r="C350" s="1" t="s">
        <v>100</v>
      </c>
      <c r="D350">
        <v>7</v>
      </c>
      <c r="E350" s="4">
        <v>241.81</v>
      </c>
      <c r="F350" s="1" t="s">
        <v>36</v>
      </c>
      <c r="G350" s="1" t="s">
        <v>24</v>
      </c>
      <c r="H350">
        <v>0.1</v>
      </c>
      <c r="I350" s="1" t="s">
        <v>25</v>
      </c>
      <c r="J350" s="4">
        <v>1523.4</v>
      </c>
      <c r="K350" s="1" t="s">
        <v>38</v>
      </c>
      <c r="L350" s="1" t="s">
        <v>85</v>
      </c>
      <c r="M350">
        <v>0</v>
      </c>
      <c r="N350" s="1" t="s">
        <v>1163</v>
      </c>
      <c r="O350" s="1" t="s">
        <v>1164</v>
      </c>
      <c r="P350" s="4">
        <v>32.94</v>
      </c>
      <c r="Q350" s="2">
        <v>45810</v>
      </c>
      <c r="R350" s="1" t="s">
        <v>464</v>
      </c>
      <c r="S350" s="1" t="s">
        <v>75</v>
      </c>
      <c r="T350" s="1" t="s">
        <v>105</v>
      </c>
      <c r="U350" s="5">
        <f>product_sales_data__1[[#This Row],[TotalPrice]]-product_sales_data__1[[#This Row],[ShippingCost]]</f>
        <v>1490.46</v>
      </c>
      <c r="V350" s="5">
        <f>product_sales_data__1[[#This Row],[Quantity]]*product_sales_data__1[[#This Row],[UnitPrice]]*product_sales_data__1[[#This Row],[Discount]]</f>
        <v>169.26700000000002</v>
      </c>
    </row>
    <row r="351" spans="1:22" x14ac:dyDescent="0.3">
      <c r="A351" s="1" t="s">
        <v>596</v>
      </c>
      <c r="B351" s="1" t="s">
        <v>34</v>
      </c>
      <c r="C351" s="1" t="s">
        <v>127</v>
      </c>
      <c r="D351">
        <v>9</v>
      </c>
      <c r="E351" s="4">
        <v>472.84</v>
      </c>
      <c r="F351" s="1" t="s">
        <v>55</v>
      </c>
      <c r="G351" s="1" t="s">
        <v>37</v>
      </c>
      <c r="H351">
        <v>0.05</v>
      </c>
      <c r="I351" s="1" t="s">
        <v>25</v>
      </c>
      <c r="J351" s="4">
        <v>4042.78</v>
      </c>
      <c r="K351" s="1" t="s">
        <v>101</v>
      </c>
      <c r="L351" s="1" t="s">
        <v>27</v>
      </c>
      <c r="M351">
        <v>0</v>
      </c>
      <c r="N351" s="1" t="s">
        <v>1165</v>
      </c>
      <c r="O351" s="1" t="s">
        <v>1166</v>
      </c>
      <c r="P351" s="4">
        <v>48.13</v>
      </c>
      <c r="Q351" s="2">
        <v>45574</v>
      </c>
      <c r="R351" s="1" t="s">
        <v>160</v>
      </c>
      <c r="S351" s="1" t="s">
        <v>42</v>
      </c>
      <c r="T351" s="1" t="s">
        <v>32</v>
      </c>
      <c r="U351" s="5">
        <f>product_sales_data__1[[#This Row],[TotalPrice]]-product_sales_data__1[[#This Row],[ShippingCost]]</f>
        <v>3994.65</v>
      </c>
      <c r="V351" s="5">
        <f>product_sales_data__1[[#This Row],[Quantity]]*product_sales_data__1[[#This Row],[UnitPrice]]*product_sales_data__1[[#This Row],[Discount]]</f>
        <v>212.77799999999999</v>
      </c>
    </row>
    <row r="352" spans="1:22" x14ac:dyDescent="0.3">
      <c r="A352" s="1" t="s">
        <v>188</v>
      </c>
      <c r="B352" s="1" t="s">
        <v>70</v>
      </c>
      <c r="C352" s="1" t="s">
        <v>100</v>
      </c>
      <c r="D352">
        <v>1</v>
      </c>
      <c r="E352" s="4">
        <v>176.17</v>
      </c>
      <c r="F352" s="1" t="s">
        <v>36</v>
      </c>
      <c r="G352" s="1" t="s">
        <v>37</v>
      </c>
      <c r="H352">
        <v>0.05</v>
      </c>
      <c r="I352" s="1" t="s">
        <v>25</v>
      </c>
      <c r="J352" s="4">
        <v>167.36</v>
      </c>
      <c r="K352" s="1" t="s">
        <v>38</v>
      </c>
      <c r="L352" s="1" t="s">
        <v>48</v>
      </c>
      <c r="M352">
        <v>1</v>
      </c>
      <c r="N352" s="1" t="s">
        <v>1167</v>
      </c>
      <c r="O352" s="1" t="s">
        <v>1168</v>
      </c>
      <c r="P352" s="4">
        <v>35.770000000000003</v>
      </c>
      <c r="Q352" s="2">
        <v>45354</v>
      </c>
      <c r="R352" s="1" t="s">
        <v>880</v>
      </c>
      <c r="S352" s="1" t="s">
        <v>75</v>
      </c>
      <c r="T352" s="1" t="s">
        <v>98</v>
      </c>
      <c r="U352" s="5">
        <f>product_sales_data__1[[#This Row],[TotalPrice]]-product_sales_data__1[[#This Row],[ShippingCost]]</f>
        <v>131.59</v>
      </c>
      <c r="V352" s="5">
        <f>product_sales_data__1[[#This Row],[Quantity]]*product_sales_data__1[[#This Row],[UnitPrice]]*product_sales_data__1[[#This Row],[Discount]]</f>
        <v>8.8085000000000004</v>
      </c>
    </row>
    <row r="353" spans="1:22" x14ac:dyDescent="0.3">
      <c r="A353" s="1" t="s">
        <v>599</v>
      </c>
      <c r="B353" s="1" t="s">
        <v>70</v>
      </c>
      <c r="C353" s="1" t="s">
        <v>100</v>
      </c>
      <c r="D353">
        <v>6</v>
      </c>
      <c r="E353" s="4">
        <v>62.43</v>
      </c>
      <c r="F353" s="1" t="s">
        <v>84</v>
      </c>
      <c r="G353" s="1" t="s">
        <v>24</v>
      </c>
      <c r="H353">
        <v>0</v>
      </c>
      <c r="I353" s="1" t="s">
        <v>78</v>
      </c>
      <c r="J353" s="4">
        <v>374.58</v>
      </c>
      <c r="K353" s="1" t="s">
        <v>57</v>
      </c>
      <c r="L353" s="1" t="s">
        <v>27</v>
      </c>
      <c r="M353">
        <v>0</v>
      </c>
      <c r="N353" s="1" t="s">
        <v>1169</v>
      </c>
      <c r="O353" s="1" t="s">
        <v>1170</v>
      </c>
      <c r="P353" s="4">
        <v>17.850000000000001</v>
      </c>
      <c r="Q353" s="2">
        <v>45576</v>
      </c>
      <c r="R353" s="1" t="s">
        <v>1171</v>
      </c>
      <c r="S353" s="1" t="s">
        <v>75</v>
      </c>
      <c r="T353" s="1" t="s">
        <v>32</v>
      </c>
      <c r="U353" s="5">
        <f>product_sales_data__1[[#This Row],[TotalPrice]]-product_sales_data__1[[#This Row],[ShippingCost]]</f>
        <v>356.72999999999996</v>
      </c>
      <c r="V353" s="5">
        <f>product_sales_data__1[[#This Row],[Quantity]]*product_sales_data__1[[#This Row],[UnitPrice]]*product_sales_data__1[[#This Row],[Discount]]</f>
        <v>0</v>
      </c>
    </row>
    <row r="354" spans="1:22" x14ac:dyDescent="0.3">
      <c r="A354" s="1" t="s">
        <v>1172</v>
      </c>
      <c r="B354" s="1" t="s">
        <v>45</v>
      </c>
      <c r="C354" s="1" t="s">
        <v>109</v>
      </c>
      <c r="D354">
        <v>7</v>
      </c>
      <c r="E354" s="4">
        <v>569.89</v>
      </c>
      <c r="F354" s="1" t="s">
        <v>55</v>
      </c>
      <c r="G354" s="1" t="s">
        <v>24</v>
      </c>
      <c r="H354">
        <v>0.1</v>
      </c>
      <c r="I354" s="1" t="s">
        <v>25</v>
      </c>
      <c r="J354" s="4">
        <v>3590.31</v>
      </c>
      <c r="K354" s="1" t="s">
        <v>47</v>
      </c>
      <c r="L354" s="1" t="s">
        <v>58</v>
      </c>
      <c r="M354">
        <v>0</v>
      </c>
      <c r="N354" s="1" t="s">
        <v>1173</v>
      </c>
      <c r="O354" s="1" t="s">
        <v>1174</v>
      </c>
      <c r="P354" s="4">
        <v>26.81</v>
      </c>
      <c r="Q354" s="2">
        <v>45749</v>
      </c>
      <c r="R354" s="1" t="s">
        <v>900</v>
      </c>
      <c r="S354" s="1" t="s">
        <v>51</v>
      </c>
      <c r="T354" s="1" t="s">
        <v>147</v>
      </c>
      <c r="U354" s="5">
        <f>product_sales_data__1[[#This Row],[TotalPrice]]-product_sales_data__1[[#This Row],[ShippingCost]]</f>
        <v>3563.5</v>
      </c>
      <c r="V354" s="5">
        <f>product_sales_data__1[[#This Row],[Quantity]]*product_sales_data__1[[#This Row],[UnitPrice]]*product_sales_data__1[[#This Row],[Discount]]</f>
        <v>398.923</v>
      </c>
    </row>
    <row r="355" spans="1:22" x14ac:dyDescent="0.3">
      <c r="A355" s="1" t="s">
        <v>816</v>
      </c>
      <c r="B355" s="1" t="s">
        <v>34</v>
      </c>
      <c r="C355" s="1" t="s">
        <v>140</v>
      </c>
      <c r="D355">
        <v>3</v>
      </c>
      <c r="E355" s="4">
        <v>89.72</v>
      </c>
      <c r="F355" s="1" t="s">
        <v>55</v>
      </c>
      <c r="G355" s="1" t="s">
        <v>24</v>
      </c>
      <c r="H355">
        <v>0.1</v>
      </c>
      <c r="I355" s="1" t="s">
        <v>25</v>
      </c>
      <c r="J355" s="4">
        <v>242.24</v>
      </c>
      <c r="K355" s="1" t="s">
        <v>57</v>
      </c>
      <c r="L355" s="1" t="s">
        <v>27</v>
      </c>
      <c r="M355">
        <v>0</v>
      </c>
      <c r="N355" s="1" t="s">
        <v>1175</v>
      </c>
      <c r="O355" s="1" t="s">
        <v>1176</v>
      </c>
      <c r="P355" s="4">
        <v>32.67</v>
      </c>
      <c r="Q355" s="2">
        <v>45417</v>
      </c>
      <c r="R355" s="1" t="s">
        <v>1177</v>
      </c>
      <c r="S355" s="1" t="s">
        <v>42</v>
      </c>
      <c r="T355" s="1" t="s">
        <v>63</v>
      </c>
      <c r="U355" s="5">
        <f>product_sales_data__1[[#This Row],[TotalPrice]]-product_sales_data__1[[#This Row],[ShippingCost]]</f>
        <v>209.57</v>
      </c>
      <c r="V355" s="5">
        <f>product_sales_data__1[[#This Row],[Quantity]]*product_sales_data__1[[#This Row],[UnitPrice]]*product_sales_data__1[[#This Row],[Discount]]</f>
        <v>26.915999999999997</v>
      </c>
    </row>
    <row r="356" spans="1:22" x14ac:dyDescent="0.3">
      <c r="A356" s="1" t="s">
        <v>1096</v>
      </c>
      <c r="B356" s="1" t="s">
        <v>34</v>
      </c>
      <c r="C356" s="1" t="s">
        <v>100</v>
      </c>
      <c r="D356">
        <v>18</v>
      </c>
      <c r="E356" s="4">
        <v>403.53</v>
      </c>
      <c r="F356" s="1" t="s">
        <v>55</v>
      </c>
      <c r="G356" s="1" t="s">
        <v>24</v>
      </c>
      <c r="H356">
        <v>0.1</v>
      </c>
      <c r="I356" s="1" t="s">
        <v>25</v>
      </c>
      <c r="J356" s="4">
        <v>6537.19</v>
      </c>
      <c r="K356" s="1" t="s">
        <v>26</v>
      </c>
      <c r="L356" s="1" t="s">
        <v>48</v>
      </c>
      <c r="M356">
        <v>0</v>
      </c>
      <c r="N356" s="1" t="s">
        <v>1178</v>
      </c>
      <c r="O356" s="1" t="s">
        <v>1179</v>
      </c>
      <c r="P356" s="4">
        <v>35.729999999999997</v>
      </c>
      <c r="Q356" s="2">
        <v>45392</v>
      </c>
      <c r="R356" s="1" t="s">
        <v>482</v>
      </c>
      <c r="S356" s="1" t="s">
        <v>42</v>
      </c>
      <c r="T356" s="1" t="s">
        <v>147</v>
      </c>
      <c r="U356" s="5">
        <f>product_sales_data__1[[#This Row],[TotalPrice]]-product_sales_data__1[[#This Row],[ShippingCost]]</f>
        <v>6501.46</v>
      </c>
      <c r="V356" s="5">
        <f>product_sales_data__1[[#This Row],[Quantity]]*product_sales_data__1[[#This Row],[UnitPrice]]*product_sales_data__1[[#This Row],[Discount]]</f>
        <v>726.35399999999993</v>
      </c>
    </row>
    <row r="357" spans="1:22" x14ac:dyDescent="0.3">
      <c r="A357" s="1" t="s">
        <v>1180</v>
      </c>
      <c r="B357" s="1" t="s">
        <v>34</v>
      </c>
      <c r="C357" s="1" t="s">
        <v>35</v>
      </c>
      <c r="D357">
        <v>2</v>
      </c>
      <c r="E357" s="4">
        <v>194.97</v>
      </c>
      <c r="F357" s="1" t="s">
        <v>84</v>
      </c>
      <c r="G357" s="1" t="s">
        <v>37</v>
      </c>
      <c r="H357">
        <v>0</v>
      </c>
      <c r="I357" s="1" t="s">
        <v>78</v>
      </c>
      <c r="J357" s="4">
        <v>389.94</v>
      </c>
      <c r="K357" s="1" t="s">
        <v>101</v>
      </c>
      <c r="L357" s="1" t="s">
        <v>58</v>
      </c>
      <c r="M357">
        <v>0</v>
      </c>
      <c r="N357" s="1" t="s">
        <v>1181</v>
      </c>
      <c r="O357" s="1" t="s">
        <v>575</v>
      </c>
      <c r="P357" s="4">
        <v>9.89</v>
      </c>
      <c r="Q357" s="2">
        <v>45748</v>
      </c>
      <c r="R357" s="1" t="s">
        <v>754</v>
      </c>
      <c r="S357" s="1" t="s">
        <v>42</v>
      </c>
      <c r="T357" s="1" t="s">
        <v>147</v>
      </c>
      <c r="U357" s="5">
        <f>product_sales_data__1[[#This Row],[TotalPrice]]-product_sales_data__1[[#This Row],[ShippingCost]]</f>
        <v>380.05</v>
      </c>
      <c r="V357" s="5">
        <f>product_sales_data__1[[#This Row],[Quantity]]*product_sales_data__1[[#This Row],[UnitPrice]]*product_sales_data__1[[#This Row],[Discount]]</f>
        <v>0</v>
      </c>
    </row>
    <row r="358" spans="1:22" x14ac:dyDescent="0.3">
      <c r="A358" s="1" t="s">
        <v>233</v>
      </c>
      <c r="B358" s="1" t="s">
        <v>54</v>
      </c>
      <c r="C358" s="1" t="s">
        <v>35</v>
      </c>
      <c r="D358">
        <v>12</v>
      </c>
      <c r="E358" s="4">
        <v>248.13</v>
      </c>
      <c r="F358" s="1" t="s">
        <v>84</v>
      </c>
      <c r="G358" s="1" t="s">
        <v>37</v>
      </c>
      <c r="H358">
        <v>0.05</v>
      </c>
      <c r="I358" s="1" t="s">
        <v>25</v>
      </c>
      <c r="J358" s="4">
        <v>2828.68</v>
      </c>
      <c r="K358" s="1" t="s">
        <v>47</v>
      </c>
      <c r="L358" s="1" t="s">
        <v>85</v>
      </c>
      <c r="M358">
        <v>0</v>
      </c>
      <c r="N358" s="1" t="s">
        <v>1182</v>
      </c>
      <c r="O358" s="1" t="s">
        <v>1183</v>
      </c>
      <c r="P358" s="4">
        <v>26.03</v>
      </c>
      <c r="Q358" s="2">
        <v>45604</v>
      </c>
      <c r="R358" s="1" t="s">
        <v>353</v>
      </c>
      <c r="S358" s="1" t="s">
        <v>62</v>
      </c>
      <c r="T358" s="1" t="s">
        <v>43</v>
      </c>
      <c r="U358" s="5">
        <f>product_sales_data__1[[#This Row],[TotalPrice]]-product_sales_data__1[[#This Row],[ShippingCost]]</f>
        <v>2802.6499999999996</v>
      </c>
      <c r="V358" s="5">
        <f>product_sales_data__1[[#This Row],[Quantity]]*product_sales_data__1[[#This Row],[UnitPrice]]*product_sales_data__1[[#This Row],[Discount]]</f>
        <v>148.87800000000001</v>
      </c>
    </row>
    <row r="359" spans="1:22" x14ac:dyDescent="0.3">
      <c r="A359" s="1" t="s">
        <v>297</v>
      </c>
      <c r="B359" s="1" t="s">
        <v>21</v>
      </c>
      <c r="C359" s="1" t="s">
        <v>127</v>
      </c>
      <c r="D359">
        <v>18</v>
      </c>
      <c r="E359" s="4">
        <v>382.01</v>
      </c>
      <c r="F359" s="1" t="s">
        <v>55</v>
      </c>
      <c r="G359" s="1" t="s">
        <v>24</v>
      </c>
      <c r="H359">
        <v>0.1</v>
      </c>
      <c r="I359" s="1" t="s">
        <v>25</v>
      </c>
      <c r="J359" s="4">
        <v>6188.56</v>
      </c>
      <c r="K359" s="1" t="s">
        <v>26</v>
      </c>
      <c r="L359" s="1" t="s">
        <v>58</v>
      </c>
      <c r="M359">
        <v>0</v>
      </c>
      <c r="N359" s="1" t="s">
        <v>1184</v>
      </c>
      <c r="O359" s="1" t="s">
        <v>1185</v>
      </c>
      <c r="P359" s="4">
        <v>36.549999999999997</v>
      </c>
      <c r="Q359" s="2">
        <v>45750</v>
      </c>
      <c r="R359" s="1" t="s">
        <v>460</v>
      </c>
      <c r="S359" s="1" t="s">
        <v>31</v>
      </c>
      <c r="T359" s="1" t="s">
        <v>147</v>
      </c>
      <c r="U359" s="5">
        <f>product_sales_data__1[[#This Row],[TotalPrice]]-product_sales_data__1[[#This Row],[ShippingCost]]</f>
        <v>6152.01</v>
      </c>
      <c r="V359" s="5">
        <f>product_sales_data__1[[#This Row],[Quantity]]*product_sales_data__1[[#This Row],[UnitPrice]]*product_sales_data__1[[#This Row],[Discount]]</f>
        <v>687.61800000000005</v>
      </c>
    </row>
    <row r="360" spans="1:22" x14ac:dyDescent="0.3">
      <c r="A360" s="1" t="s">
        <v>1032</v>
      </c>
      <c r="B360" s="1" t="s">
        <v>34</v>
      </c>
      <c r="C360" s="1" t="s">
        <v>35</v>
      </c>
      <c r="D360">
        <v>9</v>
      </c>
      <c r="E360" s="4">
        <v>251.43</v>
      </c>
      <c r="F360" s="1" t="s">
        <v>36</v>
      </c>
      <c r="G360" s="1" t="s">
        <v>37</v>
      </c>
      <c r="H360">
        <v>0.1</v>
      </c>
      <c r="I360" s="1" t="s">
        <v>56</v>
      </c>
      <c r="J360" s="4">
        <v>2036.58</v>
      </c>
      <c r="K360" s="1" t="s">
        <v>101</v>
      </c>
      <c r="L360" s="1" t="s">
        <v>48</v>
      </c>
      <c r="M360">
        <v>0</v>
      </c>
      <c r="N360" s="1" t="s">
        <v>1186</v>
      </c>
      <c r="O360" s="1" t="s">
        <v>1187</v>
      </c>
      <c r="P360" s="4">
        <v>22.57</v>
      </c>
      <c r="Q360" s="2">
        <v>45265</v>
      </c>
      <c r="R360" s="1" t="s">
        <v>112</v>
      </c>
      <c r="S360" s="1" t="s">
        <v>42</v>
      </c>
      <c r="T360" s="1" t="s">
        <v>76</v>
      </c>
      <c r="U360" s="5">
        <f>product_sales_data__1[[#This Row],[TotalPrice]]-product_sales_data__1[[#This Row],[ShippingCost]]</f>
        <v>2014.01</v>
      </c>
      <c r="V360" s="5">
        <f>product_sales_data__1[[#This Row],[Quantity]]*product_sales_data__1[[#This Row],[UnitPrice]]*product_sales_data__1[[#This Row],[Discount]]</f>
        <v>226.28700000000001</v>
      </c>
    </row>
    <row r="361" spans="1:22" x14ac:dyDescent="0.3">
      <c r="A361" s="1" t="s">
        <v>224</v>
      </c>
      <c r="B361" s="1" t="s">
        <v>34</v>
      </c>
      <c r="C361" s="1" t="s">
        <v>71</v>
      </c>
      <c r="D361">
        <v>4</v>
      </c>
      <c r="E361" s="4">
        <v>408.28</v>
      </c>
      <c r="F361" s="1" t="s">
        <v>84</v>
      </c>
      <c r="G361" s="1" t="s">
        <v>37</v>
      </c>
      <c r="H361">
        <v>0.15</v>
      </c>
      <c r="I361" s="1" t="s">
        <v>25</v>
      </c>
      <c r="J361" s="4">
        <v>1388.15</v>
      </c>
      <c r="K361" s="1" t="s">
        <v>47</v>
      </c>
      <c r="L361" s="1" t="s">
        <v>27</v>
      </c>
      <c r="M361">
        <v>0</v>
      </c>
      <c r="N361" s="1" t="s">
        <v>1188</v>
      </c>
      <c r="O361" s="1" t="s">
        <v>930</v>
      </c>
      <c r="P361" s="4">
        <v>5.38</v>
      </c>
      <c r="Q361" s="2">
        <v>45240</v>
      </c>
      <c r="R361" s="1" t="s">
        <v>1189</v>
      </c>
      <c r="S361" s="1" t="s">
        <v>42</v>
      </c>
      <c r="T361" s="1" t="s">
        <v>43</v>
      </c>
      <c r="U361" s="5">
        <f>product_sales_data__1[[#This Row],[TotalPrice]]-product_sales_data__1[[#This Row],[ShippingCost]]</f>
        <v>1382.77</v>
      </c>
      <c r="V361" s="5">
        <f>product_sales_data__1[[#This Row],[Quantity]]*product_sales_data__1[[#This Row],[UnitPrice]]*product_sales_data__1[[#This Row],[Discount]]</f>
        <v>244.96799999999996</v>
      </c>
    </row>
    <row r="362" spans="1:22" x14ac:dyDescent="0.3">
      <c r="A362" s="1" t="s">
        <v>285</v>
      </c>
      <c r="B362" s="1" t="s">
        <v>70</v>
      </c>
      <c r="C362" s="1" t="s">
        <v>71</v>
      </c>
      <c r="D362">
        <v>11</v>
      </c>
      <c r="E362" s="4">
        <v>321.72000000000003</v>
      </c>
      <c r="F362" s="1" t="s">
        <v>84</v>
      </c>
      <c r="G362" s="1" t="s">
        <v>37</v>
      </c>
      <c r="H362">
        <v>0.1</v>
      </c>
      <c r="I362" s="1" t="s">
        <v>46</v>
      </c>
      <c r="J362" s="4">
        <v>3185.03</v>
      </c>
      <c r="K362" s="1" t="s">
        <v>26</v>
      </c>
      <c r="L362" s="1" t="s">
        <v>27</v>
      </c>
      <c r="M362">
        <v>1</v>
      </c>
      <c r="N362" s="1" t="s">
        <v>1190</v>
      </c>
      <c r="O362" s="1" t="s">
        <v>1191</v>
      </c>
      <c r="P362" s="4">
        <v>17.940000000000001</v>
      </c>
      <c r="Q362" s="2">
        <v>44987</v>
      </c>
      <c r="R362" s="1" t="s">
        <v>437</v>
      </c>
      <c r="S362" s="1" t="s">
        <v>75</v>
      </c>
      <c r="T362" s="1" t="s">
        <v>98</v>
      </c>
      <c r="U362" s="5">
        <f>product_sales_data__1[[#This Row],[TotalPrice]]-product_sales_data__1[[#This Row],[ShippingCost]]</f>
        <v>3167.09</v>
      </c>
      <c r="V362" s="5">
        <f>product_sales_data__1[[#This Row],[Quantity]]*product_sales_data__1[[#This Row],[UnitPrice]]*product_sales_data__1[[#This Row],[Discount]]</f>
        <v>353.89200000000005</v>
      </c>
    </row>
    <row r="363" spans="1:22" x14ac:dyDescent="0.3">
      <c r="A363" s="1" t="s">
        <v>333</v>
      </c>
      <c r="B363" s="1" t="s">
        <v>21</v>
      </c>
      <c r="C363" s="1" t="s">
        <v>22</v>
      </c>
      <c r="D363">
        <v>5</v>
      </c>
      <c r="E363" s="4">
        <v>186.32</v>
      </c>
      <c r="F363" s="1" t="s">
        <v>84</v>
      </c>
      <c r="G363" s="1" t="s">
        <v>24</v>
      </c>
      <c r="H363">
        <v>0.1</v>
      </c>
      <c r="I363" s="1" t="s">
        <v>46</v>
      </c>
      <c r="J363" s="4">
        <v>838.44</v>
      </c>
      <c r="K363" s="1" t="s">
        <v>57</v>
      </c>
      <c r="L363" s="1" t="s">
        <v>27</v>
      </c>
      <c r="M363">
        <v>0</v>
      </c>
      <c r="N363" s="1" t="s">
        <v>1192</v>
      </c>
      <c r="O363" s="1" t="s">
        <v>1193</v>
      </c>
      <c r="P363" s="4">
        <v>17.09</v>
      </c>
      <c r="Q363" s="2">
        <v>45511</v>
      </c>
      <c r="R363" s="1" t="s">
        <v>1194</v>
      </c>
      <c r="S363" s="1" t="s">
        <v>31</v>
      </c>
      <c r="T363" s="1" t="s">
        <v>82</v>
      </c>
      <c r="U363" s="5">
        <f>product_sales_data__1[[#This Row],[TotalPrice]]-product_sales_data__1[[#This Row],[ShippingCost]]</f>
        <v>821.35</v>
      </c>
      <c r="V363" s="5">
        <f>product_sales_data__1[[#This Row],[Quantity]]*product_sales_data__1[[#This Row],[UnitPrice]]*product_sales_data__1[[#This Row],[Discount]]</f>
        <v>93.16</v>
      </c>
    </row>
    <row r="364" spans="1:22" x14ac:dyDescent="0.3">
      <c r="A364" s="1" t="s">
        <v>467</v>
      </c>
      <c r="B364" s="1" t="s">
        <v>34</v>
      </c>
      <c r="C364" s="1" t="s">
        <v>127</v>
      </c>
      <c r="D364">
        <v>13</v>
      </c>
      <c r="E364" s="4">
        <v>174.9</v>
      </c>
      <c r="F364" s="1" t="s">
        <v>84</v>
      </c>
      <c r="G364" s="1" t="s">
        <v>24</v>
      </c>
      <c r="H364">
        <v>0.15</v>
      </c>
      <c r="I364" s="1" t="s">
        <v>46</v>
      </c>
      <c r="J364" s="4">
        <v>1932.65</v>
      </c>
      <c r="K364" s="1" t="s">
        <v>26</v>
      </c>
      <c r="L364" s="1" t="s">
        <v>27</v>
      </c>
      <c r="M364">
        <v>0</v>
      </c>
      <c r="N364" s="1" t="s">
        <v>1195</v>
      </c>
      <c r="O364" s="1" t="s">
        <v>1196</v>
      </c>
      <c r="P364" s="4">
        <v>31.26</v>
      </c>
      <c r="Q364" s="2">
        <v>45180</v>
      </c>
      <c r="R364" s="1" t="s">
        <v>590</v>
      </c>
      <c r="S364" s="1" t="s">
        <v>42</v>
      </c>
      <c r="T364" s="1" t="s">
        <v>52</v>
      </c>
      <c r="U364" s="5">
        <f>product_sales_data__1[[#This Row],[TotalPrice]]-product_sales_data__1[[#This Row],[ShippingCost]]</f>
        <v>1901.39</v>
      </c>
      <c r="V364" s="5">
        <f>product_sales_data__1[[#This Row],[Quantity]]*product_sales_data__1[[#This Row],[UnitPrice]]*product_sales_data__1[[#This Row],[Discount]]</f>
        <v>341.05500000000001</v>
      </c>
    </row>
    <row r="365" spans="1:22" x14ac:dyDescent="0.3">
      <c r="A365" s="1" t="s">
        <v>582</v>
      </c>
      <c r="B365" s="1" t="s">
        <v>21</v>
      </c>
      <c r="C365" s="1" t="s">
        <v>35</v>
      </c>
      <c r="D365">
        <v>8</v>
      </c>
      <c r="E365" s="4">
        <v>419.13</v>
      </c>
      <c r="F365" s="1" t="s">
        <v>84</v>
      </c>
      <c r="G365" s="1" t="s">
        <v>37</v>
      </c>
      <c r="H365">
        <v>0.1</v>
      </c>
      <c r="I365" s="1" t="s">
        <v>25</v>
      </c>
      <c r="J365" s="4">
        <v>3017.74</v>
      </c>
      <c r="K365" s="1" t="s">
        <v>26</v>
      </c>
      <c r="L365" s="1" t="s">
        <v>48</v>
      </c>
      <c r="M365">
        <v>1</v>
      </c>
      <c r="N365" s="1" t="s">
        <v>1197</v>
      </c>
      <c r="O365" s="1" t="s">
        <v>1198</v>
      </c>
      <c r="P365" s="4">
        <v>11.02</v>
      </c>
      <c r="Q365" s="2">
        <v>45084</v>
      </c>
      <c r="R365" s="1" t="s">
        <v>1199</v>
      </c>
      <c r="S365" s="1" t="s">
        <v>31</v>
      </c>
      <c r="T365" s="1" t="s">
        <v>105</v>
      </c>
      <c r="U365" s="5">
        <f>product_sales_data__1[[#This Row],[TotalPrice]]-product_sales_data__1[[#This Row],[ShippingCost]]</f>
        <v>3006.72</v>
      </c>
      <c r="V365" s="5">
        <f>product_sales_data__1[[#This Row],[Quantity]]*product_sales_data__1[[#This Row],[UnitPrice]]*product_sales_data__1[[#This Row],[Discount]]</f>
        <v>335.30400000000003</v>
      </c>
    </row>
    <row r="366" spans="1:22" x14ac:dyDescent="0.3">
      <c r="A366" s="1" t="s">
        <v>326</v>
      </c>
      <c r="B366" s="1" t="s">
        <v>54</v>
      </c>
      <c r="C366" s="1" t="s">
        <v>109</v>
      </c>
      <c r="D366">
        <v>11</v>
      </c>
      <c r="E366" s="4">
        <v>155.49</v>
      </c>
      <c r="F366" s="1" t="s">
        <v>55</v>
      </c>
      <c r="G366" s="1" t="s">
        <v>37</v>
      </c>
      <c r="H366">
        <v>0.05</v>
      </c>
      <c r="I366" s="1" t="s">
        <v>56</v>
      </c>
      <c r="J366" s="4">
        <v>1624.87</v>
      </c>
      <c r="K366" s="1" t="s">
        <v>47</v>
      </c>
      <c r="L366" s="1" t="s">
        <v>48</v>
      </c>
      <c r="M366">
        <v>0</v>
      </c>
      <c r="N366" s="1" t="s">
        <v>1200</v>
      </c>
      <c r="O366" s="1" t="s">
        <v>1201</v>
      </c>
      <c r="P366" s="4">
        <v>47.01</v>
      </c>
      <c r="Q366" s="2">
        <v>45690</v>
      </c>
      <c r="R366" s="1" t="s">
        <v>277</v>
      </c>
      <c r="S366" s="1" t="s">
        <v>62</v>
      </c>
      <c r="T366" s="1" t="s">
        <v>199</v>
      </c>
      <c r="U366" s="5">
        <f>product_sales_data__1[[#This Row],[TotalPrice]]-product_sales_data__1[[#This Row],[ShippingCost]]</f>
        <v>1577.86</v>
      </c>
      <c r="V366" s="5">
        <f>product_sales_data__1[[#This Row],[Quantity]]*product_sales_data__1[[#This Row],[UnitPrice]]*product_sales_data__1[[#This Row],[Discount]]</f>
        <v>85.519500000000008</v>
      </c>
    </row>
    <row r="367" spans="1:22" x14ac:dyDescent="0.3">
      <c r="A367" s="1" t="s">
        <v>630</v>
      </c>
      <c r="B367" s="1" t="s">
        <v>34</v>
      </c>
      <c r="C367" s="1" t="s">
        <v>140</v>
      </c>
      <c r="D367">
        <v>20</v>
      </c>
      <c r="E367" s="4">
        <v>270.2</v>
      </c>
      <c r="F367" s="1" t="s">
        <v>84</v>
      </c>
      <c r="G367" s="1" t="s">
        <v>24</v>
      </c>
      <c r="H367">
        <v>0</v>
      </c>
      <c r="I367" s="1" t="s">
        <v>78</v>
      </c>
      <c r="J367" s="4">
        <v>5404</v>
      </c>
      <c r="K367" s="1" t="s">
        <v>101</v>
      </c>
      <c r="L367" s="1" t="s">
        <v>27</v>
      </c>
      <c r="M367">
        <v>0</v>
      </c>
      <c r="N367" s="1" t="s">
        <v>1202</v>
      </c>
      <c r="O367" s="1" t="s">
        <v>1203</v>
      </c>
      <c r="P367" s="4">
        <v>6.8</v>
      </c>
      <c r="Q367" s="2">
        <v>45448</v>
      </c>
      <c r="R367" s="1" t="s">
        <v>1204</v>
      </c>
      <c r="S367" s="1" t="s">
        <v>42</v>
      </c>
      <c r="T367" s="1" t="s">
        <v>105</v>
      </c>
      <c r="U367" s="5">
        <f>product_sales_data__1[[#This Row],[TotalPrice]]-product_sales_data__1[[#This Row],[ShippingCost]]</f>
        <v>5397.2</v>
      </c>
      <c r="V367" s="5">
        <f>product_sales_data__1[[#This Row],[Quantity]]*product_sales_data__1[[#This Row],[UnitPrice]]*product_sales_data__1[[#This Row],[Discount]]</f>
        <v>0</v>
      </c>
    </row>
    <row r="368" spans="1:22" x14ac:dyDescent="0.3">
      <c r="A368" s="1" t="s">
        <v>1205</v>
      </c>
      <c r="B368" s="1" t="s">
        <v>54</v>
      </c>
      <c r="C368" s="1" t="s">
        <v>35</v>
      </c>
      <c r="D368">
        <v>19</v>
      </c>
      <c r="E368" s="4">
        <v>344.92</v>
      </c>
      <c r="F368" s="1" t="s">
        <v>36</v>
      </c>
      <c r="G368" s="1" t="s">
        <v>24</v>
      </c>
      <c r="H368">
        <v>0</v>
      </c>
      <c r="I368" s="1" t="s">
        <v>65</v>
      </c>
      <c r="J368" s="4">
        <v>6553.48</v>
      </c>
      <c r="K368" s="1" t="s">
        <v>47</v>
      </c>
      <c r="L368" s="1" t="s">
        <v>27</v>
      </c>
      <c r="M368">
        <v>0</v>
      </c>
      <c r="N368" s="1" t="s">
        <v>1206</v>
      </c>
      <c r="O368" s="1" t="s">
        <v>1207</v>
      </c>
      <c r="P368" s="4">
        <v>6.91</v>
      </c>
      <c r="Q368" s="2">
        <v>45600</v>
      </c>
      <c r="R368" s="1" t="s">
        <v>1208</v>
      </c>
      <c r="S368" s="1" t="s">
        <v>62</v>
      </c>
      <c r="T368" s="1" t="s">
        <v>43</v>
      </c>
      <c r="U368" s="5">
        <f>product_sales_data__1[[#This Row],[TotalPrice]]-product_sales_data__1[[#This Row],[ShippingCost]]</f>
        <v>6546.57</v>
      </c>
      <c r="V368" s="5">
        <f>product_sales_data__1[[#This Row],[Quantity]]*product_sales_data__1[[#This Row],[UnitPrice]]*product_sales_data__1[[#This Row],[Discount]]</f>
        <v>0</v>
      </c>
    </row>
    <row r="369" spans="1:22" x14ac:dyDescent="0.3">
      <c r="A369" s="1" t="s">
        <v>200</v>
      </c>
      <c r="B369" s="1" t="s">
        <v>45</v>
      </c>
      <c r="C369" s="1" t="s">
        <v>35</v>
      </c>
      <c r="D369">
        <v>7</v>
      </c>
      <c r="E369" s="4">
        <v>511.46</v>
      </c>
      <c r="F369" s="1" t="s">
        <v>36</v>
      </c>
      <c r="G369" s="1" t="s">
        <v>37</v>
      </c>
      <c r="H369">
        <v>0.1</v>
      </c>
      <c r="I369" s="1" t="s">
        <v>65</v>
      </c>
      <c r="J369" s="4">
        <v>3222.2</v>
      </c>
      <c r="K369" s="1" t="s">
        <v>47</v>
      </c>
      <c r="L369" s="1" t="s">
        <v>85</v>
      </c>
      <c r="M369">
        <v>0</v>
      </c>
      <c r="N369" s="1" t="s">
        <v>1209</v>
      </c>
      <c r="O369" s="1" t="s">
        <v>1210</v>
      </c>
      <c r="P369" s="4">
        <v>19.2</v>
      </c>
      <c r="Q369" s="2">
        <v>45356</v>
      </c>
      <c r="R369" s="1" t="s">
        <v>203</v>
      </c>
      <c r="S369" s="1" t="s">
        <v>51</v>
      </c>
      <c r="T369" s="1" t="s">
        <v>98</v>
      </c>
      <c r="U369" s="5">
        <f>product_sales_data__1[[#This Row],[TotalPrice]]-product_sales_data__1[[#This Row],[ShippingCost]]</f>
        <v>3203</v>
      </c>
      <c r="V369" s="5">
        <f>product_sales_data__1[[#This Row],[Quantity]]*product_sales_data__1[[#This Row],[UnitPrice]]*product_sales_data__1[[#This Row],[Discount]]</f>
        <v>358.02199999999999</v>
      </c>
    </row>
    <row r="370" spans="1:22" x14ac:dyDescent="0.3">
      <c r="A370" s="1" t="s">
        <v>511</v>
      </c>
      <c r="B370" s="1" t="s">
        <v>54</v>
      </c>
      <c r="C370" s="1" t="s">
        <v>71</v>
      </c>
      <c r="D370">
        <v>8</v>
      </c>
      <c r="E370" s="4">
        <v>158.02000000000001</v>
      </c>
      <c r="F370" s="1" t="s">
        <v>36</v>
      </c>
      <c r="G370" s="1" t="s">
        <v>24</v>
      </c>
      <c r="H370">
        <v>0.15</v>
      </c>
      <c r="I370" s="1" t="s">
        <v>78</v>
      </c>
      <c r="J370" s="4">
        <v>1074.54</v>
      </c>
      <c r="K370" s="1" t="s">
        <v>101</v>
      </c>
      <c r="L370" s="1" t="s">
        <v>85</v>
      </c>
      <c r="M370">
        <v>0</v>
      </c>
      <c r="N370" s="1" t="s">
        <v>1211</v>
      </c>
      <c r="O370" s="1" t="s">
        <v>1212</v>
      </c>
      <c r="P370" s="4">
        <v>47.43</v>
      </c>
      <c r="Q370" s="2">
        <v>45506</v>
      </c>
      <c r="R370" s="1" t="s">
        <v>1213</v>
      </c>
      <c r="S370" s="1" t="s">
        <v>62</v>
      </c>
      <c r="T370" s="1" t="s">
        <v>82</v>
      </c>
      <c r="U370" s="5">
        <f>product_sales_data__1[[#This Row],[TotalPrice]]-product_sales_data__1[[#This Row],[ShippingCost]]</f>
        <v>1027.1099999999999</v>
      </c>
      <c r="V370" s="5">
        <f>product_sales_data__1[[#This Row],[Quantity]]*product_sales_data__1[[#This Row],[UnitPrice]]*product_sales_data__1[[#This Row],[Discount]]</f>
        <v>189.624</v>
      </c>
    </row>
    <row r="371" spans="1:22" x14ac:dyDescent="0.3">
      <c r="A371" s="1" t="s">
        <v>20</v>
      </c>
      <c r="B371" s="1" t="s">
        <v>45</v>
      </c>
      <c r="C371" s="1" t="s">
        <v>109</v>
      </c>
      <c r="D371">
        <v>2</v>
      </c>
      <c r="E371" s="4">
        <v>536.17999999999995</v>
      </c>
      <c r="F371" s="1" t="s">
        <v>23</v>
      </c>
      <c r="G371" s="1" t="s">
        <v>37</v>
      </c>
      <c r="H371">
        <v>0.1</v>
      </c>
      <c r="I371" s="1" t="s">
        <v>56</v>
      </c>
      <c r="J371" s="4">
        <v>965.12</v>
      </c>
      <c r="K371" s="1" t="s">
        <v>101</v>
      </c>
      <c r="L371" s="1" t="s">
        <v>85</v>
      </c>
      <c r="M371">
        <v>0</v>
      </c>
      <c r="N371" s="1" t="s">
        <v>1214</v>
      </c>
      <c r="O371" s="1" t="s">
        <v>1215</v>
      </c>
      <c r="P371" s="4">
        <v>34.75</v>
      </c>
      <c r="Q371" s="2">
        <v>45204</v>
      </c>
      <c r="R371" s="1" t="s">
        <v>925</v>
      </c>
      <c r="S371" s="1" t="s">
        <v>51</v>
      </c>
      <c r="T371" s="1" t="s">
        <v>32</v>
      </c>
      <c r="U371" s="5">
        <f>product_sales_data__1[[#This Row],[TotalPrice]]-product_sales_data__1[[#This Row],[ShippingCost]]</f>
        <v>930.37</v>
      </c>
      <c r="V371" s="5">
        <f>product_sales_data__1[[#This Row],[Quantity]]*product_sales_data__1[[#This Row],[UnitPrice]]*product_sales_data__1[[#This Row],[Discount]]</f>
        <v>107.23599999999999</v>
      </c>
    </row>
    <row r="372" spans="1:22" x14ac:dyDescent="0.3">
      <c r="A372" s="1" t="s">
        <v>93</v>
      </c>
      <c r="B372" s="1" t="s">
        <v>21</v>
      </c>
      <c r="C372" s="1" t="s">
        <v>35</v>
      </c>
      <c r="D372">
        <v>16</v>
      </c>
      <c r="E372" s="4">
        <v>571.26</v>
      </c>
      <c r="F372" s="1" t="s">
        <v>36</v>
      </c>
      <c r="G372" s="1" t="s">
        <v>24</v>
      </c>
      <c r="H372">
        <v>0.15</v>
      </c>
      <c r="I372" s="1" t="s">
        <v>94</v>
      </c>
      <c r="J372" s="4">
        <v>7769.14</v>
      </c>
      <c r="K372" s="1" t="s">
        <v>57</v>
      </c>
      <c r="L372" s="1" t="s">
        <v>58</v>
      </c>
      <c r="M372">
        <v>0</v>
      </c>
      <c r="N372" s="1" t="s">
        <v>1216</v>
      </c>
      <c r="O372" s="1" t="s">
        <v>1217</v>
      </c>
      <c r="P372" s="4">
        <v>6.13</v>
      </c>
      <c r="Q372" s="2">
        <v>44988</v>
      </c>
      <c r="R372" s="1" t="s">
        <v>916</v>
      </c>
      <c r="S372" s="1" t="s">
        <v>31</v>
      </c>
      <c r="T372" s="1" t="s">
        <v>98</v>
      </c>
      <c r="U372" s="5">
        <f>product_sales_data__1[[#This Row],[TotalPrice]]-product_sales_data__1[[#This Row],[ShippingCost]]</f>
        <v>7763.01</v>
      </c>
      <c r="V372" s="5">
        <f>product_sales_data__1[[#This Row],[Quantity]]*product_sales_data__1[[#This Row],[UnitPrice]]*product_sales_data__1[[#This Row],[Discount]]</f>
        <v>1371.0239999999999</v>
      </c>
    </row>
    <row r="373" spans="1:22" x14ac:dyDescent="0.3">
      <c r="A373" s="1" t="s">
        <v>1218</v>
      </c>
      <c r="B373" s="1" t="s">
        <v>21</v>
      </c>
      <c r="C373" s="1" t="s">
        <v>71</v>
      </c>
      <c r="D373">
        <v>11</v>
      </c>
      <c r="E373" s="4">
        <v>546.57000000000005</v>
      </c>
      <c r="F373" s="1" t="s">
        <v>55</v>
      </c>
      <c r="G373" s="1" t="s">
        <v>37</v>
      </c>
      <c r="H373">
        <v>0.15</v>
      </c>
      <c r="I373" s="1" t="s">
        <v>94</v>
      </c>
      <c r="J373" s="4">
        <v>5110.43</v>
      </c>
      <c r="K373" s="1" t="s">
        <v>101</v>
      </c>
      <c r="L373" s="1" t="s">
        <v>58</v>
      </c>
      <c r="M373">
        <v>1</v>
      </c>
      <c r="N373" s="1" t="s">
        <v>1219</v>
      </c>
      <c r="O373" s="1" t="s">
        <v>1220</v>
      </c>
      <c r="P373" s="4">
        <v>24.77</v>
      </c>
      <c r="Q373" s="2">
        <v>44961</v>
      </c>
      <c r="R373" s="1" t="s">
        <v>1221</v>
      </c>
      <c r="S373" s="1" t="s">
        <v>31</v>
      </c>
      <c r="T373" s="1" t="s">
        <v>199</v>
      </c>
      <c r="U373" s="5">
        <f>product_sales_data__1[[#This Row],[TotalPrice]]-product_sales_data__1[[#This Row],[ShippingCost]]</f>
        <v>5085.66</v>
      </c>
      <c r="V373" s="5">
        <f>product_sales_data__1[[#This Row],[Quantity]]*product_sales_data__1[[#This Row],[UnitPrice]]*product_sales_data__1[[#This Row],[Discount]]</f>
        <v>901.84050000000002</v>
      </c>
    </row>
    <row r="374" spans="1:22" x14ac:dyDescent="0.3">
      <c r="A374" s="1" t="s">
        <v>643</v>
      </c>
      <c r="B374" s="1" t="s">
        <v>34</v>
      </c>
      <c r="C374" s="1" t="s">
        <v>127</v>
      </c>
      <c r="D374">
        <v>7</v>
      </c>
      <c r="E374" s="4">
        <v>368.27</v>
      </c>
      <c r="F374" s="1" t="s">
        <v>36</v>
      </c>
      <c r="G374" s="1" t="s">
        <v>24</v>
      </c>
      <c r="H374">
        <v>0.15</v>
      </c>
      <c r="I374" s="1" t="s">
        <v>46</v>
      </c>
      <c r="J374" s="4">
        <v>2191.21</v>
      </c>
      <c r="K374" s="1" t="s">
        <v>26</v>
      </c>
      <c r="L374" s="1" t="s">
        <v>27</v>
      </c>
      <c r="M374">
        <v>0</v>
      </c>
      <c r="N374" s="1" t="s">
        <v>1222</v>
      </c>
      <c r="O374" s="1" t="s">
        <v>1223</v>
      </c>
      <c r="P374" s="4">
        <v>28.98</v>
      </c>
      <c r="Q374" s="2">
        <v>45210</v>
      </c>
      <c r="R374" s="1" t="s">
        <v>1224</v>
      </c>
      <c r="S374" s="1" t="s">
        <v>42</v>
      </c>
      <c r="T374" s="1" t="s">
        <v>32</v>
      </c>
      <c r="U374" s="5">
        <f>product_sales_data__1[[#This Row],[TotalPrice]]-product_sales_data__1[[#This Row],[ShippingCost]]</f>
        <v>2162.23</v>
      </c>
      <c r="V374" s="5">
        <f>product_sales_data__1[[#This Row],[Quantity]]*product_sales_data__1[[#This Row],[UnitPrice]]*product_sales_data__1[[#This Row],[Discount]]</f>
        <v>386.68349999999998</v>
      </c>
    </row>
    <row r="375" spans="1:22" x14ac:dyDescent="0.3">
      <c r="A375" s="1" t="s">
        <v>1225</v>
      </c>
      <c r="B375" s="1" t="s">
        <v>21</v>
      </c>
      <c r="C375" s="1" t="s">
        <v>22</v>
      </c>
      <c r="D375">
        <v>2</v>
      </c>
      <c r="E375" s="4">
        <v>239.04</v>
      </c>
      <c r="F375" s="1" t="s">
        <v>84</v>
      </c>
      <c r="G375" s="1" t="s">
        <v>24</v>
      </c>
      <c r="H375">
        <v>0</v>
      </c>
      <c r="I375" s="1" t="s">
        <v>94</v>
      </c>
      <c r="J375" s="4">
        <v>478.08</v>
      </c>
      <c r="K375" s="1" t="s">
        <v>38</v>
      </c>
      <c r="L375" s="1" t="s">
        <v>58</v>
      </c>
      <c r="M375">
        <v>1</v>
      </c>
      <c r="N375" s="1" t="s">
        <v>1226</v>
      </c>
      <c r="O375" s="1" t="s">
        <v>1227</v>
      </c>
      <c r="P375" s="4">
        <v>43.84</v>
      </c>
      <c r="Q375" s="2">
        <v>45385</v>
      </c>
      <c r="R375" s="1" t="s">
        <v>883</v>
      </c>
      <c r="S375" s="1" t="s">
        <v>31</v>
      </c>
      <c r="T375" s="1" t="s">
        <v>147</v>
      </c>
      <c r="U375" s="5">
        <f>product_sales_data__1[[#This Row],[TotalPrice]]-product_sales_data__1[[#This Row],[ShippingCost]]</f>
        <v>434.24</v>
      </c>
      <c r="V375" s="5">
        <f>product_sales_data__1[[#This Row],[Quantity]]*product_sales_data__1[[#This Row],[UnitPrice]]*product_sales_data__1[[#This Row],[Discount]]</f>
        <v>0</v>
      </c>
    </row>
    <row r="376" spans="1:22" x14ac:dyDescent="0.3">
      <c r="A376" s="1" t="s">
        <v>788</v>
      </c>
      <c r="B376" s="1" t="s">
        <v>34</v>
      </c>
      <c r="C376" s="1" t="s">
        <v>100</v>
      </c>
      <c r="D376">
        <v>14</v>
      </c>
      <c r="E376" s="4">
        <v>362.44</v>
      </c>
      <c r="F376" s="1" t="s">
        <v>36</v>
      </c>
      <c r="G376" s="1" t="s">
        <v>24</v>
      </c>
      <c r="H376">
        <v>0.1</v>
      </c>
      <c r="I376" s="1" t="s">
        <v>94</v>
      </c>
      <c r="J376" s="4">
        <v>4566.74</v>
      </c>
      <c r="K376" s="1" t="s">
        <v>47</v>
      </c>
      <c r="L376" s="1" t="s">
        <v>27</v>
      </c>
      <c r="M376">
        <v>0</v>
      </c>
      <c r="N376" s="1" t="s">
        <v>1228</v>
      </c>
      <c r="O376" s="1" t="s">
        <v>1229</v>
      </c>
      <c r="P376" s="4">
        <v>36.729999999999997</v>
      </c>
      <c r="Q376" s="2">
        <v>45237</v>
      </c>
      <c r="R376" s="1" t="s">
        <v>1230</v>
      </c>
      <c r="S376" s="1" t="s">
        <v>42</v>
      </c>
      <c r="T376" s="1" t="s">
        <v>43</v>
      </c>
      <c r="U376" s="5">
        <f>product_sales_data__1[[#This Row],[TotalPrice]]-product_sales_data__1[[#This Row],[ShippingCost]]</f>
        <v>4530.01</v>
      </c>
      <c r="V376" s="5">
        <f>product_sales_data__1[[#This Row],[Quantity]]*product_sales_data__1[[#This Row],[UnitPrice]]*product_sales_data__1[[#This Row],[Discount]]</f>
        <v>507.416</v>
      </c>
    </row>
    <row r="377" spans="1:22" x14ac:dyDescent="0.3">
      <c r="A377" s="1" t="s">
        <v>361</v>
      </c>
      <c r="B377" s="1" t="s">
        <v>34</v>
      </c>
      <c r="C377" s="1" t="s">
        <v>71</v>
      </c>
      <c r="D377">
        <v>16</v>
      </c>
      <c r="E377" s="4">
        <v>144.07</v>
      </c>
      <c r="F377" s="1" t="s">
        <v>55</v>
      </c>
      <c r="G377" s="1" t="s">
        <v>24</v>
      </c>
      <c r="H377">
        <v>0.1</v>
      </c>
      <c r="I377" s="1" t="s">
        <v>65</v>
      </c>
      <c r="J377" s="4">
        <v>2074.61</v>
      </c>
      <c r="K377" s="1" t="s">
        <v>38</v>
      </c>
      <c r="L377" s="1" t="s">
        <v>85</v>
      </c>
      <c r="M377">
        <v>0</v>
      </c>
      <c r="N377" s="1" t="s">
        <v>1231</v>
      </c>
      <c r="O377" s="1" t="s">
        <v>1232</v>
      </c>
      <c r="P377" s="4">
        <v>7.33</v>
      </c>
      <c r="Q377" s="2">
        <v>45116</v>
      </c>
      <c r="R377" s="1" t="s">
        <v>928</v>
      </c>
      <c r="S377" s="1" t="s">
        <v>42</v>
      </c>
      <c r="T377" s="1" t="s">
        <v>117</v>
      </c>
      <c r="U377" s="5">
        <f>product_sales_data__1[[#This Row],[TotalPrice]]-product_sales_data__1[[#This Row],[ShippingCost]]</f>
        <v>2067.2800000000002</v>
      </c>
      <c r="V377" s="5">
        <f>product_sales_data__1[[#This Row],[Quantity]]*product_sales_data__1[[#This Row],[UnitPrice]]*product_sales_data__1[[#This Row],[Discount]]</f>
        <v>230.512</v>
      </c>
    </row>
    <row r="378" spans="1:22" x14ac:dyDescent="0.3">
      <c r="A378" s="1" t="s">
        <v>1233</v>
      </c>
      <c r="B378" s="1" t="s">
        <v>54</v>
      </c>
      <c r="C378" s="1" t="s">
        <v>127</v>
      </c>
      <c r="D378">
        <v>11</v>
      </c>
      <c r="E378" s="4">
        <v>201.09</v>
      </c>
      <c r="F378" s="1" t="s">
        <v>36</v>
      </c>
      <c r="G378" s="1" t="s">
        <v>37</v>
      </c>
      <c r="H378">
        <v>0.15</v>
      </c>
      <c r="I378" s="1" t="s">
        <v>46</v>
      </c>
      <c r="J378" s="4">
        <v>1880.19</v>
      </c>
      <c r="K378" s="1" t="s">
        <v>47</v>
      </c>
      <c r="L378" s="1" t="s">
        <v>48</v>
      </c>
      <c r="M378">
        <v>1</v>
      </c>
      <c r="N378" s="1" t="s">
        <v>1234</v>
      </c>
      <c r="O378" s="1" t="s">
        <v>1235</v>
      </c>
      <c r="P378" s="4">
        <v>48.42</v>
      </c>
      <c r="Q378" s="2">
        <v>45293</v>
      </c>
      <c r="R378" s="1" t="s">
        <v>1236</v>
      </c>
      <c r="S378" s="1" t="s">
        <v>62</v>
      </c>
      <c r="T378" s="1" t="s">
        <v>187</v>
      </c>
      <c r="U378" s="5">
        <f>product_sales_data__1[[#This Row],[TotalPrice]]-product_sales_data__1[[#This Row],[ShippingCost]]</f>
        <v>1831.77</v>
      </c>
      <c r="V378" s="5">
        <f>product_sales_data__1[[#This Row],[Quantity]]*product_sales_data__1[[#This Row],[UnitPrice]]*product_sales_data__1[[#This Row],[Discount]]</f>
        <v>331.79850000000005</v>
      </c>
    </row>
    <row r="379" spans="1:22" x14ac:dyDescent="0.3">
      <c r="A379" s="1" t="s">
        <v>126</v>
      </c>
      <c r="B379" s="1" t="s">
        <v>34</v>
      </c>
      <c r="C379" s="1" t="s">
        <v>35</v>
      </c>
      <c r="D379">
        <v>11</v>
      </c>
      <c r="E379" s="4">
        <v>585.45000000000005</v>
      </c>
      <c r="F379" s="1" t="s">
        <v>55</v>
      </c>
      <c r="G379" s="1" t="s">
        <v>24</v>
      </c>
      <c r="H379">
        <v>0.1</v>
      </c>
      <c r="I379" s="1" t="s">
        <v>25</v>
      </c>
      <c r="J379" s="4">
        <v>5795.96</v>
      </c>
      <c r="K379" s="1" t="s">
        <v>101</v>
      </c>
      <c r="L379" s="1" t="s">
        <v>27</v>
      </c>
      <c r="M379">
        <v>0</v>
      </c>
      <c r="N379" s="1" t="s">
        <v>1237</v>
      </c>
      <c r="O379" s="1" t="s">
        <v>1238</v>
      </c>
      <c r="P379" s="4">
        <v>36.590000000000003</v>
      </c>
      <c r="Q379" s="2">
        <v>45874</v>
      </c>
      <c r="R379" s="1" t="s">
        <v>130</v>
      </c>
      <c r="S379" s="1" t="s">
        <v>42</v>
      </c>
      <c r="T379" s="1" t="s">
        <v>82</v>
      </c>
      <c r="U379" s="5">
        <f>product_sales_data__1[[#This Row],[TotalPrice]]-product_sales_data__1[[#This Row],[ShippingCost]]</f>
        <v>5759.37</v>
      </c>
      <c r="V379" s="5">
        <f>product_sales_data__1[[#This Row],[Quantity]]*product_sales_data__1[[#This Row],[UnitPrice]]*product_sales_data__1[[#This Row],[Discount]]</f>
        <v>643.99500000000012</v>
      </c>
    </row>
    <row r="380" spans="1:22" x14ac:dyDescent="0.3">
      <c r="A380" s="1" t="s">
        <v>795</v>
      </c>
      <c r="B380" s="1" t="s">
        <v>70</v>
      </c>
      <c r="C380" s="1" t="s">
        <v>127</v>
      </c>
      <c r="D380">
        <v>9</v>
      </c>
      <c r="E380" s="4">
        <v>184.43</v>
      </c>
      <c r="F380" s="1" t="s">
        <v>55</v>
      </c>
      <c r="G380" s="1" t="s">
        <v>24</v>
      </c>
      <c r="H380">
        <v>0</v>
      </c>
      <c r="I380" s="1" t="s">
        <v>46</v>
      </c>
      <c r="J380" s="4">
        <v>1659.87</v>
      </c>
      <c r="K380" s="1" t="s">
        <v>26</v>
      </c>
      <c r="L380" s="1" t="s">
        <v>27</v>
      </c>
      <c r="M380">
        <v>0</v>
      </c>
      <c r="N380" s="1" t="s">
        <v>1239</v>
      </c>
      <c r="O380" s="1" t="s">
        <v>1240</v>
      </c>
      <c r="P380" s="4">
        <v>30.78</v>
      </c>
      <c r="Q380" s="2">
        <v>44966</v>
      </c>
      <c r="R380" s="1" t="s">
        <v>450</v>
      </c>
      <c r="S380" s="1" t="s">
        <v>75</v>
      </c>
      <c r="T380" s="1" t="s">
        <v>199</v>
      </c>
      <c r="U380" s="5">
        <f>product_sales_data__1[[#This Row],[TotalPrice]]-product_sales_data__1[[#This Row],[ShippingCost]]</f>
        <v>1629.09</v>
      </c>
      <c r="V380" s="5">
        <f>product_sales_data__1[[#This Row],[Quantity]]*product_sales_data__1[[#This Row],[UnitPrice]]*product_sales_data__1[[#This Row],[Discount]]</f>
        <v>0</v>
      </c>
    </row>
    <row r="381" spans="1:22" x14ac:dyDescent="0.3">
      <c r="A381" s="1" t="s">
        <v>1241</v>
      </c>
      <c r="B381" s="1" t="s">
        <v>45</v>
      </c>
      <c r="C381" s="1" t="s">
        <v>127</v>
      </c>
      <c r="D381">
        <v>2</v>
      </c>
      <c r="E381" s="4">
        <v>494.22</v>
      </c>
      <c r="F381" s="1" t="s">
        <v>36</v>
      </c>
      <c r="G381" s="1" t="s">
        <v>37</v>
      </c>
      <c r="H381">
        <v>0.1</v>
      </c>
      <c r="I381" s="1" t="s">
        <v>46</v>
      </c>
      <c r="J381" s="4">
        <v>889.6</v>
      </c>
      <c r="K381" s="1" t="s">
        <v>57</v>
      </c>
      <c r="L381" s="1" t="s">
        <v>85</v>
      </c>
      <c r="M381">
        <v>0</v>
      </c>
      <c r="N381" s="1" t="s">
        <v>1242</v>
      </c>
      <c r="O381" s="1" t="s">
        <v>1243</v>
      </c>
      <c r="P381" s="4">
        <v>13.45</v>
      </c>
      <c r="Q381" s="2">
        <v>45638</v>
      </c>
      <c r="R381" s="1" t="s">
        <v>1244</v>
      </c>
      <c r="S381" s="1" t="s">
        <v>51</v>
      </c>
      <c r="T381" s="1" t="s">
        <v>76</v>
      </c>
      <c r="U381" s="5">
        <f>product_sales_data__1[[#This Row],[TotalPrice]]-product_sales_data__1[[#This Row],[ShippingCost]]</f>
        <v>876.15</v>
      </c>
      <c r="V381" s="5">
        <f>product_sales_data__1[[#This Row],[Quantity]]*product_sales_data__1[[#This Row],[UnitPrice]]*product_sales_data__1[[#This Row],[Discount]]</f>
        <v>98.844000000000008</v>
      </c>
    </row>
    <row r="382" spans="1:22" x14ac:dyDescent="0.3">
      <c r="A382" s="1" t="s">
        <v>644</v>
      </c>
      <c r="B382" s="1" t="s">
        <v>21</v>
      </c>
      <c r="C382" s="1" t="s">
        <v>22</v>
      </c>
      <c r="D382">
        <v>12</v>
      </c>
      <c r="E382" s="4">
        <v>465.94</v>
      </c>
      <c r="F382" s="1" t="s">
        <v>55</v>
      </c>
      <c r="G382" s="1" t="s">
        <v>24</v>
      </c>
      <c r="H382">
        <v>0</v>
      </c>
      <c r="I382" s="1" t="s">
        <v>25</v>
      </c>
      <c r="J382" s="4">
        <v>5591.28</v>
      </c>
      <c r="K382" s="1" t="s">
        <v>101</v>
      </c>
      <c r="L382" s="1" t="s">
        <v>27</v>
      </c>
      <c r="M382">
        <v>0</v>
      </c>
      <c r="N382" s="1" t="s">
        <v>1245</v>
      </c>
      <c r="O382" s="1" t="s">
        <v>1246</v>
      </c>
      <c r="P382" s="4">
        <v>34.159999999999997</v>
      </c>
      <c r="Q382" s="2">
        <v>45332</v>
      </c>
      <c r="R382" s="1" t="s">
        <v>647</v>
      </c>
      <c r="S382" s="1" t="s">
        <v>31</v>
      </c>
      <c r="T382" s="1" t="s">
        <v>199</v>
      </c>
      <c r="U382" s="5">
        <f>product_sales_data__1[[#This Row],[TotalPrice]]-product_sales_data__1[[#This Row],[ShippingCost]]</f>
        <v>5557.12</v>
      </c>
      <c r="V382" s="5">
        <f>product_sales_data__1[[#This Row],[Quantity]]*product_sales_data__1[[#This Row],[UnitPrice]]*product_sales_data__1[[#This Row],[Discount]]</f>
        <v>0</v>
      </c>
    </row>
    <row r="383" spans="1:22" x14ac:dyDescent="0.3">
      <c r="A383" s="1" t="s">
        <v>1247</v>
      </c>
      <c r="B383" s="1" t="s">
        <v>54</v>
      </c>
      <c r="C383" s="1" t="s">
        <v>71</v>
      </c>
      <c r="D383">
        <v>12</v>
      </c>
      <c r="E383" s="4">
        <v>187.8</v>
      </c>
      <c r="F383" s="1" t="s">
        <v>55</v>
      </c>
      <c r="G383" s="1" t="s">
        <v>24</v>
      </c>
      <c r="H383">
        <v>0.15</v>
      </c>
      <c r="I383" s="1" t="s">
        <v>78</v>
      </c>
      <c r="J383" s="4">
        <v>1915.56</v>
      </c>
      <c r="K383" s="1" t="s">
        <v>26</v>
      </c>
      <c r="L383" s="1" t="s">
        <v>85</v>
      </c>
      <c r="M383">
        <v>0</v>
      </c>
      <c r="N383" s="1" t="s">
        <v>1248</v>
      </c>
      <c r="O383" s="1" t="s">
        <v>1249</v>
      </c>
      <c r="P383" s="4">
        <v>17.739999999999998</v>
      </c>
      <c r="Q383" s="2">
        <v>45303</v>
      </c>
      <c r="R383" s="1" t="s">
        <v>821</v>
      </c>
      <c r="S383" s="1" t="s">
        <v>62</v>
      </c>
      <c r="T383" s="1" t="s">
        <v>187</v>
      </c>
      <c r="U383" s="5">
        <f>product_sales_data__1[[#This Row],[TotalPrice]]-product_sales_data__1[[#This Row],[ShippingCost]]</f>
        <v>1897.82</v>
      </c>
      <c r="V383" s="5">
        <f>product_sales_data__1[[#This Row],[Quantity]]*product_sales_data__1[[#This Row],[UnitPrice]]*product_sales_data__1[[#This Row],[Discount]]</f>
        <v>338.04</v>
      </c>
    </row>
    <row r="384" spans="1:22" x14ac:dyDescent="0.3">
      <c r="A384" s="1" t="s">
        <v>1250</v>
      </c>
      <c r="B384" s="1" t="s">
        <v>70</v>
      </c>
      <c r="C384" s="1" t="s">
        <v>22</v>
      </c>
      <c r="D384">
        <v>1</v>
      </c>
      <c r="E384" s="4">
        <v>561.29999999999995</v>
      </c>
      <c r="F384" s="1" t="s">
        <v>55</v>
      </c>
      <c r="G384" s="1" t="s">
        <v>37</v>
      </c>
      <c r="H384">
        <v>0.15</v>
      </c>
      <c r="I384" s="1" t="s">
        <v>56</v>
      </c>
      <c r="J384" s="4">
        <v>477.11</v>
      </c>
      <c r="K384" s="1" t="s">
        <v>57</v>
      </c>
      <c r="L384" s="1" t="s">
        <v>48</v>
      </c>
      <c r="M384">
        <v>0</v>
      </c>
      <c r="N384" s="1" t="s">
        <v>1251</v>
      </c>
      <c r="O384" s="1" t="s">
        <v>1252</v>
      </c>
      <c r="P384" s="4">
        <v>5.19</v>
      </c>
      <c r="Q384" s="2">
        <v>45360</v>
      </c>
      <c r="R384" s="1" t="s">
        <v>160</v>
      </c>
      <c r="S384" s="1" t="s">
        <v>75</v>
      </c>
      <c r="T384" s="1" t="s">
        <v>98</v>
      </c>
      <c r="U384" s="5">
        <f>product_sales_data__1[[#This Row],[TotalPrice]]-product_sales_data__1[[#This Row],[ShippingCost]]</f>
        <v>471.92</v>
      </c>
      <c r="V384" s="5">
        <f>product_sales_data__1[[#This Row],[Quantity]]*product_sales_data__1[[#This Row],[UnitPrice]]*product_sales_data__1[[#This Row],[Discount]]</f>
        <v>84.194999999999993</v>
      </c>
    </row>
    <row r="385" spans="1:22" x14ac:dyDescent="0.3">
      <c r="A385" s="1" t="s">
        <v>83</v>
      </c>
      <c r="B385" s="1" t="s">
        <v>54</v>
      </c>
      <c r="C385" s="1" t="s">
        <v>127</v>
      </c>
      <c r="D385">
        <v>20</v>
      </c>
      <c r="E385" s="4">
        <v>552.83000000000004</v>
      </c>
      <c r="F385" s="1" t="s">
        <v>55</v>
      </c>
      <c r="G385" s="1" t="s">
        <v>37</v>
      </c>
      <c r="H385">
        <v>0.15</v>
      </c>
      <c r="I385" s="1" t="s">
        <v>65</v>
      </c>
      <c r="J385" s="4">
        <v>9398.11</v>
      </c>
      <c r="K385" s="1" t="s">
        <v>26</v>
      </c>
      <c r="L385" s="1" t="s">
        <v>85</v>
      </c>
      <c r="M385">
        <v>1</v>
      </c>
      <c r="N385" s="1" t="s">
        <v>1253</v>
      </c>
      <c r="O385" s="1" t="s">
        <v>1254</v>
      </c>
      <c r="P385" s="4">
        <v>20.5</v>
      </c>
      <c r="Q385" s="2">
        <v>45966</v>
      </c>
      <c r="R385" s="1" t="s">
        <v>1138</v>
      </c>
      <c r="S385" s="1" t="s">
        <v>62</v>
      </c>
      <c r="T385" s="1" t="s">
        <v>43</v>
      </c>
      <c r="U385" s="5">
        <f>product_sales_data__1[[#This Row],[TotalPrice]]-product_sales_data__1[[#This Row],[ShippingCost]]</f>
        <v>9377.61</v>
      </c>
      <c r="V385" s="5">
        <f>product_sales_data__1[[#This Row],[Quantity]]*product_sales_data__1[[#This Row],[UnitPrice]]*product_sales_data__1[[#This Row],[Discount]]</f>
        <v>1658.49</v>
      </c>
    </row>
    <row r="386" spans="1:22" x14ac:dyDescent="0.3">
      <c r="A386" s="1" t="s">
        <v>131</v>
      </c>
      <c r="B386" s="1" t="s">
        <v>21</v>
      </c>
      <c r="C386" s="1" t="s">
        <v>22</v>
      </c>
      <c r="D386">
        <v>16</v>
      </c>
      <c r="E386" s="4">
        <v>440.48</v>
      </c>
      <c r="F386" s="1" t="s">
        <v>23</v>
      </c>
      <c r="G386" s="1" t="s">
        <v>37</v>
      </c>
      <c r="H386">
        <v>0.05</v>
      </c>
      <c r="I386" s="1" t="s">
        <v>56</v>
      </c>
      <c r="J386" s="4">
        <v>6695.3</v>
      </c>
      <c r="K386" s="1" t="s">
        <v>47</v>
      </c>
      <c r="L386" s="1" t="s">
        <v>85</v>
      </c>
      <c r="M386">
        <v>1</v>
      </c>
      <c r="N386" s="1" t="s">
        <v>1255</v>
      </c>
      <c r="O386" s="1" t="s">
        <v>1256</v>
      </c>
      <c r="P386" s="4">
        <v>26.87</v>
      </c>
      <c r="Q386" s="2">
        <v>44994</v>
      </c>
      <c r="R386" s="1" t="s">
        <v>652</v>
      </c>
      <c r="S386" s="1" t="s">
        <v>31</v>
      </c>
      <c r="T386" s="1" t="s">
        <v>98</v>
      </c>
      <c r="U386" s="5">
        <f>product_sales_data__1[[#This Row],[TotalPrice]]-product_sales_data__1[[#This Row],[ShippingCost]]</f>
        <v>6668.43</v>
      </c>
      <c r="V386" s="5">
        <f>product_sales_data__1[[#This Row],[Quantity]]*product_sales_data__1[[#This Row],[UnitPrice]]*product_sales_data__1[[#This Row],[Discount]]</f>
        <v>352.38400000000001</v>
      </c>
    </row>
    <row r="387" spans="1:22" x14ac:dyDescent="0.3">
      <c r="A387" s="1" t="s">
        <v>876</v>
      </c>
      <c r="B387" s="1" t="s">
        <v>21</v>
      </c>
      <c r="C387" s="1" t="s">
        <v>100</v>
      </c>
      <c r="D387">
        <v>8</v>
      </c>
      <c r="E387" s="4">
        <v>143.94999999999999</v>
      </c>
      <c r="F387" s="1" t="s">
        <v>23</v>
      </c>
      <c r="G387" s="1" t="s">
        <v>37</v>
      </c>
      <c r="H387">
        <v>0.1</v>
      </c>
      <c r="I387" s="1" t="s">
        <v>78</v>
      </c>
      <c r="J387" s="4">
        <v>1036.44</v>
      </c>
      <c r="K387" s="1" t="s">
        <v>47</v>
      </c>
      <c r="L387" s="1" t="s">
        <v>58</v>
      </c>
      <c r="M387">
        <v>0</v>
      </c>
      <c r="N387" s="1" t="s">
        <v>1257</v>
      </c>
      <c r="O387" s="1" t="s">
        <v>1258</v>
      </c>
      <c r="P387" s="4">
        <v>28.09</v>
      </c>
      <c r="Q387" s="2">
        <v>45353</v>
      </c>
      <c r="R387" s="1" t="s">
        <v>633</v>
      </c>
      <c r="S387" s="1" t="s">
        <v>31</v>
      </c>
      <c r="T387" s="1" t="s">
        <v>98</v>
      </c>
      <c r="U387" s="5">
        <f>product_sales_data__1[[#This Row],[TotalPrice]]-product_sales_data__1[[#This Row],[ShippingCost]]</f>
        <v>1008.35</v>
      </c>
      <c r="V387" s="5">
        <f>product_sales_data__1[[#This Row],[Quantity]]*product_sales_data__1[[#This Row],[UnitPrice]]*product_sales_data__1[[#This Row],[Discount]]</f>
        <v>115.16</v>
      </c>
    </row>
    <row r="388" spans="1:22" x14ac:dyDescent="0.3">
      <c r="A388" s="1" t="s">
        <v>1104</v>
      </c>
      <c r="B388" s="1" t="s">
        <v>54</v>
      </c>
      <c r="C388" s="1" t="s">
        <v>35</v>
      </c>
      <c r="D388">
        <v>14</v>
      </c>
      <c r="E388" s="4">
        <v>250.98</v>
      </c>
      <c r="F388" s="1" t="s">
        <v>36</v>
      </c>
      <c r="G388" s="1" t="s">
        <v>37</v>
      </c>
      <c r="H388">
        <v>0</v>
      </c>
      <c r="I388" s="1" t="s">
        <v>65</v>
      </c>
      <c r="J388" s="4">
        <v>3513.72</v>
      </c>
      <c r="K388" s="1" t="s">
        <v>38</v>
      </c>
      <c r="L388" s="1" t="s">
        <v>48</v>
      </c>
      <c r="M388">
        <v>0</v>
      </c>
      <c r="N388" s="1" t="s">
        <v>1259</v>
      </c>
      <c r="O388" s="1" t="s">
        <v>1260</v>
      </c>
      <c r="P388" s="4">
        <v>14.94</v>
      </c>
      <c r="Q388" s="2">
        <v>45200</v>
      </c>
      <c r="R388" s="1" t="s">
        <v>1261</v>
      </c>
      <c r="S388" s="1" t="s">
        <v>62</v>
      </c>
      <c r="T388" s="1" t="s">
        <v>32</v>
      </c>
      <c r="U388" s="5">
        <f>product_sales_data__1[[#This Row],[TotalPrice]]-product_sales_data__1[[#This Row],[ShippingCost]]</f>
        <v>3498.7799999999997</v>
      </c>
      <c r="V388" s="5">
        <f>product_sales_data__1[[#This Row],[Quantity]]*product_sales_data__1[[#This Row],[UnitPrice]]*product_sales_data__1[[#This Row],[Discount]]</f>
        <v>0</v>
      </c>
    </row>
    <row r="389" spans="1:22" x14ac:dyDescent="0.3">
      <c r="A389" s="1" t="s">
        <v>437</v>
      </c>
      <c r="B389" s="1" t="s">
        <v>45</v>
      </c>
      <c r="C389" s="1" t="s">
        <v>71</v>
      </c>
      <c r="D389">
        <v>7</v>
      </c>
      <c r="E389" s="4">
        <v>335.41</v>
      </c>
      <c r="F389" s="1" t="s">
        <v>36</v>
      </c>
      <c r="G389" s="1" t="s">
        <v>37</v>
      </c>
      <c r="H389">
        <v>0</v>
      </c>
      <c r="I389" s="1" t="s">
        <v>94</v>
      </c>
      <c r="J389" s="4">
        <v>2347.87</v>
      </c>
      <c r="K389" s="1" t="s">
        <v>26</v>
      </c>
      <c r="L389" s="1" t="s">
        <v>58</v>
      </c>
      <c r="M389">
        <v>0</v>
      </c>
      <c r="N389" s="1" t="s">
        <v>1262</v>
      </c>
      <c r="O389" s="1" t="s">
        <v>442</v>
      </c>
      <c r="P389" s="4">
        <v>18.91</v>
      </c>
      <c r="Q389" s="2">
        <v>45079</v>
      </c>
      <c r="R389" s="1" t="s">
        <v>1263</v>
      </c>
      <c r="S389" s="1" t="s">
        <v>51</v>
      </c>
      <c r="T389" s="1" t="s">
        <v>105</v>
      </c>
      <c r="U389" s="5">
        <f>product_sales_data__1[[#This Row],[TotalPrice]]-product_sales_data__1[[#This Row],[ShippingCost]]</f>
        <v>2328.96</v>
      </c>
      <c r="V389" s="5">
        <f>product_sales_data__1[[#This Row],[Quantity]]*product_sales_data__1[[#This Row],[UnitPrice]]*product_sales_data__1[[#This Row],[Discount]]</f>
        <v>0</v>
      </c>
    </row>
    <row r="390" spans="1:22" x14ac:dyDescent="0.3">
      <c r="A390" s="1" t="s">
        <v>375</v>
      </c>
      <c r="B390" s="1" t="s">
        <v>21</v>
      </c>
      <c r="C390" s="1" t="s">
        <v>140</v>
      </c>
      <c r="D390">
        <v>11</v>
      </c>
      <c r="E390" s="4">
        <v>204.5</v>
      </c>
      <c r="F390" s="1" t="s">
        <v>84</v>
      </c>
      <c r="G390" s="1" t="s">
        <v>37</v>
      </c>
      <c r="H390">
        <v>0</v>
      </c>
      <c r="I390" s="1" t="s">
        <v>65</v>
      </c>
      <c r="J390" s="4">
        <v>2249.5</v>
      </c>
      <c r="K390" s="1" t="s">
        <v>38</v>
      </c>
      <c r="L390" s="1" t="s">
        <v>27</v>
      </c>
      <c r="M390">
        <v>0</v>
      </c>
      <c r="N390" s="1" t="s">
        <v>1264</v>
      </c>
      <c r="O390" s="1" t="s">
        <v>1144</v>
      </c>
      <c r="P390" s="4">
        <v>13.82</v>
      </c>
      <c r="Q390" s="2">
        <v>45934</v>
      </c>
      <c r="R390" s="1" t="s">
        <v>1265</v>
      </c>
      <c r="S390" s="1" t="s">
        <v>31</v>
      </c>
      <c r="T390" s="1" t="s">
        <v>32</v>
      </c>
      <c r="U390" s="5">
        <f>product_sales_data__1[[#This Row],[TotalPrice]]-product_sales_data__1[[#This Row],[ShippingCost]]</f>
        <v>2235.6799999999998</v>
      </c>
      <c r="V390" s="5">
        <f>product_sales_data__1[[#This Row],[Quantity]]*product_sales_data__1[[#This Row],[UnitPrice]]*product_sales_data__1[[#This Row],[Discount]]</f>
        <v>0</v>
      </c>
    </row>
    <row r="391" spans="1:22" x14ac:dyDescent="0.3">
      <c r="A391" s="1" t="s">
        <v>798</v>
      </c>
      <c r="B391" s="1" t="s">
        <v>54</v>
      </c>
      <c r="C391" s="1" t="s">
        <v>35</v>
      </c>
      <c r="D391">
        <v>10</v>
      </c>
      <c r="E391" s="4">
        <v>419.58</v>
      </c>
      <c r="F391" s="1" t="s">
        <v>84</v>
      </c>
      <c r="G391" s="1" t="s">
        <v>24</v>
      </c>
      <c r="H391">
        <v>0.15</v>
      </c>
      <c r="I391" s="1" t="s">
        <v>65</v>
      </c>
      <c r="J391" s="4">
        <v>3566.43</v>
      </c>
      <c r="K391" s="1" t="s">
        <v>38</v>
      </c>
      <c r="L391" s="1" t="s">
        <v>85</v>
      </c>
      <c r="M391">
        <v>0</v>
      </c>
      <c r="N391" s="1" t="s">
        <v>1266</v>
      </c>
      <c r="O391" s="1" t="s">
        <v>1267</v>
      </c>
      <c r="P391" s="4">
        <v>13.09</v>
      </c>
      <c r="Q391" s="2">
        <v>45269</v>
      </c>
      <c r="R391" s="1" t="s">
        <v>1268</v>
      </c>
      <c r="S391" s="1" t="s">
        <v>62</v>
      </c>
      <c r="T391" s="1" t="s">
        <v>76</v>
      </c>
      <c r="U391" s="5">
        <f>product_sales_data__1[[#This Row],[TotalPrice]]-product_sales_data__1[[#This Row],[ShippingCost]]</f>
        <v>3553.3399999999997</v>
      </c>
      <c r="V391" s="5">
        <f>product_sales_data__1[[#This Row],[Quantity]]*product_sales_data__1[[#This Row],[UnitPrice]]*product_sales_data__1[[#This Row],[Discount]]</f>
        <v>629.37</v>
      </c>
    </row>
    <row r="392" spans="1:22" x14ac:dyDescent="0.3">
      <c r="A392" s="1" t="s">
        <v>639</v>
      </c>
      <c r="B392" s="1" t="s">
        <v>21</v>
      </c>
      <c r="C392" s="1" t="s">
        <v>22</v>
      </c>
      <c r="D392">
        <v>4</v>
      </c>
      <c r="E392" s="4">
        <v>242.8</v>
      </c>
      <c r="F392" s="1" t="s">
        <v>55</v>
      </c>
      <c r="G392" s="1" t="s">
        <v>24</v>
      </c>
      <c r="H392">
        <v>0.05</v>
      </c>
      <c r="I392" s="1" t="s">
        <v>78</v>
      </c>
      <c r="J392" s="4">
        <v>922.64</v>
      </c>
      <c r="K392" s="1" t="s">
        <v>38</v>
      </c>
      <c r="L392" s="1" t="s">
        <v>85</v>
      </c>
      <c r="M392">
        <v>0</v>
      </c>
      <c r="N392" s="1" t="s">
        <v>1269</v>
      </c>
      <c r="O392" s="1" t="s">
        <v>1270</v>
      </c>
      <c r="P392" s="4">
        <v>30.03</v>
      </c>
      <c r="Q392" s="2">
        <v>45905</v>
      </c>
      <c r="R392" s="1" t="s">
        <v>1271</v>
      </c>
      <c r="S392" s="1" t="s">
        <v>31</v>
      </c>
      <c r="T392" s="1" t="s">
        <v>52</v>
      </c>
      <c r="U392" s="5">
        <f>product_sales_data__1[[#This Row],[TotalPrice]]-product_sales_data__1[[#This Row],[ShippingCost]]</f>
        <v>892.61</v>
      </c>
      <c r="V392" s="5">
        <f>product_sales_data__1[[#This Row],[Quantity]]*product_sales_data__1[[#This Row],[UnitPrice]]*product_sales_data__1[[#This Row],[Discount]]</f>
        <v>48.56</v>
      </c>
    </row>
    <row r="393" spans="1:22" x14ac:dyDescent="0.3">
      <c r="A393" s="1" t="s">
        <v>693</v>
      </c>
      <c r="B393" s="1" t="s">
        <v>70</v>
      </c>
      <c r="C393" s="1" t="s">
        <v>140</v>
      </c>
      <c r="D393">
        <v>4</v>
      </c>
      <c r="E393" s="4">
        <v>410.59</v>
      </c>
      <c r="F393" s="1" t="s">
        <v>84</v>
      </c>
      <c r="G393" s="1" t="s">
        <v>37</v>
      </c>
      <c r="H393">
        <v>0</v>
      </c>
      <c r="I393" s="1" t="s">
        <v>65</v>
      </c>
      <c r="J393" s="4">
        <v>1642.36</v>
      </c>
      <c r="K393" s="1" t="s">
        <v>47</v>
      </c>
      <c r="L393" s="1" t="s">
        <v>48</v>
      </c>
      <c r="M393">
        <v>0</v>
      </c>
      <c r="N393" s="1" t="s">
        <v>1272</v>
      </c>
      <c r="O393" s="1" t="s">
        <v>1273</v>
      </c>
      <c r="P393" s="4">
        <v>17.36</v>
      </c>
      <c r="Q393" s="2">
        <v>45416</v>
      </c>
      <c r="R393" s="1" t="s">
        <v>339</v>
      </c>
      <c r="S393" s="1" t="s">
        <v>75</v>
      </c>
      <c r="T393" s="1" t="s">
        <v>63</v>
      </c>
      <c r="U393" s="5">
        <f>product_sales_data__1[[#This Row],[TotalPrice]]-product_sales_data__1[[#This Row],[ShippingCost]]</f>
        <v>1625</v>
      </c>
      <c r="V393" s="5">
        <f>product_sales_data__1[[#This Row],[Quantity]]*product_sales_data__1[[#This Row],[UnitPrice]]*product_sales_data__1[[#This Row],[Discount]]</f>
        <v>0</v>
      </c>
    </row>
    <row r="394" spans="1:22" x14ac:dyDescent="0.3">
      <c r="A394" s="1" t="s">
        <v>990</v>
      </c>
      <c r="B394" s="1" t="s">
        <v>34</v>
      </c>
      <c r="C394" s="1" t="s">
        <v>35</v>
      </c>
      <c r="D394">
        <v>3</v>
      </c>
      <c r="E394" s="4">
        <v>10.93</v>
      </c>
      <c r="F394" s="1" t="s">
        <v>55</v>
      </c>
      <c r="G394" s="1" t="s">
        <v>24</v>
      </c>
      <c r="H394">
        <v>0.15</v>
      </c>
      <c r="I394" s="1" t="s">
        <v>65</v>
      </c>
      <c r="J394" s="4">
        <v>27.87</v>
      </c>
      <c r="K394" s="1" t="s">
        <v>47</v>
      </c>
      <c r="L394" s="1" t="s">
        <v>85</v>
      </c>
      <c r="M394">
        <v>0</v>
      </c>
      <c r="N394" s="1" t="s">
        <v>1274</v>
      </c>
      <c r="O394" s="1" t="s">
        <v>1275</v>
      </c>
      <c r="P394" s="4">
        <v>19.010000000000002</v>
      </c>
      <c r="Q394" s="2">
        <v>45299</v>
      </c>
      <c r="R394" s="1" t="s">
        <v>414</v>
      </c>
      <c r="S394" s="1" t="s">
        <v>42</v>
      </c>
      <c r="T394" s="1" t="s">
        <v>187</v>
      </c>
      <c r="U394" s="5">
        <f>product_sales_data__1[[#This Row],[TotalPrice]]-product_sales_data__1[[#This Row],[ShippingCost]]</f>
        <v>8.86</v>
      </c>
      <c r="V394" s="5">
        <f>product_sales_data__1[[#This Row],[Quantity]]*product_sales_data__1[[#This Row],[UnitPrice]]*product_sales_data__1[[#This Row],[Discount]]</f>
        <v>4.9184999999999999</v>
      </c>
    </row>
    <row r="395" spans="1:22" x14ac:dyDescent="0.3">
      <c r="A395" s="1" t="s">
        <v>822</v>
      </c>
      <c r="B395" s="1" t="s">
        <v>34</v>
      </c>
      <c r="C395" s="1" t="s">
        <v>35</v>
      </c>
      <c r="D395">
        <v>20</v>
      </c>
      <c r="E395" s="4">
        <v>150.16</v>
      </c>
      <c r="F395" s="1" t="s">
        <v>36</v>
      </c>
      <c r="G395" s="1" t="s">
        <v>24</v>
      </c>
      <c r="H395">
        <v>0</v>
      </c>
      <c r="I395" s="1" t="s">
        <v>94</v>
      </c>
      <c r="J395" s="4">
        <v>3003.2</v>
      </c>
      <c r="K395" s="1" t="s">
        <v>47</v>
      </c>
      <c r="L395" s="1" t="s">
        <v>48</v>
      </c>
      <c r="M395">
        <v>0</v>
      </c>
      <c r="N395" s="1" t="s">
        <v>1276</v>
      </c>
      <c r="O395" s="1" t="s">
        <v>1277</v>
      </c>
      <c r="P395" s="4">
        <v>41.66</v>
      </c>
      <c r="Q395" s="2">
        <v>45572</v>
      </c>
      <c r="R395" s="1" t="s">
        <v>69</v>
      </c>
      <c r="S395" s="1" t="s">
        <v>42</v>
      </c>
      <c r="T395" s="1" t="s">
        <v>32</v>
      </c>
      <c r="U395" s="5">
        <f>product_sales_data__1[[#This Row],[TotalPrice]]-product_sales_data__1[[#This Row],[ShippingCost]]</f>
        <v>2961.54</v>
      </c>
      <c r="V395" s="5">
        <f>product_sales_data__1[[#This Row],[Quantity]]*product_sales_data__1[[#This Row],[UnitPrice]]*product_sales_data__1[[#This Row],[Discount]]</f>
        <v>0</v>
      </c>
    </row>
    <row r="396" spans="1:22" x14ac:dyDescent="0.3">
      <c r="A396" s="1" t="s">
        <v>788</v>
      </c>
      <c r="B396" s="1" t="s">
        <v>54</v>
      </c>
      <c r="C396" s="1" t="s">
        <v>71</v>
      </c>
      <c r="D396">
        <v>13</v>
      </c>
      <c r="E396" s="4">
        <v>50.51</v>
      </c>
      <c r="F396" s="1" t="s">
        <v>55</v>
      </c>
      <c r="G396" s="1" t="s">
        <v>24</v>
      </c>
      <c r="H396">
        <v>0.1</v>
      </c>
      <c r="I396" s="1" t="s">
        <v>25</v>
      </c>
      <c r="J396" s="4">
        <v>590.97</v>
      </c>
      <c r="K396" s="1" t="s">
        <v>38</v>
      </c>
      <c r="L396" s="1" t="s">
        <v>27</v>
      </c>
      <c r="M396">
        <v>0</v>
      </c>
      <c r="N396" s="1" t="s">
        <v>1278</v>
      </c>
      <c r="O396" s="1" t="s">
        <v>1279</v>
      </c>
      <c r="P396" s="4">
        <v>40.57</v>
      </c>
      <c r="Q396" s="2">
        <v>45237</v>
      </c>
      <c r="R396" s="1" t="s">
        <v>1280</v>
      </c>
      <c r="S396" s="1" t="s">
        <v>62</v>
      </c>
      <c r="T396" s="1" t="s">
        <v>43</v>
      </c>
      <c r="U396" s="5">
        <f>product_sales_data__1[[#This Row],[TotalPrice]]-product_sales_data__1[[#This Row],[ShippingCost]]</f>
        <v>550.4</v>
      </c>
      <c r="V396" s="5">
        <f>product_sales_data__1[[#This Row],[Quantity]]*product_sales_data__1[[#This Row],[UnitPrice]]*product_sales_data__1[[#This Row],[Discount]]</f>
        <v>65.662999999999997</v>
      </c>
    </row>
    <row r="397" spans="1:22" x14ac:dyDescent="0.3">
      <c r="A397" s="1" t="s">
        <v>521</v>
      </c>
      <c r="B397" s="1" t="s">
        <v>21</v>
      </c>
      <c r="C397" s="1" t="s">
        <v>35</v>
      </c>
      <c r="D397">
        <v>7</v>
      </c>
      <c r="E397" s="4">
        <v>294.95</v>
      </c>
      <c r="F397" s="1" t="s">
        <v>55</v>
      </c>
      <c r="G397" s="1" t="s">
        <v>24</v>
      </c>
      <c r="H397">
        <v>0</v>
      </c>
      <c r="I397" s="1" t="s">
        <v>56</v>
      </c>
      <c r="J397" s="4">
        <v>2064.65</v>
      </c>
      <c r="K397" s="1" t="s">
        <v>26</v>
      </c>
      <c r="L397" s="1" t="s">
        <v>85</v>
      </c>
      <c r="M397">
        <v>0</v>
      </c>
      <c r="N397" s="1" t="s">
        <v>1281</v>
      </c>
      <c r="O397" s="1" t="s">
        <v>1282</v>
      </c>
      <c r="P397" s="4">
        <v>15.78</v>
      </c>
      <c r="Q397" s="2">
        <v>45054</v>
      </c>
      <c r="R397" s="1" t="s">
        <v>139</v>
      </c>
      <c r="S397" s="1" t="s">
        <v>31</v>
      </c>
      <c r="T397" s="1" t="s">
        <v>63</v>
      </c>
      <c r="U397" s="5">
        <f>product_sales_data__1[[#This Row],[TotalPrice]]-product_sales_data__1[[#This Row],[ShippingCost]]</f>
        <v>2048.87</v>
      </c>
      <c r="V397" s="5">
        <f>product_sales_data__1[[#This Row],[Quantity]]*product_sales_data__1[[#This Row],[UnitPrice]]*product_sales_data__1[[#This Row],[Discount]]</f>
        <v>0</v>
      </c>
    </row>
    <row r="398" spans="1:22" x14ac:dyDescent="0.3">
      <c r="A398" s="1" t="s">
        <v>583</v>
      </c>
      <c r="B398" s="1" t="s">
        <v>21</v>
      </c>
      <c r="C398" s="1" t="s">
        <v>140</v>
      </c>
      <c r="D398">
        <v>3</v>
      </c>
      <c r="E398" s="4">
        <v>238.82</v>
      </c>
      <c r="F398" s="1" t="s">
        <v>36</v>
      </c>
      <c r="G398" s="1" t="s">
        <v>37</v>
      </c>
      <c r="H398">
        <v>0.1</v>
      </c>
      <c r="I398" s="1" t="s">
        <v>94</v>
      </c>
      <c r="J398" s="4">
        <v>644.80999999999995</v>
      </c>
      <c r="K398" s="1" t="s">
        <v>57</v>
      </c>
      <c r="L398" s="1" t="s">
        <v>27</v>
      </c>
      <c r="M398">
        <v>0</v>
      </c>
      <c r="N398" s="1" t="s">
        <v>1283</v>
      </c>
      <c r="O398" s="1" t="s">
        <v>1284</v>
      </c>
      <c r="P398" s="4">
        <v>37.07</v>
      </c>
      <c r="Q398" s="2">
        <v>45904</v>
      </c>
      <c r="R398" s="1" t="s">
        <v>1285</v>
      </c>
      <c r="S398" s="1" t="s">
        <v>31</v>
      </c>
      <c r="T398" s="1" t="s">
        <v>52</v>
      </c>
      <c r="U398" s="5">
        <f>product_sales_data__1[[#This Row],[TotalPrice]]-product_sales_data__1[[#This Row],[ShippingCost]]</f>
        <v>607.7399999999999</v>
      </c>
      <c r="V398" s="5">
        <f>product_sales_data__1[[#This Row],[Quantity]]*product_sales_data__1[[#This Row],[UnitPrice]]*product_sales_data__1[[#This Row],[Discount]]</f>
        <v>71.646000000000001</v>
      </c>
    </row>
    <row r="399" spans="1:22" x14ac:dyDescent="0.3">
      <c r="A399" s="1" t="s">
        <v>719</v>
      </c>
      <c r="B399" s="1" t="s">
        <v>21</v>
      </c>
      <c r="C399" s="1" t="s">
        <v>109</v>
      </c>
      <c r="D399">
        <v>16</v>
      </c>
      <c r="E399" s="4">
        <v>332.19</v>
      </c>
      <c r="F399" s="1" t="s">
        <v>36</v>
      </c>
      <c r="G399" s="1" t="s">
        <v>37</v>
      </c>
      <c r="H399">
        <v>0.1</v>
      </c>
      <c r="I399" s="1" t="s">
        <v>65</v>
      </c>
      <c r="J399" s="4">
        <v>4783.54</v>
      </c>
      <c r="K399" s="1" t="s">
        <v>101</v>
      </c>
      <c r="L399" s="1" t="s">
        <v>58</v>
      </c>
      <c r="M399">
        <v>1</v>
      </c>
      <c r="N399" s="1" t="s">
        <v>1286</v>
      </c>
      <c r="O399" s="1" t="s">
        <v>1287</v>
      </c>
      <c r="P399" s="4">
        <v>34.97</v>
      </c>
      <c r="Q399" s="2">
        <v>45962</v>
      </c>
      <c r="R399" s="1" t="s">
        <v>1288</v>
      </c>
      <c r="S399" s="1" t="s">
        <v>31</v>
      </c>
      <c r="T399" s="1" t="s">
        <v>43</v>
      </c>
      <c r="U399" s="5">
        <f>product_sales_data__1[[#This Row],[TotalPrice]]-product_sales_data__1[[#This Row],[ShippingCost]]</f>
        <v>4748.57</v>
      </c>
      <c r="V399" s="5">
        <f>product_sales_data__1[[#This Row],[Quantity]]*product_sales_data__1[[#This Row],[UnitPrice]]*product_sales_data__1[[#This Row],[Discount]]</f>
        <v>531.50400000000002</v>
      </c>
    </row>
    <row r="400" spans="1:22" x14ac:dyDescent="0.3">
      <c r="A400" s="1" t="s">
        <v>1180</v>
      </c>
      <c r="B400" s="1" t="s">
        <v>54</v>
      </c>
      <c r="C400" s="1" t="s">
        <v>140</v>
      </c>
      <c r="D400">
        <v>6</v>
      </c>
      <c r="E400" s="4">
        <v>540.54</v>
      </c>
      <c r="F400" s="1" t="s">
        <v>84</v>
      </c>
      <c r="G400" s="1" t="s">
        <v>37</v>
      </c>
      <c r="H400">
        <v>0.05</v>
      </c>
      <c r="I400" s="1" t="s">
        <v>46</v>
      </c>
      <c r="J400" s="4">
        <v>3081.08</v>
      </c>
      <c r="K400" s="1" t="s">
        <v>38</v>
      </c>
      <c r="L400" s="1" t="s">
        <v>58</v>
      </c>
      <c r="M400">
        <v>0</v>
      </c>
      <c r="N400" s="1" t="s">
        <v>1289</v>
      </c>
      <c r="O400" s="1" t="s">
        <v>1290</v>
      </c>
      <c r="P400" s="4">
        <v>19.77</v>
      </c>
      <c r="Q400" s="2">
        <v>45748</v>
      </c>
      <c r="R400" s="1" t="s">
        <v>570</v>
      </c>
      <c r="S400" s="1" t="s">
        <v>62</v>
      </c>
      <c r="T400" s="1" t="s">
        <v>147</v>
      </c>
      <c r="U400" s="5">
        <f>product_sales_data__1[[#This Row],[TotalPrice]]-product_sales_data__1[[#This Row],[ShippingCost]]</f>
        <v>3061.31</v>
      </c>
      <c r="V400" s="5">
        <f>product_sales_data__1[[#This Row],[Quantity]]*product_sales_data__1[[#This Row],[UnitPrice]]*product_sales_data__1[[#This Row],[Discount]]</f>
        <v>162.16200000000001</v>
      </c>
    </row>
    <row r="401" spans="1:22" x14ac:dyDescent="0.3">
      <c r="A401" s="1" t="s">
        <v>1199</v>
      </c>
      <c r="B401" s="1" t="s">
        <v>70</v>
      </c>
      <c r="C401" s="1" t="s">
        <v>127</v>
      </c>
      <c r="D401">
        <v>2</v>
      </c>
      <c r="E401" s="4">
        <v>327.57</v>
      </c>
      <c r="F401" s="1" t="s">
        <v>84</v>
      </c>
      <c r="G401" s="1" t="s">
        <v>37</v>
      </c>
      <c r="H401">
        <v>0.05</v>
      </c>
      <c r="I401" s="1" t="s">
        <v>78</v>
      </c>
      <c r="J401" s="4">
        <v>622.38</v>
      </c>
      <c r="K401" s="1" t="s">
        <v>38</v>
      </c>
      <c r="L401" s="1" t="s">
        <v>48</v>
      </c>
      <c r="M401">
        <v>0</v>
      </c>
      <c r="N401" s="1" t="s">
        <v>1291</v>
      </c>
      <c r="O401" s="1" t="s">
        <v>1292</v>
      </c>
      <c r="P401" s="4">
        <v>19.489999999999998</v>
      </c>
      <c r="Q401" s="2">
        <v>45206</v>
      </c>
      <c r="R401" s="1" t="s">
        <v>1293</v>
      </c>
      <c r="S401" s="1" t="s">
        <v>75</v>
      </c>
      <c r="T401" s="1" t="s">
        <v>32</v>
      </c>
      <c r="U401" s="5">
        <f>product_sales_data__1[[#This Row],[TotalPrice]]-product_sales_data__1[[#This Row],[ShippingCost]]</f>
        <v>602.89</v>
      </c>
      <c r="V401" s="5">
        <f>product_sales_data__1[[#This Row],[Quantity]]*product_sales_data__1[[#This Row],[UnitPrice]]*product_sales_data__1[[#This Row],[Discount]]</f>
        <v>32.756999999999998</v>
      </c>
    </row>
    <row r="402" spans="1:22" x14ac:dyDescent="0.3">
      <c r="A402" s="1" t="s">
        <v>1015</v>
      </c>
      <c r="B402" s="1" t="s">
        <v>70</v>
      </c>
      <c r="C402" s="1" t="s">
        <v>140</v>
      </c>
      <c r="D402">
        <v>18</v>
      </c>
      <c r="E402" s="4">
        <v>166.92</v>
      </c>
      <c r="F402" s="1" t="s">
        <v>36</v>
      </c>
      <c r="G402" s="1" t="s">
        <v>24</v>
      </c>
      <c r="H402">
        <v>0.05</v>
      </c>
      <c r="I402" s="1" t="s">
        <v>25</v>
      </c>
      <c r="J402" s="4">
        <v>2854.33</v>
      </c>
      <c r="K402" s="1" t="s">
        <v>57</v>
      </c>
      <c r="L402" s="1" t="s">
        <v>27</v>
      </c>
      <c r="M402">
        <v>0</v>
      </c>
      <c r="N402" s="1" t="s">
        <v>1294</v>
      </c>
      <c r="O402" s="1" t="s">
        <v>1295</v>
      </c>
      <c r="P402" s="4">
        <v>9.35</v>
      </c>
      <c r="Q402" s="2">
        <v>45451</v>
      </c>
      <c r="R402" s="1" t="s">
        <v>1296</v>
      </c>
      <c r="S402" s="1" t="s">
        <v>75</v>
      </c>
      <c r="T402" s="1" t="s">
        <v>105</v>
      </c>
      <c r="U402" s="5">
        <f>product_sales_data__1[[#This Row],[TotalPrice]]-product_sales_data__1[[#This Row],[ShippingCost]]</f>
        <v>2844.98</v>
      </c>
      <c r="V402" s="5">
        <f>product_sales_data__1[[#This Row],[Quantity]]*product_sales_data__1[[#This Row],[UnitPrice]]*product_sales_data__1[[#This Row],[Discount]]</f>
        <v>150.22800000000001</v>
      </c>
    </row>
    <row r="403" spans="1:22" x14ac:dyDescent="0.3">
      <c r="A403" s="1" t="s">
        <v>1172</v>
      </c>
      <c r="B403" s="1" t="s">
        <v>70</v>
      </c>
      <c r="C403" s="1" t="s">
        <v>71</v>
      </c>
      <c r="D403">
        <v>9</v>
      </c>
      <c r="E403" s="4">
        <v>256.14</v>
      </c>
      <c r="F403" s="1" t="s">
        <v>84</v>
      </c>
      <c r="G403" s="1" t="s">
        <v>37</v>
      </c>
      <c r="H403">
        <v>0.15</v>
      </c>
      <c r="I403" s="1" t="s">
        <v>56</v>
      </c>
      <c r="J403" s="4">
        <v>1959.47</v>
      </c>
      <c r="K403" s="1" t="s">
        <v>101</v>
      </c>
      <c r="L403" s="1" t="s">
        <v>58</v>
      </c>
      <c r="M403">
        <v>1</v>
      </c>
      <c r="N403" s="1" t="s">
        <v>1297</v>
      </c>
      <c r="O403" s="1" t="s">
        <v>1298</v>
      </c>
      <c r="P403" s="4">
        <v>5.21</v>
      </c>
      <c r="Q403" s="2">
        <v>45749</v>
      </c>
      <c r="R403" s="1" t="s">
        <v>777</v>
      </c>
      <c r="S403" s="1" t="s">
        <v>75</v>
      </c>
      <c r="T403" s="1" t="s">
        <v>147</v>
      </c>
      <c r="U403" s="5">
        <f>product_sales_data__1[[#This Row],[TotalPrice]]-product_sales_data__1[[#This Row],[ShippingCost]]</f>
        <v>1954.26</v>
      </c>
      <c r="V403" s="5">
        <f>product_sales_data__1[[#This Row],[Quantity]]*product_sales_data__1[[#This Row],[UnitPrice]]*product_sales_data__1[[#This Row],[Discount]]</f>
        <v>345.78899999999993</v>
      </c>
    </row>
    <row r="404" spans="1:22" x14ac:dyDescent="0.3">
      <c r="A404" s="1" t="s">
        <v>850</v>
      </c>
      <c r="B404" s="1" t="s">
        <v>54</v>
      </c>
      <c r="C404" s="1" t="s">
        <v>35</v>
      </c>
      <c r="D404">
        <v>3</v>
      </c>
      <c r="E404" s="4">
        <v>312.97000000000003</v>
      </c>
      <c r="F404" s="1" t="s">
        <v>36</v>
      </c>
      <c r="G404" s="1" t="s">
        <v>37</v>
      </c>
      <c r="H404">
        <v>0.05</v>
      </c>
      <c r="I404" s="1" t="s">
        <v>65</v>
      </c>
      <c r="J404" s="4">
        <v>891.96</v>
      </c>
      <c r="K404" s="1" t="s">
        <v>101</v>
      </c>
      <c r="L404" s="1" t="s">
        <v>48</v>
      </c>
      <c r="M404">
        <v>1</v>
      </c>
      <c r="N404" s="1" t="s">
        <v>1299</v>
      </c>
      <c r="O404" s="1" t="s">
        <v>1300</v>
      </c>
      <c r="P404" s="4">
        <v>20.059999999999999</v>
      </c>
      <c r="Q404" s="2">
        <v>45086</v>
      </c>
      <c r="R404" s="1" t="s">
        <v>798</v>
      </c>
      <c r="S404" s="1" t="s">
        <v>62</v>
      </c>
      <c r="T404" s="1" t="s">
        <v>105</v>
      </c>
      <c r="U404" s="5">
        <f>product_sales_data__1[[#This Row],[TotalPrice]]-product_sales_data__1[[#This Row],[ShippingCost]]</f>
        <v>871.90000000000009</v>
      </c>
      <c r="V404" s="5">
        <f>product_sales_data__1[[#This Row],[Quantity]]*product_sales_data__1[[#This Row],[UnitPrice]]*product_sales_data__1[[#This Row],[Discount]]</f>
        <v>46.94550000000001</v>
      </c>
    </row>
    <row r="405" spans="1:22" x14ac:dyDescent="0.3">
      <c r="A405" s="1" t="s">
        <v>368</v>
      </c>
      <c r="B405" s="1" t="s">
        <v>70</v>
      </c>
      <c r="C405" s="1" t="s">
        <v>100</v>
      </c>
      <c r="D405">
        <v>9</v>
      </c>
      <c r="E405" s="4">
        <v>418</v>
      </c>
      <c r="F405" s="1" t="s">
        <v>36</v>
      </c>
      <c r="G405" s="1" t="s">
        <v>24</v>
      </c>
      <c r="H405">
        <v>0</v>
      </c>
      <c r="I405" s="1" t="s">
        <v>94</v>
      </c>
      <c r="J405" s="4">
        <v>3762</v>
      </c>
      <c r="K405" s="1" t="s">
        <v>101</v>
      </c>
      <c r="L405" s="1" t="s">
        <v>27</v>
      </c>
      <c r="M405">
        <v>0</v>
      </c>
      <c r="N405" s="1" t="s">
        <v>1301</v>
      </c>
      <c r="O405" s="1" t="s">
        <v>1302</v>
      </c>
      <c r="P405" s="4">
        <v>30.45</v>
      </c>
      <c r="Q405" s="2">
        <v>45632</v>
      </c>
      <c r="R405" s="1" t="s">
        <v>1303</v>
      </c>
      <c r="S405" s="1" t="s">
        <v>75</v>
      </c>
      <c r="T405" s="1" t="s">
        <v>76</v>
      </c>
      <c r="U405" s="5">
        <f>product_sales_data__1[[#This Row],[TotalPrice]]-product_sales_data__1[[#This Row],[ShippingCost]]</f>
        <v>3731.55</v>
      </c>
      <c r="V405" s="5">
        <f>product_sales_data__1[[#This Row],[Quantity]]*product_sales_data__1[[#This Row],[UnitPrice]]*product_sales_data__1[[#This Row],[Discount]]</f>
        <v>0</v>
      </c>
    </row>
    <row r="406" spans="1:22" x14ac:dyDescent="0.3">
      <c r="A406" s="1" t="s">
        <v>433</v>
      </c>
      <c r="B406" s="1" t="s">
        <v>34</v>
      </c>
      <c r="C406" s="1" t="s">
        <v>35</v>
      </c>
      <c r="D406">
        <v>1</v>
      </c>
      <c r="E406" s="4">
        <v>80.959999999999994</v>
      </c>
      <c r="F406" s="1" t="s">
        <v>84</v>
      </c>
      <c r="G406" s="1" t="s">
        <v>24</v>
      </c>
      <c r="H406">
        <v>0</v>
      </c>
      <c r="I406" s="1" t="s">
        <v>94</v>
      </c>
      <c r="J406" s="4">
        <v>80.959999999999994</v>
      </c>
      <c r="K406" s="1" t="s">
        <v>101</v>
      </c>
      <c r="L406" s="1" t="s">
        <v>85</v>
      </c>
      <c r="M406">
        <v>0</v>
      </c>
      <c r="N406" s="1" t="s">
        <v>1304</v>
      </c>
      <c r="O406" s="1" t="s">
        <v>1305</v>
      </c>
      <c r="P406" s="4">
        <v>48.07</v>
      </c>
      <c r="Q406" s="2">
        <v>44959</v>
      </c>
      <c r="R406" s="1" t="s">
        <v>497</v>
      </c>
      <c r="S406" s="1" t="s">
        <v>42</v>
      </c>
      <c r="T406" s="1" t="s">
        <v>199</v>
      </c>
      <c r="U406" s="5">
        <f>product_sales_data__1[[#This Row],[TotalPrice]]-product_sales_data__1[[#This Row],[ShippingCost]]</f>
        <v>32.889999999999993</v>
      </c>
      <c r="V406" s="5">
        <f>product_sales_data__1[[#This Row],[Quantity]]*product_sales_data__1[[#This Row],[UnitPrice]]*product_sales_data__1[[#This Row],[Discount]]</f>
        <v>0</v>
      </c>
    </row>
    <row r="407" spans="1:22" x14ac:dyDescent="0.3">
      <c r="A407" s="1" t="s">
        <v>1306</v>
      </c>
      <c r="B407" s="1" t="s">
        <v>70</v>
      </c>
      <c r="C407" s="1" t="s">
        <v>71</v>
      </c>
      <c r="D407">
        <v>20</v>
      </c>
      <c r="E407" s="4">
        <v>42.12</v>
      </c>
      <c r="F407" s="1" t="s">
        <v>23</v>
      </c>
      <c r="G407" s="1" t="s">
        <v>24</v>
      </c>
      <c r="H407">
        <v>0.15</v>
      </c>
      <c r="I407" s="1" t="s">
        <v>25</v>
      </c>
      <c r="J407" s="4">
        <v>716.04</v>
      </c>
      <c r="K407" s="1" t="s">
        <v>101</v>
      </c>
      <c r="L407" s="1" t="s">
        <v>48</v>
      </c>
      <c r="M407">
        <v>0</v>
      </c>
      <c r="N407" s="1" t="s">
        <v>1307</v>
      </c>
      <c r="O407" s="1" t="s">
        <v>1308</v>
      </c>
      <c r="P407" s="4">
        <v>43.22</v>
      </c>
      <c r="Q407" s="2">
        <v>45021</v>
      </c>
      <c r="R407" s="1" t="s">
        <v>1032</v>
      </c>
      <c r="S407" s="1" t="s">
        <v>75</v>
      </c>
      <c r="T407" s="1" t="s">
        <v>147</v>
      </c>
      <c r="U407" s="5">
        <f>product_sales_data__1[[#This Row],[TotalPrice]]-product_sales_data__1[[#This Row],[ShippingCost]]</f>
        <v>672.81999999999994</v>
      </c>
      <c r="V407" s="5">
        <f>product_sales_data__1[[#This Row],[Quantity]]*product_sales_data__1[[#This Row],[UnitPrice]]*product_sales_data__1[[#This Row],[Discount]]</f>
        <v>126.35999999999999</v>
      </c>
    </row>
    <row r="408" spans="1:22" x14ac:dyDescent="0.3">
      <c r="A408" s="1" t="s">
        <v>285</v>
      </c>
      <c r="B408" s="1" t="s">
        <v>54</v>
      </c>
      <c r="C408" s="1" t="s">
        <v>127</v>
      </c>
      <c r="D408">
        <v>19</v>
      </c>
      <c r="E408" s="4">
        <v>534.91999999999996</v>
      </c>
      <c r="F408" s="1" t="s">
        <v>55</v>
      </c>
      <c r="G408" s="1" t="s">
        <v>37</v>
      </c>
      <c r="H408">
        <v>0</v>
      </c>
      <c r="I408" s="1" t="s">
        <v>78</v>
      </c>
      <c r="J408" s="4">
        <v>10163.48</v>
      </c>
      <c r="K408" s="1" t="s">
        <v>26</v>
      </c>
      <c r="L408" s="1" t="s">
        <v>48</v>
      </c>
      <c r="M408">
        <v>0</v>
      </c>
      <c r="N408" s="1" t="s">
        <v>1309</v>
      </c>
      <c r="O408" s="1" t="s">
        <v>1310</v>
      </c>
      <c r="P408" s="4">
        <v>26.97</v>
      </c>
      <c r="Q408" s="2">
        <v>44987</v>
      </c>
      <c r="R408" s="1" t="s">
        <v>288</v>
      </c>
      <c r="S408" s="1" t="s">
        <v>62</v>
      </c>
      <c r="T408" s="1" t="s">
        <v>98</v>
      </c>
      <c r="U408" s="5">
        <f>product_sales_data__1[[#This Row],[TotalPrice]]-product_sales_data__1[[#This Row],[ShippingCost]]</f>
        <v>10136.51</v>
      </c>
      <c r="V408" s="5">
        <f>product_sales_data__1[[#This Row],[Quantity]]*product_sales_data__1[[#This Row],[UnitPrice]]*product_sales_data__1[[#This Row],[Discount]]</f>
        <v>0</v>
      </c>
    </row>
    <row r="409" spans="1:22" x14ac:dyDescent="0.3">
      <c r="A409" s="1" t="s">
        <v>1085</v>
      </c>
      <c r="B409" s="1" t="s">
        <v>45</v>
      </c>
      <c r="C409" s="1" t="s">
        <v>127</v>
      </c>
      <c r="D409">
        <v>12</v>
      </c>
      <c r="E409" s="4">
        <v>489.14</v>
      </c>
      <c r="F409" s="1" t="s">
        <v>55</v>
      </c>
      <c r="G409" s="1" t="s">
        <v>37</v>
      </c>
      <c r="H409">
        <v>0.15</v>
      </c>
      <c r="I409" s="1" t="s">
        <v>94</v>
      </c>
      <c r="J409" s="4">
        <v>4989.2299999999996</v>
      </c>
      <c r="K409" s="1" t="s">
        <v>26</v>
      </c>
      <c r="L409" s="1" t="s">
        <v>58</v>
      </c>
      <c r="M409">
        <v>0</v>
      </c>
      <c r="N409" s="1" t="s">
        <v>1311</v>
      </c>
      <c r="O409" s="1" t="s">
        <v>1312</v>
      </c>
      <c r="P409" s="4">
        <v>29.31</v>
      </c>
      <c r="Q409" s="2">
        <v>45449</v>
      </c>
      <c r="R409" s="1" t="s">
        <v>1313</v>
      </c>
      <c r="S409" s="1" t="s">
        <v>51</v>
      </c>
      <c r="T409" s="1" t="s">
        <v>105</v>
      </c>
      <c r="U409" s="5">
        <f>product_sales_data__1[[#This Row],[TotalPrice]]-product_sales_data__1[[#This Row],[ShippingCost]]</f>
        <v>4959.9199999999992</v>
      </c>
      <c r="V409" s="5">
        <f>product_sales_data__1[[#This Row],[Quantity]]*product_sales_data__1[[#This Row],[UnitPrice]]*product_sales_data__1[[#This Row],[Discount]]</f>
        <v>880.452</v>
      </c>
    </row>
    <row r="410" spans="1:22" x14ac:dyDescent="0.3">
      <c r="A410" s="1" t="s">
        <v>1314</v>
      </c>
      <c r="B410" s="1" t="s">
        <v>21</v>
      </c>
      <c r="C410" s="1" t="s">
        <v>140</v>
      </c>
      <c r="D410">
        <v>17</v>
      </c>
      <c r="E410" s="4">
        <v>99.76</v>
      </c>
      <c r="F410" s="1" t="s">
        <v>36</v>
      </c>
      <c r="G410" s="1" t="s">
        <v>24</v>
      </c>
      <c r="H410">
        <v>0</v>
      </c>
      <c r="I410" s="1" t="s">
        <v>78</v>
      </c>
      <c r="J410" s="4">
        <v>1695.92</v>
      </c>
      <c r="K410" s="1" t="s">
        <v>26</v>
      </c>
      <c r="L410" s="1" t="s">
        <v>85</v>
      </c>
      <c r="M410">
        <v>1</v>
      </c>
      <c r="N410" s="1" t="s">
        <v>1315</v>
      </c>
      <c r="O410" s="1" t="s">
        <v>1316</v>
      </c>
      <c r="P410" s="4">
        <v>21.89</v>
      </c>
      <c r="Q410" s="2">
        <v>45362</v>
      </c>
      <c r="R410" s="1" t="s">
        <v>308</v>
      </c>
      <c r="S410" s="1" t="s">
        <v>31</v>
      </c>
      <c r="T410" s="1" t="s">
        <v>98</v>
      </c>
      <c r="U410" s="5">
        <f>product_sales_data__1[[#This Row],[TotalPrice]]-product_sales_data__1[[#This Row],[ShippingCost]]</f>
        <v>1674.03</v>
      </c>
      <c r="V410" s="5">
        <f>product_sales_data__1[[#This Row],[Quantity]]*product_sales_data__1[[#This Row],[UnitPrice]]*product_sales_data__1[[#This Row],[Discount]]</f>
        <v>0</v>
      </c>
    </row>
    <row r="411" spans="1:22" x14ac:dyDescent="0.3">
      <c r="A411" s="1" t="s">
        <v>876</v>
      </c>
      <c r="B411" s="1" t="s">
        <v>21</v>
      </c>
      <c r="C411" s="1" t="s">
        <v>140</v>
      </c>
      <c r="D411">
        <v>14</v>
      </c>
      <c r="E411" s="4">
        <v>575.66</v>
      </c>
      <c r="F411" s="1" t="s">
        <v>36</v>
      </c>
      <c r="G411" s="1" t="s">
        <v>24</v>
      </c>
      <c r="H411">
        <v>0.1</v>
      </c>
      <c r="I411" s="1" t="s">
        <v>56</v>
      </c>
      <c r="J411" s="4">
        <v>7253.32</v>
      </c>
      <c r="K411" s="1" t="s">
        <v>101</v>
      </c>
      <c r="L411" s="1" t="s">
        <v>48</v>
      </c>
      <c r="M411">
        <v>0</v>
      </c>
      <c r="N411" s="1" t="s">
        <v>1317</v>
      </c>
      <c r="O411" s="1" t="s">
        <v>1318</v>
      </c>
      <c r="P411" s="4">
        <v>32.53</v>
      </c>
      <c r="Q411" s="2">
        <v>45353</v>
      </c>
      <c r="R411" s="1" t="s">
        <v>514</v>
      </c>
      <c r="S411" s="1" t="s">
        <v>31</v>
      </c>
      <c r="T411" s="1" t="s">
        <v>98</v>
      </c>
      <c r="U411" s="5">
        <f>product_sales_data__1[[#This Row],[TotalPrice]]-product_sales_data__1[[#This Row],[ShippingCost]]</f>
        <v>7220.79</v>
      </c>
      <c r="V411" s="5">
        <f>product_sales_data__1[[#This Row],[Quantity]]*product_sales_data__1[[#This Row],[UnitPrice]]*product_sales_data__1[[#This Row],[Discount]]</f>
        <v>805.92399999999998</v>
      </c>
    </row>
    <row r="412" spans="1:22" x14ac:dyDescent="0.3">
      <c r="A412" s="1" t="s">
        <v>1104</v>
      </c>
      <c r="B412" s="1" t="s">
        <v>70</v>
      </c>
      <c r="C412" s="1" t="s">
        <v>35</v>
      </c>
      <c r="D412">
        <v>6</v>
      </c>
      <c r="E412" s="4">
        <v>176.52</v>
      </c>
      <c r="F412" s="1" t="s">
        <v>55</v>
      </c>
      <c r="G412" s="1" t="s">
        <v>24</v>
      </c>
      <c r="H412">
        <v>0.15</v>
      </c>
      <c r="I412" s="1" t="s">
        <v>25</v>
      </c>
      <c r="J412" s="4">
        <v>900.25</v>
      </c>
      <c r="K412" s="1" t="s">
        <v>26</v>
      </c>
      <c r="L412" s="1" t="s">
        <v>85</v>
      </c>
      <c r="M412">
        <v>0</v>
      </c>
      <c r="N412" s="1" t="s">
        <v>1319</v>
      </c>
      <c r="O412" s="1" t="s">
        <v>1320</v>
      </c>
      <c r="P412" s="4">
        <v>16.98</v>
      </c>
      <c r="Q412" s="2">
        <v>45200</v>
      </c>
      <c r="R412" s="1" t="s">
        <v>849</v>
      </c>
      <c r="S412" s="1" t="s">
        <v>75</v>
      </c>
      <c r="T412" s="1" t="s">
        <v>32</v>
      </c>
      <c r="U412" s="5">
        <f>product_sales_data__1[[#This Row],[TotalPrice]]-product_sales_data__1[[#This Row],[ShippingCost]]</f>
        <v>883.27</v>
      </c>
      <c r="V412" s="5">
        <f>product_sales_data__1[[#This Row],[Quantity]]*product_sales_data__1[[#This Row],[UnitPrice]]*product_sales_data__1[[#This Row],[Discount]]</f>
        <v>158.86800000000002</v>
      </c>
    </row>
    <row r="413" spans="1:22" x14ac:dyDescent="0.3">
      <c r="A413" s="1" t="s">
        <v>1104</v>
      </c>
      <c r="B413" s="1" t="s">
        <v>70</v>
      </c>
      <c r="C413" s="1" t="s">
        <v>22</v>
      </c>
      <c r="D413">
        <v>13</v>
      </c>
      <c r="E413" s="4">
        <v>347.73</v>
      </c>
      <c r="F413" s="1" t="s">
        <v>23</v>
      </c>
      <c r="G413" s="1" t="s">
        <v>24</v>
      </c>
      <c r="H413">
        <v>0.05</v>
      </c>
      <c r="I413" s="1" t="s">
        <v>78</v>
      </c>
      <c r="J413" s="4">
        <v>4294.47</v>
      </c>
      <c r="K413" s="1" t="s">
        <v>57</v>
      </c>
      <c r="L413" s="1" t="s">
        <v>85</v>
      </c>
      <c r="M413">
        <v>1</v>
      </c>
      <c r="N413" s="1" t="s">
        <v>1321</v>
      </c>
      <c r="O413" s="1" t="s">
        <v>1322</v>
      </c>
      <c r="P413" s="4">
        <v>31.81</v>
      </c>
      <c r="Q413" s="2">
        <v>45200</v>
      </c>
      <c r="R413" s="1" t="s">
        <v>456</v>
      </c>
      <c r="S413" s="1" t="s">
        <v>75</v>
      </c>
      <c r="T413" s="1" t="s">
        <v>32</v>
      </c>
      <c r="U413" s="5">
        <f>product_sales_data__1[[#This Row],[TotalPrice]]-product_sales_data__1[[#This Row],[ShippingCost]]</f>
        <v>4262.66</v>
      </c>
      <c r="V413" s="5">
        <f>product_sales_data__1[[#This Row],[Quantity]]*product_sales_data__1[[#This Row],[UnitPrice]]*product_sales_data__1[[#This Row],[Discount]]</f>
        <v>226.02449999999999</v>
      </c>
    </row>
    <row r="414" spans="1:22" x14ac:dyDescent="0.3">
      <c r="A414" s="1" t="s">
        <v>639</v>
      </c>
      <c r="B414" s="1" t="s">
        <v>45</v>
      </c>
      <c r="C414" s="1" t="s">
        <v>35</v>
      </c>
      <c r="D414">
        <v>3</v>
      </c>
      <c r="E414" s="4">
        <v>371.21</v>
      </c>
      <c r="F414" s="1" t="s">
        <v>36</v>
      </c>
      <c r="G414" s="1" t="s">
        <v>24</v>
      </c>
      <c r="H414">
        <v>0.1</v>
      </c>
      <c r="I414" s="1" t="s">
        <v>65</v>
      </c>
      <c r="J414" s="4">
        <v>1002.27</v>
      </c>
      <c r="K414" s="1" t="s">
        <v>57</v>
      </c>
      <c r="L414" s="1" t="s">
        <v>58</v>
      </c>
      <c r="M414">
        <v>0</v>
      </c>
      <c r="N414" s="1" t="s">
        <v>1323</v>
      </c>
      <c r="O414" s="1" t="s">
        <v>1324</v>
      </c>
      <c r="P414" s="4">
        <v>20.02</v>
      </c>
      <c r="Q414" s="2">
        <v>45905</v>
      </c>
      <c r="R414" s="1" t="s">
        <v>1271</v>
      </c>
      <c r="S414" s="1" t="s">
        <v>51</v>
      </c>
      <c r="T414" s="1" t="s">
        <v>52</v>
      </c>
      <c r="U414" s="5">
        <f>product_sales_data__1[[#This Row],[TotalPrice]]-product_sales_data__1[[#This Row],[ShippingCost]]</f>
        <v>982.25</v>
      </c>
      <c r="V414" s="5">
        <f>product_sales_data__1[[#This Row],[Quantity]]*product_sales_data__1[[#This Row],[UnitPrice]]*product_sales_data__1[[#This Row],[Discount]]</f>
        <v>111.363</v>
      </c>
    </row>
    <row r="415" spans="1:22" x14ac:dyDescent="0.3">
      <c r="A415" s="1" t="s">
        <v>743</v>
      </c>
      <c r="B415" s="1" t="s">
        <v>70</v>
      </c>
      <c r="C415" s="1" t="s">
        <v>140</v>
      </c>
      <c r="D415">
        <v>12</v>
      </c>
      <c r="E415" s="4">
        <v>434.33</v>
      </c>
      <c r="F415" s="1" t="s">
        <v>84</v>
      </c>
      <c r="G415" s="1" t="s">
        <v>24</v>
      </c>
      <c r="H415">
        <v>0.15</v>
      </c>
      <c r="I415" s="1" t="s">
        <v>94</v>
      </c>
      <c r="J415" s="4">
        <v>4430.17</v>
      </c>
      <c r="K415" s="1" t="s">
        <v>47</v>
      </c>
      <c r="L415" s="1" t="s">
        <v>85</v>
      </c>
      <c r="M415">
        <v>0</v>
      </c>
      <c r="N415" s="1" t="s">
        <v>1325</v>
      </c>
      <c r="O415" s="1" t="s">
        <v>1326</v>
      </c>
      <c r="P415" s="4">
        <v>15.33</v>
      </c>
      <c r="Q415" s="2">
        <v>45508</v>
      </c>
      <c r="R415" s="1" t="s">
        <v>342</v>
      </c>
      <c r="S415" s="1" t="s">
        <v>75</v>
      </c>
      <c r="T415" s="1" t="s">
        <v>82</v>
      </c>
      <c r="U415" s="5">
        <f>product_sales_data__1[[#This Row],[TotalPrice]]-product_sales_data__1[[#This Row],[ShippingCost]]</f>
        <v>4414.84</v>
      </c>
      <c r="V415" s="5">
        <f>product_sales_data__1[[#This Row],[Quantity]]*product_sales_data__1[[#This Row],[UnitPrice]]*product_sales_data__1[[#This Row],[Discount]]</f>
        <v>781.79399999999998</v>
      </c>
    </row>
    <row r="416" spans="1:22" x14ac:dyDescent="0.3">
      <c r="A416" s="1" t="s">
        <v>507</v>
      </c>
      <c r="B416" s="1" t="s">
        <v>70</v>
      </c>
      <c r="C416" s="1" t="s">
        <v>127</v>
      </c>
      <c r="D416">
        <v>16</v>
      </c>
      <c r="E416" s="4">
        <v>426.65</v>
      </c>
      <c r="F416" s="1" t="s">
        <v>84</v>
      </c>
      <c r="G416" s="1" t="s">
        <v>37</v>
      </c>
      <c r="H416">
        <v>0.1</v>
      </c>
      <c r="I416" s="1" t="s">
        <v>78</v>
      </c>
      <c r="J416" s="4">
        <v>6143.76</v>
      </c>
      <c r="K416" s="1" t="s">
        <v>57</v>
      </c>
      <c r="L416" s="1" t="s">
        <v>48</v>
      </c>
      <c r="M416">
        <v>0</v>
      </c>
      <c r="N416" s="1" t="s">
        <v>1327</v>
      </c>
      <c r="O416" s="1" t="s">
        <v>1328</v>
      </c>
      <c r="P416" s="4">
        <v>10.199999999999999</v>
      </c>
      <c r="Q416" s="2">
        <v>45813</v>
      </c>
      <c r="R416" s="1" t="s">
        <v>1329</v>
      </c>
      <c r="S416" s="1" t="s">
        <v>75</v>
      </c>
      <c r="T416" s="1" t="s">
        <v>105</v>
      </c>
      <c r="U416" s="5">
        <f>product_sales_data__1[[#This Row],[TotalPrice]]-product_sales_data__1[[#This Row],[ShippingCost]]</f>
        <v>6133.56</v>
      </c>
      <c r="V416" s="5">
        <f>product_sales_data__1[[#This Row],[Quantity]]*product_sales_data__1[[#This Row],[UnitPrice]]*product_sales_data__1[[#This Row],[Discount]]</f>
        <v>682.64</v>
      </c>
    </row>
    <row r="417" spans="1:22" x14ac:dyDescent="0.3">
      <c r="A417" s="1" t="s">
        <v>1330</v>
      </c>
      <c r="B417" s="1" t="s">
        <v>70</v>
      </c>
      <c r="C417" s="1" t="s">
        <v>35</v>
      </c>
      <c r="D417">
        <v>5</v>
      </c>
      <c r="E417" s="4">
        <v>411.24</v>
      </c>
      <c r="F417" s="1" t="s">
        <v>84</v>
      </c>
      <c r="G417" s="1" t="s">
        <v>24</v>
      </c>
      <c r="H417">
        <v>0.15</v>
      </c>
      <c r="I417" s="1" t="s">
        <v>94</v>
      </c>
      <c r="J417" s="4">
        <v>1747.77</v>
      </c>
      <c r="K417" s="1" t="s">
        <v>47</v>
      </c>
      <c r="L417" s="1" t="s">
        <v>27</v>
      </c>
      <c r="M417">
        <v>1</v>
      </c>
      <c r="N417" s="1" t="s">
        <v>1331</v>
      </c>
      <c r="O417" s="1" t="s">
        <v>1332</v>
      </c>
      <c r="P417" s="4">
        <v>5.35</v>
      </c>
      <c r="Q417" s="2">
        <v>45081</v>
      </c>
      <c r="R417" s="1" t="s">
        <v>293</v>
      </c>
      <c r="S417" s="1" t="s">
        <v>75</v>
      </c>
      <c r="T417" s="1" t="s">
        <v>105</v>
      </c>
      <c r="U417" s="5">
        <f>product_sales_data__1[[#This Row],[TotalPrice]]-product_sales_data__1[[#This Row],[ShippingCost]]</f>
        <v>1742.42</v>
      </c>
      <c r="V417" s="5">
        <f>product_sales_data__1[[#This Row],[Quantity]]*product_sales_data__1[[#This Row],[UnitPrice]]*product_sales_data__1[[#This Row],[Discount]]</f>
        <v>308.42999999999995</v>
      </c>
    </row>
    <row r="418" spans="1:22" x14ac:dyDescent="0.3">
      <c r="A418" s="1" t="s">
        <v>799</v>
      </c>
      <c r="B418" s="1" t="s">
        <v>21</v>
      </c>
      <c r="C418" s="1" t="s">
        <v>22</v>
      </c>
      <c r="D418">
        <v>19</v>
      </c>
      <c r="E418" s="4">
        <v>25.61</v>
      </c>
      <c r="F418" s="1" t="s">
        <v>23</v>
      </c>
      <c r="G418" s="1" t="s">
        <v>37</v>
      </c>
      <c r="H418">
        <v>0</v>
      </c>
      <c r="I418" s="1" t="s">
        <v>94</v>
      </c>
      <c r="J418" s="4">
        <v>486.59</v>
      </c>
      <c r="K418" s="1" t="s">
        <v>57</v>
      </c>
      <c r="L418" s="1" t="s">
        <v>48</v>
      </c>
      <c r="M418">
        <v>0</v>
      </c>
      <c r="N418" s="1" t="s">
        <v>1333</v>
      </c>
      <c r="O418" s="1" t="s">
        <v>1334</v>
      </c>
      <c r="P418" s="4">
        <v>30.32</v>
      </c>
      <c r="Q418" s="2">
        <v>45361</v>
      </c>
      <c r="R418" s="1" t="s">
        <v>699</v>
      </c>
      <c r="S418" s="1" t="s">
        <v>31</v>
      </c>
      <c r="T418" s="1" t="s">
        <v>98</v>
      </c>
      <c r="U418" s="5">
        <f>product_sales_data__1[[#This Row],[TotalPrice]]-product_sales_data__1[[#This Row],[ShippingCost]]</f>
        <v>456.27</v>
      </c>
      <c r="V418" s="5">
        <f>product_sales_data__1[[#This Row],[Quantity]]*product_sales_data__1[[#This Row],[UnitPrice]]*product_sales_data__1[[#This Row],[Discount]]</f>
        <v>0</v>
      </c>
    </row>
    <row r="419" spans="1:22" x14ac:dyDescent="0.3">
      <c r="A419" s="1" t="s">
        <v>131</v>
      </c>
      <c r="B419" s="1" t="s">
        <v>34</v>
      </c>
      <c r="C419" s="1" t="s">
        <v>22</v>
      </c>
      <c r="D419">
        <v>4</v>
      </c>
      <c r="E419" s="4">
        <v>467.45</v>
      </c>
      <c r="F419" s="1" t="s">
        <v>36</v>
      </c>
      <c r="G419" s="1" t="s">
        <v>24</v>
      </c>
      <c r="H419">
        <v>0.05</v>
      </c>
      <c r="I419" s="1" t="s">
        <v>56</v>
      </c>
      <c r="J419" s="4">
        <v>1776.31</v>
      </c>
      <c r="K419" s="1" t="s">
        <v>57</v>
      </c>
      <c r="L419" s="1" t="s">
        <v>27</v>
      </c>
      <c r="M419">
        <v>0</v>
      </c>
      <c r="N419" s="1" t="s">
        <v>1335</v>
      </c>
      <c r="O419" s="1" t="s">
        <v>1336</v>
      </c>
      <c r="P419" s="4">
        <v>25.05</v>
      </c>
      <c r="Q419" s="2">
        <v>44994</v>
      </c>
      <c r="R419" s="1" t="s">
        <v>1042</v>
      </c>
      <c r="S419" s="1" t="s">
        <v>42</v>
      </c>
      <c r="T419" s="1" t="s">
        <v>98</v>
      </c>
      <c r="U419" s="5">
        <f>product_sales_data__1[[#This Row],[TotalPrice]]-product_sales_data__1[[#This Row],[ShippingCost]]</f>
        <v>1751.26</v>
      </c>
      <c r="V419" s="5">
        <f>product_sales_data__1[[#This Row],[Quantity]]*product_sales_data__1[[#This Row],[UnitPrice]]*product_sales_data__1[[#This Row],[Discount]]</f>
        <v>93.490000000000009</v>
      </c>
    </row>
    <row r="420" spans="1:22" x14ac:dyDescent="0.3">
      <c r="A420" s="1" t="s">
        <v>368</v>
      </c>
      <c r="B420" s="1" t="s">
        <v>21</v>
      </c>
      <c r="C420" s="1" t="s">
        <v>71</v>
      </c>
      <c r="D420">
        <v>8</v>
      </c>
      <c r="E420" s="4">
        <v>57.85</v>
      </c>
      <c r="F420" s="1" t="s">
        <v>55</v>
      </c>
      <c r="G420" s="1" t="s">
        <v>24</v>
      </c>
      <c r="H420">
        <v>0</v>
      </c>
      <c r="I420" s="1" t="s">
        <v>56</v>
      </c>
      <c r="J420" s="4">
        <v>462.8</v>
      </c>
      <c r="K420" s="1" t="s">
        <v>26</v>
      </c>
      <c r="L420" s="1" t="s">
        <v>27</v>
      </c>
      <c r="M420">
        <v>1</v>
      </c>
      <c r="N420" s="1" t="s">
        <v>1337</v>
      </c>
      <c r="O420" s="1" t="s">
        <v>1338</v>
      </c>
      <c r="P420" s="4">
        <v>49.82</v>
      </c>
      <c r="Q420" s="2">
        <v>45632</v>
      </c>
      <c r="R420" s="1" t="s">
        <v>1339</v>
      </c>
      <c r="S420" s="1" t="s">
        <v>31</v>
      </c>
      <c r="T420" s="1" t="s">
        <v>76</v>
      </c>
      <c r="U420" s="5">
        <f>product_sales_data__1[[#This Row],[TotalPrice]]-product_sales_data__1[[#This Row],[ShippingCost]]</f>
        <v>412.98</v>
      </c>
      <c r="V420" s="5">
        <f>product_sales_data__1[[#This Row],[Quantity]]*product_sales_data__1[[#This Row],[UnitPrice]]*product_sales_data__1[[#This Row],[Discount]]</f>
        <v>0</v>
      </c>
    </row>
    <row r="421" spans="1:22" x14ac:dyDescent="0.3">
      <c r="A421" s="1" t="s">
        <v>1340</v>
      </c>
      <c r="B421" s="1" t="s">
        <v>34</v>
      </c>
      <c r="C421" s="1" t="s">
        <v>71</v>
      </c>
      <c r="D421">
        <v>10</v>
      </c>
      <c r="E421" s="4">
        <v>522.73</v>
      </c>
      <c r="F421" s="1" t="s">
        <v>36</v>
      </c>
      <c r="G421" s="1" t="s">
        <v>37</v>
      </c>
      <c r="H421">
        <v>0.1</v>
      </c>
      <c r="I421" s="1" t="s">
        <v>94</v>
      </c>
      <c r="J421" s="4">
        <v>4704.57</v>
      </c>
      <c r="K421" s="1" t="s">
        <v>101</v>
      </c>
      <c r="L421" s="1" t="s">
        <v>48</v>
      </c>
      <c r="M421">
        <v>0</v>
      </c>
      <c r="N421" s="1" t="s">
        <v>1341</v>
      </c>
      <c r="O421" s="1" t="s">
        <v>1342</v>
      </c>
      <c r="P421" s="4">
        <v>20.059999999999999</v>
      </c>
      <c r="Q421" s="2">
        <v>45543</v>
      </c>
      <c r="R421" s="1" t="s">
        <v>449</v>
      </c>
      <c r="S421" s="1" t="s">
        <v>42</v>
      </c>
      <c r="T421" s="1" t="s">
        <v>52</v>
      </c>
      <c r="U421" s="5">
        <f>product_sales_data__1[[#This Row],[TotalPrice]]-product_sales_data__1[[#This Row],[ShippingCost]]</f>
        <v>4684.5099999999993</v>
      </c>
      <c r="V421" s="5">
        <f>product_sales_data__1[[#This Row],[Quantity]]*product_sales_data__1[[#This Row],[UnitPrice]]*product_sales_data__1[[#This Row],[Discount]]</f>
        <v>522.73</v>
      </c>
    </row>
    <row r="422" spans="1:22" x14ac:dyDescent="0.3">
      <c r="A422" s="1" t="s">
        <v>333</v>
      </c>
      <c r="B422" s="1" t="s">
        <v>21</v>
      </c>
      <c r="C422" s="1" t="s">
        <v>109</v>
      </c>
      <c r="D422">
        <v>18</v>
      </c>
      <c r="E422" s="4">
        <v>448.03</v>
      </c>
      <c r="F422" s="1" t="s">
        <v>23</v>
      </c>
      <c r="G422" s="1" t="s">
        <v>37</v>
      </c>
      <c r="H422">
        <v>0.15</v>
      </c>
      <c r="I422" s="1" t="s">
        <v>56</v>
      </c>
      <c r="J422" s="4">
        <v>6854.86</v>
      </c>
      <c r="K422" s="1" t="s">
        <v>47</v>
      </c>
      <c r="L422" s="1" t="s">
        <v>27</v>
      </c>
      <c r="M422">
        <v>1</v>
      </c>
      <c r="N422" s="1" t="s">
        <v>1343</v>
      </c>
      <c r="O422" s="1" t="s">
        <v>1344</v>
      </c>
      <c r="P422" s="4">
        <v>13.23</v>
      </c>
      <c r="Q422" s="2">
        <v>45511</v>
      </c>
      <c r="R422" s="1" t="s">
        <v>220</v>
      </c>
      <c r="S422" s="1" t="s">
        <v>31</v>
      </c>
      <c r="T422" s="1" t="s">
        <v>82</v>
      </c>
      <c r="U422" s="5">
        <f>product_sales_data__1[[#This Row],[TotalPrice]]-product_sales_data__1[[#This Row],[ShippingCost]]</f>
        <v>6841.63</v>
      </c>
      <c r="V422" s="5">
        <f>product_sales_data__1[[#This Row],[Quantity]]*product_sales_data__1[[#This Row],[UnitPrice]]*product_sales_data__1[[#This Row],[Discount]]</f>
        <v>1209.6809999999998</v>
      </c>
    </row>
    <row r="423" spans="1:22" x14ac:dyDescent="0.3">
      <c r="A423" s="1" t="s">
        <v>266</v>
      </c>
      <c r="B423" s="1" t="s">
        <v>70</v>
      </c>
      <c r="C423" s="1" t="s">
        <v>140</v>
      </c>
      <c r="D423">
        <v>15</v>
      </c>
      <c r="E423" s="4">
        <v>140.54</v>
      </c>
      <c r="F423" s="1" t="s">
        <v>84</v>
      </c>
      <c r="G423" s="1" t="s">
        <v>24</v>
      </c>
      <c r="H423">
        <v>0.1</v>
      </c>
      <c r="I423" s="1" t="s">
        <v>65</v>
      </c>
      <c r="J423" s="4">
        <v>1897.29</v>
      </c>
      <c r="K423" s="1" t="s">
        <v>101</v>
      </c>
      <c r="L423" s="1" t="s">
        <v>58</v>
      </c>
      <c r="M423">
        <v>0</v>
      </c>
      <c r="N423" s="1" t="s">
        <v>1345</v>
      </c>
      <c r="O423" s="1" t="s">
        <v>1346</v>
      </c>
      <c r="P423" s="4">
        <v>49.91</v>
      </c>
      <c r="Q423" s="2">
        <v>45607</v>
      </c>
      <c r="R423" s="1" t="s">
        <v>1347</v>
      </c>
      <c r="S423" s="1" t="s">
        <v>75</v>
      </c>
      <c r="T423" s="1" t="s">
        <v>43</v>
      </c>
      <c r="U423" s="5">
        <f>product_sales_data__1[[#This Row],[TotalPrice]]-product_sales_data__1[[#This Row],[ShippingCost]]</f>
        <v>1847.3799999999999</v>
      </c>
      <c r="V423" s="5">
        <f>product_sales_data__1[[#This Row],[Quantity]]*product_sales_data__1[[#This Row],[UnitPrice]]*product_sales_data__1[[#This Row],[Discount]]</f>
        <v>210.81</v>
      </c>
    </row>
    <row r="424" spans="1:22" x14ac:dyDescent="0.3">
      <c r="A424" s="1" t="s">
        <v>1348</v>
      </c>
      <c r="B424" s="1" t="s">
        <v>54</v>
      </c>
      <c r="C424" s="1" t="s">
        <v>22</v>
      </c>
      <c r="D424">
        <v>17</v>
      </c>
      <c r="E424" s="4">
        <v>460.31</v>
      </c>
      <c r="F424" s="1" t="s">
        <v>84</v>
      </c>
      <c r="G424" s="1" t="s">
        <v>37</v>
      </c>
      <c r="H424">
        <v>0.15</v>
      </c>
      <c r="I424" s="1" t="s">
        <v>78</v>
      </c>
      <c r="J424" s="4">
        <v>6651.48</v>
      </c>
      <c r="K424" s="1" t="s">
        <v>26</v>
      </c>
      <c r="L424" s="1" t="s">
        <v>27</v>
      </c>
      <c r="M424">
        <v>0</v>
      </c>
      <c r="N424" s="1" t="s">
        <v>1349</v>
      </c>
      <c r="O424" s="1" t="s">
        <v>1350</v>
      </c>
      <c r="P424" s="4">
        <v>40.18</v>
      </c>
      <c r="Q424" s="2">
        <v>45119</v>
      </c>
      <c r="R424" s="1" t="s">
        <v>1351</v>
      </c>
      <c r="S424" s="1" t="s">
        <v>62</v>
      </c>
      <c r="T424" s="1" t="s">
        <v>117</v>
      </c>
      <c r="U424" s="5">
        <f>product_sales_data__1[[#This Row],[TotalPrice]]-product_sales_data__1[[#This Row],[ShippingCost]]</f>
        <v>6611.2999999999993</v>
      </c>
      <c r="V424" s="5">
        <f>product_sales_data__1[[#This Row],[Quantity]]*product_sales_data__1[[#This Row],[UnitPrice]]*product_sales_data__1[[#This Row],[Discount]]</f>
        <v>1173.7905000000001</v>
      </c>
    </row>
    <row r="425" spans="1:22" x14ac:dyDescent="0.3">
      <c r="A425" s="1" t="s">
        <v>763</v>
      </c>
      <c r="B425" s="1" t="s">
        <v>54</v>
      </c>
      <c r="C425" s="1" t="s">
        <v>22</v>
      </c>
      <c r="D425">
        <v>6</v>
      </c>
      <c r="E425" s="4">
        <v>287.72000000000003</v>
      </c>
      <c r="F425" s="1" t="s">
        <v>84</v>
      </c>
      <c r="G425" s="1" t="s">
        <v>37</v>
      </c>
      <c r="H425">
        <v>0.05</v>
      </c>
      <c r="I425" s="1" t="s">
        <v>94</v>
      </c>
      <c r="J425" s="4">
        <v>1640</v>
      </c>
      <c r="K425" s="1" t="s">
        <v>38</v>
      </c>
      <c r="L425" s="1" t="s">
        <v>27</v>
      </c>
      <c r="M425">
        <v>0</v>
      </c>
      <c r="N425" s="1" t="s">
        <v>1352</v>
      </c>
      <c r="O425" s="1" t="s">
        <v>1353</v>
      </c>
      <c r="P425" s="4">
        <v>17.14</v>
      </c>
      <c r="Q425" s="2">
        <v>45176</v>
      </c>
      <c r="R425" s="1" t="s">
        <v>1354</v>
      </c>
      <c r="S425" s="1" t="s">
        <v>62</v>
      </c>
      <c r="T425" s="1" t="s">
        <v>52</v>
      </c>
      <c r="U425" s="5">
        <f>product_sales_data__1[[#This Row],[TotalPrice]]-product_sales_data__1[[#This Row],[ShippingCost]]</f>
        <v>1622.86</v>
      </c>
      <c r="V425" s="5">
        <f>product_sales_data__1[[#This Row],[Quantity]]*product_sales_data__1[[#This Row],[UnitPrice]]*product_sales_data__1[[#This Row],[Discount]]</f>
        <v>86.316000000000017</v>
      </c>
    </row>
    <row r="426" spans="1:22" x14ac:dyDescent="0.3">
      <c r="A426" s="1" t="s">
        <v>900</v>
      </c>
      <c r="B426" s="1" t="s">
        <v>21</v>
      </c>
      <c r="C426" s="1" t="s">
        <v>109</v>
      </c>
      <c r="D426">
        <v>10</v>
      </c>
      <c r="E426" s="4">
        <v>396.73</v>
      </c>
      <c r="F426" s="1" t="s">
        <v>23</v>
      </c>
      <c r="G426" s="1" t="s">
        <v>37</v>
      </c>
      <c r="H426">
        <v>0.1</v>
      </c>
      <c r="I426" s="1" t="s">
        <v>65</v>
      </c>
      <c r="J426" s="4">
        <v>3570.57</v>
      </c>
      <c r="K426" s="1" t="s">
        <v>26</v>
      </c>
      <c r="L426" s="1" t="s">
        <v>85</v>
      </c>
      <c r="M426">
        <v>0</v>
      </c>
      <c r="N426" s="1" t="s">
        <v>1355</v>
      </c>
      <c r="O426" s="1" t="s">
        <v>1356</v>
      </c>
      <c r="P426" s="4">
        <v>18.13</v>
      </c>
      <c r="Q426" s="2">
        <v>45871</v>
      </c>
      <c r="R426" s="1" t="s">
        <v>780</v>
      </c>
      <c r="S426" s="1" t="s">
        <v>31</v>
      </c>
      <c r="T426" s="1" t="s">
        <v>82</v>
      </c>
      <c r="U426" s="5">
        <f>product_sales_data__1[[#This Row],[TotalPrice]]-product_sales_data__1[[#This Row],[ShippingCost]]</f>
        <v>3552.44</v>
      </c>
      <c r="V426" s="5">
        <f>product_sales_data__1[[#This Row],[Quantity]]*product_sales_data__1[[#This Row],[UnitPrice]]*product_sales_data__1[[#This Row],[Discount]]</f>
        <v>396.73</v>
      </c>
    </row>
    <row r="427" spans="1:22" x14ac:dyDescent="0.3">
      <c r="A427" s="1" t="s">
        <v>89</v>
      </c>
      <c r="B427" s="1" t="s">
        <v>70</v>
      </c>
      <c r="C427" s="1" t="s">
        <v>100</v>
      </c>
      <c r="D427">
        <v>1</v>
      </c>
      <c r="E427" s="4">
        <v>299.66000000000003</v>
      </c>
      <c r="F427" s="1" t="s">
        <v>84</v>
      </c>
      <c r="G427" s="1" t="s">
        <v>37</v>
      </c>
      <c r="H427">
        <v>0.1</v>
      </c>
      <c r="I427" s="1" t="s">
        <v>78</v>
      </c>
      <c r="J427" s="4">
        <v>269.69</v>
      </c>
      <c r="K427" s="1" t="s">
        <v>47</v>
      </c>
      <c r="L427" s="1" t="s">
        <v>58</v>
      </c>
      <c r="M427">
        <v>0</v>
      </c>
      <c r="N427" s="1" t="s">
        <v>1357</v>
      </c>
      <c r="O427" s="1" t="s">
        <v>1358</v>
      </c>
      <c r="P427" s="4">
        <v>38.94</v>
      </c>
      <c r="Q427" s="2">
        <v>45783</v>
      </c>
      <c r="R427" s="1" t="s">
        <v>915</v>
      </c>
      <c r="S427" s="1" t="s">
        <v>75</v>
      </c>
      <c r="T427" s="1" t="s">
        <v>63</v>
      </c>
      <c r="U427" s="5">
        <f>product_sales_data__1[[#This Row],[TotalPrice]]-product_sales_data__1[[#This Row],[ShippingCost]]</f>
        <v>230.75</v>
      </c>
      <c r="V427" s="5">
        <f>product_sales_data__1[[#This Row],[Quantity]]*product_sales_data__1[[#This Row],[UnitPrice]]*product_sales_data__1[[#This Row],[Discount]]</f>
        <v>29.966000000000005</v>
      </c>
    </row>
    <row r="428" spans="1:22" x14ac:dyDescent="0.3">
      <c r="A428" s="1" t="s">
        <v>850</v>
      </c>
      <c r="B428" s="1" t="s">
        <v>45</v>
      </c>
      <c r="C428" s="1" t="s">
        <v>71</v>
      </c>
      <c r="D428">
        <v>17</v>
      </c>
      <c r="E428" s="4">
        <v>588.58000000000004</v>
      </c>
      <c r="F428" s="1" t="s">
        <v>55</v>
      </c>
      <c r="G428" s="1" t="s">
        <v>24</v>
      </c>
      <c r="H428">
        <v>0.05</v>
      </c>
      <c r="I428" s="1" t="s">
        <v>78</v>
      </c>
      <c r="J428" s="4">
        <v>9505.57</v>
      </c>
      <c r="K428" s="1" t="s">
        <v>38</v>
      </c>
      <c r="L428" s="1" t="s">
        <v>58</v>
      </c>
      <c r="M428">
        <v>1</v>
      </c>
      <c r="N428" s="1" t="s">
        <v>1359</v>
      </c>
      <c r="O428" s="1" t="s">
        <v>1360</v>
      </c>
      <c r="P428" s="4">
        <v>25.31</v>
      </c>
      <c r="Q428" s="2">
        <v>45086</v>
      </c>
      <c r="R428" s="1" t="s">
        <v>1042</v>
      </c>
      <c r="S428" s="1" t="s">
        <v>51</v>
      </c>
      <c r="T428" s="1" t="s">
        <v>105</v>
      </c>
      <c r="U428" s="5">
        <f>product_sales_data__1[[#This Row],[TotalPrice]]-product_sales_data__1[[#This Row],[ShippingCost]]</f>
        <v>9480.26</v>
      </c>
      <c r="V428" s="5">
        <f>product_sales_data__1[[#This Row],[Quantity]]*product_sales_data__1[[#This Row],[UnitPrice]]*product_sales_data__1[[#This Row],[Discount]]</f>
        <v>500.29300000000006</v>
      </c>
    </row>
    <row r="429" spans="1:22" x14ac:dyDescent="0.3">
      <c r="A429" s="1" t="s">
        <v>188</v>
      </c>
      <c r="B429" s="1" t="s">
        <v>34</v>
      </c>
      <c r="C429" s="1" t="s">
        <v>100</v>
      </c>
      <c r="D429">
        <v>3</v>
      </c>
      <c r="E429" s="4">
        <v>260.72000000000003</v>
      </c>
      <c r="F429" s="1" t="s">
        <v>23</v>
      </c>
      <c r="G429" s="1" t="s">
        <v>24</v>
      </c>
      <c r="H429">
        <v>0.15</v>
      </c>
      <c r="I429" s="1" t="s">
        <v>56</v>
      </c>
      <c r="J429" s="4">
        <v>664.84</v>
      </c>
      <c r="K429" s="1" t="s">
        <v>26</v>
      </c>
      <c r="L429" s="1" t="s">
        <v>27</v>
      </c>
      <c r="M429">
        <v>0</v>
      </c>
      <c r="N429" s="1" t="s">
        <v>1361</v>
      </c>
      <c r="O429" s="1" t="s">
        <v>1362</v>
      </c>
      <c r="P429" s="4">
        <v>19.41</v>
      </c>
      <c r="Q429" s="2">
        <v>45354</v>
      </c>
      <c r="R429" s="1" t="s">
        <v>880</v>
      </c>
      <c r="S429" s="1" t="s">
        <v>42</v>
      </c>
      <c r="T429" s="1" t="s">
        <v>98</v>
      </c>
      <c r="U429" s="5">
        <f>product_sales_data__1[[#This Row],[TotalPrice]]-product_sales_data__1[[#This Row],[ShippingCost]]</f>
        <v>645.43000000000006</v>
      </c>
      <c r="V429" s="5">
        <f>product_sales_data__1[[#This Row],[Quantity]]*product_sales_data__1[[#This Row],[UnitPrice]]*product_sales_data__1[[#This Row],[Discount]]</f>
        <v>117.32400000000001</v>
      </c>
    </row>
    <row r="430" spans="1:22" x14ac:dyDescent="0.3">
      <c r="A430" s="1" t="s">
        <v>1363</v>
      </c>
      <c r="B430" s="1" t="s">
        <v>21</v>
      </c>
      <c r="C430" s="1" t="s">
        <v>22</v>
      </c>
      <c r="D430">
        <v>13</v>
      </c>
      <c r="E430" s="4">
        <v>492.66</v>
      </c>
      <c r="F430" s="1" t="s">
        <v>23</v>
      </c>
      <c r="G430" s="1" t="s">
        <v>37</v>
      </c>
      <c r="H430">
        <v>0.1</v>
      </c>
      <c r="I430" s="1" t="s">
        <v>56</v>
      </c>
      <c r="J430" s="4">
        <v>5764.12</v>
      </c>
      <c r="K430" s="1" t="s">
        <v>57</v>
      </c>
      <c r="L430" s="1" t="s">
        <v>85</v>
      </c>
      <c r="M430">
        <v>0</v>
      </c>
      <c r="N430" s="1" t="s">
        <v>1364</v>
      </c>
      <c r="O430" s="1" t="s">
        <v>1365</v>
      </c>
      <c r="P430" s="4">
        <v>46.21</v>
      </c>
      <c r="Q430" s="2">
        <v>45902</v>
      </c>
      <c r="R430" s="1" t="s">
        <v>1044</v>
      </c>
      <c r="S430" s="1" t="s">
        <v>31</v>
      </c>
      <c r="T430" s="1" t="s">
        <v>52</v>
      </c>
      <c r="U430" s="5">
        <f>product_sales_data__1[[#This Row],[TotalPrice]]-product_sales_data__1[[#This Row],[ShippingCost]]</f>
        <v>5717.91</v>
      </c>
      <c r="V430" s="5">
        <f>product_sales_data__1[[#This Row],[Quantity]]*product_sales_data__1[[#This Row],[UnitPrice]]*product_sales_data__1[[#This Row],[Discount]]</f>
        <v>640.45800000000008</v>
      </c>
    </row>
    <row r="431" spans="1:22" x14ac:dyDescent="0.3">
      <c r="A431" s="1" t="s">
        <v>784</v>
      </c>
      <c r="B431" s="1" t="s">
        <v>54</v>
      </c>
      <c r="C431" s="1" t="s">
        <v>109</v>
      </c>
      <c r="D431">
        <v>15</v>
      </c>
      <c r="E431" s="4">
        <v>188.57</v>
      </c>
      <c r="F431" s="1" t="s">
        <v>36</v>
      </c>
      <c r="G431" s="1" t="s">
        <v>24</v>
      </c>
      <c r="H431">
        <v>0.05</v>
      </c>
      <c r="I431" s="1" t="s">
        <v>94</v>
      </c>
      <c r="J431" s="4">
        <v>2687.12</v>
      </c>
      <c r="K431" s="1" t="s">
        <v>101</v>
      </c>
      <c r="L431" s="1" t="s">
        <v>85</v>
      </c>
      <c r="M431">
        <v>1</v>
      </c>
      <c r="N431" s="1" t="s">
        <v>1366</v>
      </c>
      <c r="O431" s="1" t="s">
        <v>1367</v>
      </c>
      <c r="P431" s="4">
        <v>38.61</v>
      </c>
      <c r="Q431" s="2">
        <v>45117</v>
      </c>
      <c r="R431" s="1" t="s">
        <v>1368</v>
      </c>
      <c r="S431" s="1" t="s">
        <v>62</v>
      </c>
      <c r="T431" s="1" t="s">
        <v>117</v>
      </c>
      <c r="U431" s="5">
        <f>product_sales_data__1[[#This Row],[TotalPrice]]-product_sales_data__1[[#This Row],[ShippingCost]]</f>
        <v>2648.5099999999998</v>
      </c>
      <c r="V431" s="5">
        <f>product_sales_data__1[[#This Row],[Quantity]]*product_sales_data__1[[#This Row],[UnitPrice]]*product_sales_data__1[[#This Row],[Discount]]</f>
        <v>141.42749999999998</v>
      </c>
    </row>
    <row r="432" spans="1:22" x14ac:dyDescent="0.3">
      <c r="A432" s="1" t="s">
        <v>543</v>
      </c>
      <c r="B432" s="1" t="s">
        <v>54</v>
      </c>
      <c r="C432" s="1" t="s">
        <v>71</v>
      </c>
      <c r="D432">
        <v>8</v>
      </c>
      <c r="E432" s="4">
        <v>200.74</v>
      </c>
      <c r="F432" s="1" t="s">
        <v>84</v>
      </c>
      <c r="G432" s="1" t="s">
        <v>24</v>
      </c>
      <c r="H432">
        <v>0</v>
      </c>
      <c r="I432" s="1" t="s">
        <v>78</v>
      </c>
      <c r="J432" s="4">
        <v>1605.92</v>
      </c>
      <c r="K432" s="1" t="s">
        <v>57</v>
      </c>
      <c r="L432" s="1" t="s">
        <v>58</v>
      </c>
      <c r="M432">
        <v>1</v>
      </c>
      <c r="N432" s="1" t="s">
        <v>1369</v>
      </c>
      <c r="O432" s="1" t="s">
        <v>1370</v>
      </c>
      <c r="P432" s="4">
        <v>30.7</v>
      </c>
      <c r="Q432" s="2">
        <v>45146</v>
      </c>
      <c r="R432" s="1" t="s">
        <v>139</v>
      </c>
      <c r="S432" s="1" t="s">
        <v>62</v>
      </c>
      <c r="T432" s="1" t="s">
        <v>82</v>
      </c>
      <c r="U432" s="5">
        <f>product_sales_data__1[[#This Row],[TotalPrice]]-product_sales_data__1[[#This Row],[ShippingCost]]</f>
        <v>1575.22</v>
      </c>
      <c r="V432" s="5">
        <f>product_sales_data__1[[#This Row],[Quantity]]*product_sales_data__1[[#This Row],[UnitPrice]]*product_sales_data__1[[#This Row],[Discount]]</f>
        <v>0</v>
      </c>
    </row>
    <row r="433" spans="1:22" x14ac:dyDescent="0.3">
      <c r="A433" s="1" t="s">
        <v>217</v>
      </c>
      <c r="B433" s="1" t="s">
        <v>21</v>
      </c>
      <c r="C433" s="1" t="s">
        <v>109</v>
      </c>
      <c r="D433">
        <v>15</v>
      </c>
      <c r="E433" s="4">
        <v>576.12</v>
      </c>
      <c r="F433" s="1" t="s">
        <v>55</v>
      </c>
      <c r="G433" s="1" t="s">
        <v>37</v>
      </c>
      <c r="H433">
        <v>0.1</v>
      </c>
      <c r="I433" s="1" t="s">
        <v>25</v>
      </c>
      <c r="J433" s="4">
        <v>7777.62</v>
      </c>
      <c r="K433" s="1" t="s">
        <v>26</v>
      </c>
      <c r="L433" s="1" t="s">
        <v>27</v>
      </c>
      <c r="M433">
        <v>0</v>
      </c>
      <c r="N433" s="1" t="s">
        <v>1371</v>
      </c>
      <c r="O433" s="1" t="s">
        <v>1372</v>
      </c>
      <c r="P433" s="4">
        <v>29.31</v>
      </c>
      <c r="Q433" s="2">
        <v>45480</v>
      </c>
      <c r="R433" s="1" t="s">
        <v>301</v>
      </c>
      <c r="S433" s="1" t="s">
        <v>31</v>
      </c>
      <c r="T433" s="1" t="s">
        <v>117</v>
      </c>
      <c r="U433" s="5">
        <f>product_sales_data__1[[#This Row],[TotalPrice]]-product_sales_data__1[[#This Row],[ShippingCost]]</f>
        <v>7748.3099999999995</v>
      </c>
      <c r="V433" s="5">
        <f>product_sales_data__1[[#This Row],[Quantity]]*product_sales_data__1[[#This Row],[UnitPrice]]*product_sales_data__1[[#This Row],[Discount]]</f>
        <v>864.18</v>
      </c>
    </row>
    <row r="434" spans="1:22" x14ac:dyDescent="0.3">
      <c r="A434" s="1" t="s">
        <v>1373</v>
      </c>
      <c r="B434" s="1" t="s">
        <v>21</v>
      </c>
      <c r="C434" s="1" t="s">
        <v>109</v>
      </c>
      <c r="D434">
        <v>17</v>
      </c>
      <c r="E434" s="4">
        <v>218.04</v>
      </c>
      <c r="F434" s="1" t="s">
        <v>55</v>
      </c>
      <c r="G434" s="1" t="s">
        <v>24</v>
      </c>
      <c r="H434">
        <v>0.15</v>
      </c>
      <c r="I434" s="1" t="s">
        <v>94</v>
      </c>
      <c r="J434" s="4">
        <v>3150.68</v>
      </c>
      <c r="K434" s="1" t="s">
        <v>47</v>
      </c>
      <c r="L434" s="1" t="s">
        <v>48</v>
      </c>
      <c r="M434">
        <v>0</v>
      </c>
      <c r="N434" s="1" t="s">
        <v>1374</v>
      </c>
      <c r="O434" s="1" t="s">
        <v>1375</v>
      </c>
      <c r="P434" s="4">
        <v>16</v>
      </c>
      <c r="Q434" s="2">
        <v>45089</v>
      </c>
      <c r="R434" s="1" t="s">
        <v>1376</v>
      </c>
      <c r="S434" s="1" t="s">
        <v>31</v>
      </c>
      <c r="T434" s="1" t="s">
        <v>105</v>
      </c>
      <c r="U434" s="5">
        <f>product_sales_data__1[[#This Row],[TotalPrice]]-product_sales_data__1[[#This Row],[ShippingCost]]</f>
        <v>3134.68</v>
      </c>
      <c r="V434" s="5">
        <f>product_sales_data__1[[#This Row],[Quantity]]*product_sales_data__1[[#This Row],[UnitPrice]]*product_sales_data__1[[#This Row],[Discount]]</f>
        <v>556.00199999999995</v>
      </c>
    </row>
    <row r="435" spans="1:22" x14ac:dyDescent="0.3">
      <c r="A435" s="1" t="s">
        <v>1080</v>
      </c>
      <c r="B435" s="1" t="s">
        <v>34</v>
      </c>
      <c r="C435" s="1" t="s">
        <v>22</v>
      </c>
      <c r="D435">
        <v>2</v>
      </c>
      <c r="E435" s="4">
        <v>153.33000000000001</v>
      </c>
      <c r="F435" s="1" t="s">
        <v>36</v>
      </c>
      <c r="G435" s="1" t="s">
        <v>24</v>
      </c>
      <c r="H435">
        <v>0.05</v>
      </c>
      <c r="I435" s="1" t="s">
        <v>46</v>
      </c>
      <c r="J435" s="4">
        <v>291.33</v>
      </c>
      <c r="K435" s="1" t="s">
        <v>47</v>
      </c>
      <c r="L435" s="1" t="s">
        <v>48</v>
      </c>
      <c r="M435">
        <v>0</v>
      </c>
      <c r="N435" s="1" t="s">
        <v>1377</v>
      </c>
      <c r="O435" s="1" t="s">
        <v>1378</v>
      </c>
      <c r="P435" s="4">
        <v>31.55</v>
      </c>
      <c r="Q435" s="2">
        <v>44929</v>
      </c>
      <c r="R435" s="1" t="s">
        <v>603</v>
      </c>
      <c r="S435" s="1" t="s">
        <v>42</v>
      </c>
      <c r="T435" s="1" t="s">
        <v>187</v>
      </c>
      <c r="U435" s="5">
        <f>product_sales_data__1[[#This Row],[TotalPrice]]-product_sales_data__1[[#This Row],[ShippingCost]]</f>
        <v>259.77999999999997</v>
      </c>
      <c r="V435" s="5">
        <f>product_sales_data__1[[#This Row],[Quantity]]*product_sales_data__1[[#This Row],[UnitPrice]]*product_sales_data__1[[#This Row],[Discount]]</f>
        <v>15.333000000000002</v>
      </c>
    </row>
    <row r="436" spans="1:22" x14ac:dyDescent="0.3">
      <c r="A436" s="1" t="s">
        <v>573</v>
      </c>
      <c r="B436" s="1" t="s">
        <v>21</v>
      </c>
      <c r="C436" s="1" t="s">
        <v>140</v>
      </c>
      <c r="D436">
        <v>8</v>
      </c>
      <c r="E436" s="4">
        <v>316.12</v>
      </c>
      <c r="F436" s="1" t="s">
        <v>23</v>
      </c>
      <c r="G436" s="1" t="s">
        <v>24</v>
      </c>
      <c r="H436">
        <v>0.1</v>
      </c>
      <c r="I436" s="1" t="s">
        <v>78</v>
      </c>
      <c r="J436" s="4">
        <v>2276.06</v>
      </c>
      <c r="K436" s="1" t="s">
        <v>57</v>
      </c>
      <c r="L436" s="1" t="s">
        <v>27</v>
      </c>
      <c r="M436">
        <v>0</v>
      </c>
      <c r="N436" s="1" t="s">
        <v>1379</v>
      </c>
      <c r="O436" s="1" t="s">
        <v>1380</v>
      </c>
      <c r="P436" s="4">
        <v>6.28</v>
      </c>
      <c r="Q436" s="2">
        <v>45963</v>
      </c>
      <c r="R436" s="1" t="s">
        <v>1381</v>
      </c>
      <c r="S436" s="1" t="s">
        <v>31</v>
      </c>
      <c r="T436" s="1" t="s">
        <v>43</v>
      </c>
      <c r="U436" s="5">
        <f>product_sales_data__1[[#This Row],[TotalPrice]]-product_sales_data__1[[#This Row],[ShippingCost]]</f>
        <v>2269.7799999999997</v>
      </c>
      <c r="V436" s="5">
        <f>product_sales_data__1[[#This Row],[Quantity]]*product_sales_data__1[[#This Row],[UnitPrice]]*product_sales_data__1[[#This Row],[Discount]]</f>
        <v>252.89600000000002</v>
      </c>
    </row>
    <row r="437" spans="1:22" x14ac:dyDescent="0.3">
      <c r="A437" s="1" t="s">
        <v>1382</v>
      </c>
      <c r="B437" s="1" t="s">
        <v>45</v>
      </c>
      <c r="C437" s="1" t="s">
        <v>22</v>
      </c>
      <c r="D437">
        <v>14</v>
      </c>
      <c r="E437" s="4">
        <v>115.77</v>
      </c>
      <c r="F437" s="1" t="s">
        <v>23</v>
      </c>
      <c r="G437" s="1" t="s">
        <v>24</v>
      </c>
      <c r="H437">
        <v>0.15</v>
      </c>
      <c r="I437" s="1" t="s">
        <v>56</v>
      </c>
      <c r="J437" s="4">
        <v>1377.66</v>
      </c>
      <c r="K437" s="1" t="s">
        <v>101</v>
      </c>
      <c r="L437" s="1" t="s">
        <v>58</v>
      </c>
      <c r="M437">
        <v>1</v>
      </c>
      <c r="N437" s="1" t="s">
        <v>1383</v>
      </c>
      <c r="O437" s="1" t="s">
        <v>1384</v>
      </c>
      <c r="P437" s="4">
        <v>20.12</v>
      </c>
      <c r="Q437" s="2">
        <v>45512</v>
      </c>
      <c r="R437" s="1" t="s">
        <v>233</v>
      </c>
      <c r="S437" s="1" t="s">
        <v>51</v>
      </c>
      <c r="T437" s="1" t="s">
        <v>82</v>
      </c>
      <c r="U437" s="5">
        <f>product_sales_data__1[[#This Row],[TotalPrice]]-product_sales_data__1[[#This Row],[ShippingCost]]</f>
        <v>1357.5400000000002</v>
      </c>
      <c r="V437" s="5">
        <f>product_sales_data__1[[#This Row],[Quantity]]*product_sales_data__1[[#This Row],[UnitPrice]]*product_sales_data__1[[#This Row],[Discount]]</f>
        <v>243.11699999999999</v>
      </c>
    </row>
    <row r="438" spans="1:22" x14ac:dyDescent="0.3">
      <c r="A438" s="1" t="s">
        <v>383</v>
      </c>
      <c r="B438" s="1" t="s">
        <v>54</v>
      </c>
      <c r="C438" s="1" t="s">
        <v>71</v>
      </c>
      <c r="D438">
        <v>12</v>
      </c>
      <c r="E438" s="4">
        <v>535.41</v>
      </c>
      <c r="F438" s="1" t="s">
        <v>36</v>
      </c>
      <c r="G438" s="1" t="s">
        <v>37</v>
      </c>
      <c r="H438">
        <v>0.1</v>
      </c>
      <c r="I438" s="1" t="s">
        <v>56</v>
      </c>
      <c r="J438" s="4">
        <v>5782.43</v>
      </c>
      <c r="K438" s="1" t="s">
        <v>57</v>
      </c>
      <c r="L438" s="1" t="s">
        <v>48</v>
      </c>
      <c r="M438">
        <v>0</v>
      </c>
      <c r="N438" s="1" t="s">
        <v>1385</v>
      </c>
      <c r="O438" s="1" t="s">
        <v>1386</v>
      </c>
      <c r="P438" s="4">
        <v>27.82</v>
      </c>
      <c r="Q438" s="2">
        <v>45422</v>
      </c>
      <c r="R438" s="1" t="s">
        <v>482</v>
      </c>
      <c r="S438" s="1" t="s">
        <v>62</v>
      </c>
      <c r="T438" s="1" t="s">
        <v>63</v>
      </c>
      <c r="U438" s="5">
        <f>product_sales_data__1[[#This Row],[TotalPrice]]-product_sales_data__1[[#This Row],[ShippingCost]]</f>
        <v>5754.6100000000006</v>
      </c>
      <c r="V438" s="5">
        <f>product_sales_data__1[[#This Row],[Quantity]]*product_sales_data__1[[#This Row],[UnitPrice]]*product_sales_data__1[[#This Row],[Discount]]</f>
        <v>642.49200000000008</v>
      </c>
    </row>
    <row r="439" spans="1:22" x14ac:dyDescent="0.3">
      <c r="A439" s="1" t="s">
        <v>1340</v>
      </c>
      <c r="B439" s="1" t="s">
        <v>54</v>
      </c>
      <c r="C439" s="1" t="s">
        <v>140</v>
      </c>
      <c r="D439">
        <v>17</v>
      </c>
      <c r="E439" s="4">
        <v>66.48</v>
      </c>
      <c r="F439" s="1" t="s">
        <v>36</v>
      </c>
      <c r="G439" s="1" t="s">
        <v>24</v>
      </c>
      <c r="H439">
        <v>0.15</v>
      </c>
      <c r="I439" s="1" t="s">
        <v>65</v>
      </c>
      <c r="J439" s="4">
        <v>960.64</v>
      </c>
      <c r="K439" s="1" t="s">
        <v>57</v>
      </c>
      <c r="L439" s="1" t="s">
        <v>27</v>
      </c>
      <c r="M439">
        <v>1</v>
      </c>
      <c r="N439" s="1" t="s">
        <v>1387</v>
      </c>
      <c r="O439" s="1" t="s">
        <v>1388</v>
      </c>
      <c r="P439" s="4">
        <v>10.79</v>
      </c>
      <c r="Q439" s="2">
        <v>45543</v>
      </c>
      <c r="R439" s="1" t="s">
        <v>503</v>
      </c>
      <c r="S439" s="1" t="s">
        <v>62</v>
      </c>
      <c r="T439" s="1" t="s">
        <v>52</v>
      </c>
      <c r="U439" s="5">
        <f>product_sales_data__1[[#This Row],[TotalPrice]]-product_sales_data__1[[#This Row],[ShippingCost]]</f>
        <v>949.85</v>
      </c>
      <c r="V439" s="5">
        <f>product_sales_data__1[[#This Row],[Quantity]]*product_sales_data__1[[#This Row],[UnitPrice]]*product_sales_data__1[[#This Row],[Discount]]</f>
        <v>169.524</v>
      </c>
    </row>
    <row r="440" spans="1:22" x14ac:dyDescent="0.3">
      <c r="A440" s="1" t="s">
        <v>1225</v>
      </c>
      <c r="B440" s="1" t="s">
        <v>54</v>
      </c>
      <c r="C440" s="1" t="s">
        <v>109</v>
      </c>
      <c r="D440">
        <v>11</v>
      </c>
      <c r="E440" s="4">
        <v>97.84</v>
      </c>
      <c r="F440" s="1" t="s">
        <v>23</v>
      </c>
      <c r="G440" s="1" t="s">
        <v>37</v>
      </c>
      <c r="H440">
        <v>0.05</v>
      </c>
      <c r="I440" s="1" t="s">
        <v>25</v>
      </c>
      <c r="J440" s="4">
        <v>1022.43</v>
      </c>
      <c r="K440" s="1" t="s">
        <v>38</v>
      </c>
      <c r="L440" s="1" t="s">
        <v>58</v>
      </c>
      <c r="M440">
        <v>1</v>
      </c>
      <c r="N440" s="1" t="s">
        <v>1389</v>
      </c>
      <c r="O440" s="1" t="s">
        <v>1390</v>
      </c>
      <c r="P440" s="4">
        <v>45.97</v>
      </c>
      <c r="Q440" s="2">
        <v>45385</v>
      </c>
      <c r="R440" s="1" t="s">
        <v>191</v>
      </c>
      <c r="S440" s="1" t="s">
        <v>62</v>
      </c>
      <c r="T440" s="1" t="s">
        <v>147</v>
      </c>
      <c r="U440" s="5">
        <f>product_sales_data__1[[#This Row],[TotalPrice]]-product_sales_data__1[[#This Row],[ShippingCost]]</f>
        <v>976.45999999999992</v>
      </c>
      <c r="V440" s="5">
        <f>product_sales_data__1[[#This Row],[Quantity]]*product_sales_data__1[[#This Row],[UnitPrice]]*product_sales_data__1[[#This Row],[Discount]]</f>
        <v>53.812000000000005</v>
      </c>
    </row>
    <row r="441" spans="1:22" x14ac:dyDescent="0.3">
      <c r="A441" s="1" t="s">
        <v>188</v>
      </c>
      <c r="B441" s="1" t="s">
        <v>21</v>
      </c>
      <c r="C441" s="1" t="s">
        <v>71</v>
      </c>
      <c r="D441">
        <v>2</v>
      </c>
      <c r="E441" s="4">
        <v>160.72999999999999</v>
      </c>
      <c r="F441" s="1" t="s">
        <v>84</v>
      </c>
      <c r="G441" s="1" t="s">
        <v>24</v>
      </c>
      <c r="H441">
        <v>0.15</v>
      </c>
      <c r="I441" s="1" t="s">
        <v>56</v>
      </c>
      <c r="J441" s="4">
        <v>273.24</v>
      </c>
      <c r="K441" s="1" t="s">
        <v>47</v>
      </c>
      <c r="L441" s="1" t="s">
        <v>85</v>
      </c>
      <c r="M441">
        <v>0</v>
      </c>
      <c r="N441" s="1" t="s">
        <v>1391</v>
      </c>
      <c r="O441" s="1" t="s">
        <v>1392</v>
      </c>
      <c r="P441" s="4">
        <v>20.18</v>
      </c>
      <c r="Q441" s="2">
        <v>45354</v>
      </c>
      <c r="R441" s="1" t="s">
        <v>883</v>
      </c>
      <c r="S441" s="1" t="s">
        <v>31</v>
      </c>
      <c r="T441" s="1" t="s">
        <v>98</v>
      </c>
      <c r="U441" s="5">
        <f>product_sales_data__1[[#This Row],[TotalPrice]]-product_sales_data__1[[#This Row],[ShippingCost]]</f>
        <v>253.06</v>
      </c>
      <c r="V441" s="5">
        <f>product_sales_data__1[[#This Row],[Quantity]]*product_sales_data__1[[#This Row],[UnitPrice]]*product_sales_data__1[[#This Row],[Discount]]</f>
        <v>48.218999999999994</v>
      </c>
    </row>
    <row r="442" spans="1:22" x14ac:dyDescent="0.3">
      <c r="A442" s="1" t="s">
        <v>1393</v>
      </c>
      <c r="B442" s="1" t="s">
        <v>54</v>
      </c>
      <c r="C442" s="1" t="s">
        <v>109</v>
      </c>
      <c r="D442">
        <v>9</v>
      </c>
      <c r="E442" s="4">
        <v>228.98</v>
      </c>
      <c r="F442" s="1" t="s">
        <v>55</v>
      </c>
      <c r="G442" s="1" t="s">
        <v>37</v>
      </c>
      <c r="H442">
        <v>0.15</v>
      </c>
      <c r="I442" s="1" t="s">
        <v>56</v>
      </c>
      <c r="J442" s="4">
        <v>1751.7</v>
      </c>
      <c r="K442" s="1" t="s">
        <v>26</v>
      </c>
      <c r="L442" s="1" t="s">
        <v>27</v>
      </c>
      <c r="M442">
        <v>0</v>
      </c>
      <c r="N442" s="1" t="s">
        <v>1394</v>
      </c>
      <c r="O442" s="1" t="s">
        <v>1395</v>
      </c>
      <c r="P442" s="4">
        <v>45.79</v>
      </c>
      <c r="Q442" s="2">
        <v>45391</v>
      </c>
      <c r="R442" s="1" t="s">
        <v>1396</v>
      </c>
      <c r="S442" s="1" t="s">
        <v>62</v>
      </c>
      <c r="T442" s="1" t="s">
        <v>147</v>
      </c>
      <c r="U442" s="5">
        <f>product_sales_data__1[[#This Row],[TotalPrice]]-product_sales_data__1[[#This Row],[ShippingCost]]</f>
        <v>1705.91</v>
      </c>
      <c r="V442" s="5">
        <f>product_sales_data__1[[#This Row],[Quantity]]*product_sales_data__1[[#This Row],[UnitPrice]]*product_sales_data__1[[#This Row],[Discount]]</f>
        <v>309.12299999999993</v>
      </c>
    </row>
    <row r="443" spans="1:22" x14ac:dyDescent="0.3">
      <c r="A443" s="1" t="s">
        <v>1397</v>
      </c>
      <c r="B443" s="1" t="s">
        <v>70</v>
      </c>
      <c r="C443" s="1" t="s">
        <v>140</v>
      </c>
      <c r="D443">
        <v>18</v>
      </c>
      <c r="E443" s="4">
        <v>411.59</v>
      </c>
      <c r="F443" s="1" t="s">
        <v>84</v>
      </c>
      <c r="G443" s="1" t="s">
        <v>24</v>
      </c>
      <c r="H443">
        <v>0</v>
      </c>
      <c r="I443" s="1" t="s">
        <v>94</v>
      </c>
      <c r="J443" s="4">
        <v>7408.62</v>
      </c>
      <c r="K443" s="1" t="s">
        <v>101</v>
      </c>
      <c r="L443" s="1" t="s">
        <v>27</v>
      </c>
      <c r="M443">
        <v>0</v>
      </c>
      <c r="N443" s="1" t="s">
        <v>1398</v>
      </c>
      <c r="O443" s="1" t="s">
        <v>1399</v>
      </c>
      <c r="P443" s="4">
        <v>9.6199999999999992</v>
      </c>
      <c r="Q443" s="2">
        <v>45567</v>
      </c>
      <c r="R443" s="1" t="s">
        <v>1400</v>
      </c>
      <c r="S443" s="1" t="s">
        <v>75</v>
      </c>
      <c r="T443" s="1" t="s">
        <v>32</v>
      </c>
      <c r="U443" s="5">
        <f>product_sales_data__1[[#This Row],[TotalPrice]]-product_sales_data__1[[#This Row],[ShippingCost]]</f>
        <v>7399</v>
      </c>
      <c r="V443" s="5">
        <f>product_sales_data__1[[#This Row],[Quantity]]*product_sales_data__1[[#This Row],[UnitPrice]]*product_sales_data__1[[#This Row],[Discount]]</f>
        <v>0</v>
      </c>
    </row>
    <row r="444" spans="1:22" x14ac:dyDescent="0.3">
      <c r="A444" s="1" t="s">
        <v>361</v>
      </c>
      <c r="B444" s="1" t="s">
        <v>45</v>
      </c>
      <c r="C444" s="1" t="s">
        <v>140</v>
      </c>
      <c r="D444">
        <v>1</v>
      </c>
      <c r="E444" s="4">
        <v>431.49</v>
      </c>
      <c r="F444" s="1" t="s">
        <v>36</v>
      </c>
      <c r="G444" s="1" t="s">
        <v>24</v>
      </c>
      <c r="H444">
        <v>0.15</v>
      </c>
      <c r="I444" s="1" t="s">
        <v>25</v>
      </c>
      <c r="J444" s="4">
        <v>366.77</v>
      </c>
      <c r="K444" s="1" t="s">
        <v>47</v>
      </c>
      <c r="L444" s="1" t="s">
        <v>58</v>
      </c>
      <c r="M444">
        <v>0</v>
      </c>
      <c r="N444" s="1" t="s">
        <v>1401</v>
      </c>
      <c r="O444" s="1" t="s">
        <v>1402</v>
      </c>
      <c r="P444" s="4">
        <v>17.53</v>
      </c>
      <c r="Q444" s="2">
        <v>45116</v>
      </c>
      <c r="R444" s="1" t="s">
        <v>453</v>
      </c>
      <c r="S444" s="1" t="s">
        <v>51</v>
      </c>
      <c r="T444" s="1" t="s">
        <v>117</v>
      </c>
      <c r="U444" s="5">
        <f>product_sales_data__1[[#This Row],[TotalPrice]]-product_sales_data__1[[#This Row],[ShippingCost]]</f>
        <v>349.24</v>
      </c>
      <c r="V444" s="5">
        <f>product_sales_data__1[[#This Row],[Quantity]]*product_sales_data__1[[#This Row],[UnitPrice]]*product_sales_data__1[[#This Row],[Discount]]</f>
        <v>64.723500000000001</v>
      </c>
    </row>
    <row r="445" spans="1:22" x14ac:dyDescent="0.3">
      <c r="A445" s="1" t="s">
        <v>243</v>
      </c>
      <c r="B445" s="1" t="s">
        <v>70</v>
      </c>
      <c r="C445" s="1" t="s">
        <v>100</v>
      </c>
      <c r="D445">
        <v>18</v>
      </c>
      <c r="E445" s="4">
        <v>495.39</v>
      </c>
      <c r="F445" s="1" t="s">
        <v>84</v>
      </c>
      <c r="G445" s="1" t="s">
        <v>24</v>
      </c>
      <c r="H445">
        <v>0</v>
      </c>
      <c r="I445" s="1" t="s">
        <v>46</v>
      </c>
      <c r="J445" s="4">
        <v>8917.02</v>
      </c>
      <c r="K445" s="1" t="s">
        <v>57</v>
      </c>
      <c r="L445" s="1" t="s">
        <v>58</v>
      </c>
      <c r="M445">
        <v>0</v>
      </c>
      <c r="N445" s="1" t="s">
        <v>1403</v>
      </c>
      <c r="O445" s="1" t="s">
        <v>1404</v>
      </c>
      <c r="P445" s="4">
        <v>14.88</v>
      </c>
      <c r="Q445" s="2">
        <v>45238</v>
      </c>
      <c r="R445" s="1" t="s">
        <v>357</v>
      </c>
      <c r="S445" s="1" t="s">
        <v>75</v>
      </c>
      <c r="T445" s="1" t="s">
        <v>43</v>
      </c>
      <c r="U445" s="5">
        <f>product_sales_data__1[[#This Row],[TotalPrice]]-product_sales_data__1[[#This Row],[ShippingCost]]</f>
        <v>8902.1400000000012</v>
      </c>
      <c r="V445" s="5">
        <f>product_sales_data__1[[#This Row],[Quantity]]*product_sales_data__1[[#This Row],[UnitPrice]]*product_sales_data__1[[#This Row],[Discount]]</f>
        <v>0</v>
      </c>
    </row>
    <row r="446" spans="1:22" x14ac:dyDescent="0.3">
      <c r="A446" s="1" t="s">
        <v>916</v>
      </c>
      <c r="B446" s="1" t="s">
        <v>54</v>
      </c>
      <c r="C446" s="1" t="s">
        <v>71</v>
      </c>
      <c r="D446">
        <v>4</v>
      </c>
      <c r="E446" s="4">
        <v>149.30000000000001</v>
      </c>
      <c r="F446" s="1" t="s">
        <v>84</v>
      </c>
      <c r="G446" s="1" t="s">
        <v>24</v>
      </c>
      <c r="H446">
        <v>0.1</v>
      </c>
      <c r="I446" s="1" t="s">
        <v>78</v>
      </c>
      <c r="J446" s="4">
        <v>537.48</v>
      </c>
      <c r="K446" s="1" t="s">
        <v>38</v>
      </c>
      <c r="L446" s="1" t="s">
        <v>85</v>
      </c>
      <c r="M446">
        <v>0</v>
      </c>
      <c r="N446" s="1" t="s">
        <v>1405</v>
      </c>
      <c r="O446" s="1" t="s">
        <v>1406</v>
      </c>
      <c r="P446" s="4">
        <v>47.84</v>
      </c>
      <c r="Q446" s="2">
        <v>45263</v>
      </c>
      <c r="R446" s="1" t="s">
        <v>1407</v>
      </c>
      <c r="S446" s="1" t="s">
        <v>62</v>
      </c>
      <c r="T446" s="1" t="s">
        <v>76</v>
      </c>
      <c r="U446" s="5">
        <f>product_sales_data__1[[#This Row],[TotalPrice]]-product_sales_data__1[[#This Row],[ShippingCost]]</f>
        <v>489.64</v>
      </c>
      <c r="V446" s="5">
        <f>product_sales_data__1[[#This Row],[Quantity]]*product_sales_data__1[[#This Row],[UnitPrice]]*product_sales_data__1[[#This Row],[Discount]]</f>
        <v>59.720000000000006</v>
      </c>
    </row>
    <row r="447" spans="1:22" x14ac:dyDescent="0.3">
      <c r="A447" s="1" t="s">
        <v>284</v>
      </c>
      <c r="B447" s="1" t="s">
        <v>21</v>
      </c>
      <c r="C447" s="1" t="s">
        <v>35</v>
      </c>
      <c r="D447">
        <v>5</v>
      </c>
      <c r="E447" s="4">
        <v>454.62</v>
      </c>
      <c r="F447" s="1" t="s">
        <v>36</v>
      </c>
      <c r="G447" s="1" t="s">
        <v>24</v>
      </c>
      <c r="H447">
        <v>0.05</v>
      </c>
      <c r="I447" s="1" t="s">
        <v>78</v>
      </c>
      <c r="J447" s="4">
        <v>2159.4499999999998</v>
      </c>
      <c r="K447" s="1" t="s">
        <v>57</v>
      </c>
      <c r="L447" s="1" t="s">
        <v>48</v>
      </c>
      <c r="M447">
        <v>0</v>
      </c>
      <c r="N447" s="1" t="s">
        <v>1408</v>
      </c>
      <c r="O447" s="1" t="s">
        <v>1409</v>
      </c>
      <c r="P447" s="4">
        <v>10.19</v>
      </c>
      <c r="Q447" s="2">
        <v>45474</v>
      </c>
      <c r="R447" s="1" t="s">
        <v>167</v>
      </c>
      <c r="S447" s="1" t="s">
        <v>31</v>
      </c>
      <c r="T447" s="1" t="s">
        <v>117</v>
      </c>
      <c r="U447" s="5">
        <f>product_sales_data__1[[#This Row],[TotalPrice]]-product_sales_data__1[[#This Row],[ShippingCost]]</f>
        <v>2149.2599999999998</v>
      </c>
      <c r="V447" s="5">
        <f>product_sales_data__1[[#This Row],[Quantity]]*product_sales_data__1[[#This Row],[UnitPrice]]*product_sales_data__1[[#This Row],[Discount]]</f>
        <v>113.655</v>
      </c>
    </row>
    <row r="448" spans="1:22" x14ac:dyDescent="0.3">
      <c r="A448" s="1" t="s">
        <v>281</v>
      </c>
      <c r="B448" s="1" t="s">
        <v>54</v>
      </c>
      <c r="C448" s="1" t="s">
        <v>100</v>
      </c>
      <c r="D448">
        <v>2</v>
      </c>
      <c r="E448" s="4">
        <v>132.91</v>
      </c>
      <c r="F448" s="1" t="s">
        <v>84</v>
      </c>
      <c r="G448" s="1" t="s">
        <v>24</v>
      </c>
      <c r="H448">
        <v>0</v>
      </c>
      <c r="I448" s="1" t="s">
        <v>94</v>
      </c>
      <c r="J448" s="4">
        <v>265.82</v>
      </c>
      <c r="K448" s="1" t="s">
        <v>38</v>
      </c>
      <c r="L448" s="1" t="s">
        <v>27</v>
      </c>
      <c r="M448">
        <v>0</v>
      </c>
      <c r="N448" s="1" t="s">
        <v>1410</v>
      </c>
      <c r="O448" s="1" t="s">
        <v>1411</v>
      </c>
      <c r="P448" s="4">
        <v>7.76</v>
      </c>
      <c r="Q448" s="2">
        <v>45352</v>
      </c>
      <c r="R448" s="1" t="s">
        <v>739</v>
      </c>
      <c r="S448" s="1" t="s">
        <v>62</v>
      </c>
      <c r="T448" s="1" t="s">
        <v>98</v>
      </c>
      <c r="U448" s="5">
        <f>product_sales_data__1[[#This Row],[TotalPrice]]-product_sales_data__1[[#This Row],[ShippingCost]]</f>
        <v>258.06</v>
      </c>
      <c r="V448" s="5">
        <f>product_sales_data__1[[#This Row],[Quantity]]*product_sales_data__1[[#This Row],[UnitPrice]]*product_sales_data__1[[#This Row],[Discount]]</f>
        <v>0</v>
      </c>
    </row>
    <row r="449" spans="1:22" x14ac:dyDescent="0.3">
      <c r="A449" s="1" t="s">
        <v>647</v>
      </c>
      <c r="B449" s="1" t="s">
        <v>34</v>
      </c>
      <c r="C449" s="1" t="s">
        <v>71</v>
      </c>
      <c r="D449">
        <v>13</v>
      </c>
      <c r="E449" s="4">
        <v>55.46</v>
      </c>
      <c r="F449" s="1" t="s">
        <v>84</v>
      </c>
      <c r="G449" s="1" t="s">
        <v>37</v>
      </c>
      <c r="H449">
        <v>0.05</v>
      </c>
      <c r="I449" s="1" t="s">
        <v>94</v>
      </c>
      <c r="J449" s="4">
        <v>684.93</v>
      </c>
      <c r="K449" s="1" t="s">
        <v>101</v>
      </c>
      <c r="L449" s="1" t="s">
        <v>85</v>
      </c>
      <c r="M449">
        <v>1</v>
      </c>
      <c r="N449" s="1" t="s">
        <v>1412</v>
      </c>
      <c r="O449" s="1" t="s">
        <v>1413</v>
      </c>
      <c r="P449" s="4">
        <v>18.010000000000002</v>
      </c>
      <c r="Q449" s="2">
        <v>45453</v>
      </c>
      <c r="R449" s="1" t="s">
        <v>386</v>
      </c>
      <c r="S449" s="1" t="s">
        <v>42</v>
      </c>
      <c r="T449" s="1" t="s">
        <v>105</v>
      </c>
      <c r="U449" s="5">
        <f>product_sales_data__1[[#This Row],[TotalPrice]]-product_sales_data__1[[#This Row],[ShippingCost]]</f>
        <v>666.92</v>
      </c>
      <c r="V449" s="5">
        <f>product_sales_data__1[[#This Row],[Quantity]]*product_sales_data__1[[#This Row],[UnitPrice]]*product_sales_data__1[[#This Row],[Discount]]</f>
        <v>36.048999999999999</v>
      </c>
    </row>
    <row r="450" spans="1:22" x14ac:dyDescent="0.3">
      <c r="A450" s="1" t="s">
        <v>916</v>
      </c>
      <c r="B450" s="1" t="s">
        <v>45</v>
      </c>
      <c r="C450" s="1" t="s">
        <v>109</v>
      </c>
      <c r="D450">
        <v>17</v>
      </c>
      <c r="E450" s="4">
        <v>515.12</v>
      </c>
      <c r="F450" s="1" t="s">
        <v>55</v>
      </c>
      <c r="G450" s="1" t="s">
        <v>24</v>
      </c>
      <c r="H450">
        <v>0.15</v>
      </c>
      <c r="I450" s="1" t="s">
        <v>94</v>
      </c>
      <c r="J450" s="4">
        <v>7443.48</v>
      </c>
      <c r="K450" s="1" t="s">
        <v>101</v>
      </c>
      <c r="L450" s="1" t="s">
        <v>58</v>
      </c>
      <c r="M450">
        <v>1</v>
      </c>
      <c r="N450" s="1" t="s">
        <v>1414</v>
      </c>
      <c r="O450" s="1" t="s">
        <v>1415</v>
      </c>
      <c r="P450" s="4">
        <v>32.74</v>
      </c>
      <c r="Q450" s="2">
        <v>45263</v>
      </c>
      <c r="R450" s="1" t="s">
        <v>1416</v>
      </c>
      <c r="S450" s="1" t="s">
        <v>51</v>
      </c>
      <c r="T450" s="1" t="s">
        <v>76</v>
      </c>
      <c r="U450" s="5">
        <f>product_sales_data__1[[#This Row],[TotalPrice]]-product_sales_data__1[[#This Row],[ShippingCost]]</f>
        <v>7410.74</v>
      </c>
      <c r="V450" s="5">
        <f>product_sales_data__1[[#This Row],[Quantity]]*product_sales_data__1[[#This Row],[UnitPrice]]*product_sales_data__1[[#This Row],[Discount]]</f>
        <v>1313.556</v>
      </c>
    </row>
    <row r="451" spans="1:22" x14ac:dyDescent="0.3">
      <c r="A451" s="1" t="s">
        <v>746</v>
      </c>
      <c r="B451" s="1" t="s">
        <v>21</v>
      </c>
      <c r="C451" s="1" t="s">
        <v>71</v>
      </c>
      <c r="D451">
        <v>1</v>
      </c>
      <c r="E451" s="4">
        <v>256.63</v>
      </c>
      <c r="F451" s="1" t="s">
        <v>55</v>
      </c>
      <c r="G451" s="1" t="s">
        <v>24</v>
      </c>
      <c r="H451">
        <v>0</v>
      </c>
      <c r="I451" s="1" t="s">
        <v>46</v>
      </c>
      <c r="J451" s="4">
        <v>256.63</v>
      </c>
      <c r="K451" s="1" t="s">
        <v>57</v>
      </c>
      <c r="L451" s="1" t="s">
        <v>85</v>
      </c>
      <c r="M451">
        <v>0</v>
      </c>
      <c r="N451" s="1" t="s">
        <v>1417</v>
      </c>
      <c r="O451" s="1" t="s">
        <v>1418</v>
      </c>
      <c r="P451" s="4">
        <v>12.97</v>
      </c>
      <c r="Q451" s="2">
        <v>45447</v>
      </c>
      <c r="R451" s="1" t="s">
        <v>743</v>
      </c>
      <c r="S451" s="1" t="s">
        <v>31</v>
      </c>
      <c r="T451" s="1" t="s">
        <v>105</v>
      </c>
      <c r="U451" s="5">
        <f>product_sales_data__1[[#This Row],[TotalPrice]]-product_sales_data__1[[#This Row],[ShippingCost]]</f>
        <v>243.66</v>
      </c>
      <c r="V451" s="5">
        <f>product_sales_data__1[[#This Row],[Quantity]]*product_sales_data__1[[#This Row],[UnitPrice]]*product_sales_data__1[[#This Row],[Discount]]</f>
        <v>0</v>
      </c>
    </row>
    <row r="452" spans="1:22" x14ac:dyDescent="0.3">
      <c r="A452" s="1" t="s">
        <v>333</v>
      </c>
      <c r="B452" s="1" t="s">
        <v>54</v>
      </c>
      <c r="C452" s="1" t="s">
        <v>100</v>
      </c>
      <c r="D452">
        <v>15</v>
      </c>
      <c r="E452" s="4">
        <v>77.89</v>
      </c>
      <c r="F452" s="1" t="s">
        <v>23</v>
      </c>
      <c r="G452" s="1" t="s">
        <v>24</v>
      </c>
      <c r="H452">
        <v>0.05</v>
      </c>
      <c r="I452" s="1" t="s">
        <v>78</v>
      </c>
      <c r="J452" s="4">
        <v>1109.93</v>
      </c>
      <c r="K452" s="1" t="s">
        <v>101</v>
      </c>
      <c r="L452" s="1" t="s">
        <v>48</v>
      </c>
      <c r="M452">
        <v>0</v>
      </c>
      <c r="N452" s="1" t="s">
        <v>1419</v>
      </c>
      <c r="O452" s="1" t="s">
        <v>1420</v>
      </c>
      <c r="P452" s="4">
        <v>20.87</v>
      </c>
      <c r="Q452" s="2">
        <v>45511</v>
      </c>
      <c r="R452" s="1" t="s">
        <v>69</v>
      </c>
      <c r="S452" s="1" t="s">
        <v>62</v>
      </c>
      <c r="T452" s="1" t="s">
        <v>82</v>
      </c>
      <c r="U452" s="5">
        <f>product_sales_data__1[[#This Row],[TotalPrice]]-product_sales_data__1[[#This Row],[ShippingCost]]</f>
        <v>1089.0600000000002</v>
      </c>
      <c r="V452" s="5">
        <f>product_sales_data__1[[#This Row],[Quantity]]*product_sales_data__1[[#This Row],[UnitPrice]]*product_sales_data__1[[#This Row],[Discount]]</f>
        <v>58.417499999999997</v>
      </c>
    </row>
    <row r="453" spans="1:22" x14ac:dyDescent="0.3">
      <c r="A453" s="1" t="s">
        <v>1421</v>
      </c>
      <c r="B453" s="1" t="s">
        <v>21</v>
      </c>
      <c r="C453" s="1" t="s">
        <v>71</v>
      </c>
      <c r="D453">
        <v>12</v>
      </c>
      <c r="E453" s="4">
        <v>11.95</v>
      </c>
      <c r="F453" s="1" t="s">
        <v>84</v>
      </c>
      <c r="G453" s="1" t="s">
        <v>37</v>
      </c>
      <c r="H453">
        <v>0.05</v>
      </c>
      <c r="I453" s="1" t="s">
        <v>46</v>
      </c>
      <c r="J453" s="4">
        <v>136.22999999999999</v>
      </c>
      <c r="K453" s="1" t="s">
        <v>26</v>
      </c>
      <c r="L453" s="1" t="s">
        <v>48</v>
      </c>
      <c r="M453">
        <v>0</v>
      </c>
      <c r="N453" s="1" t="s">
        <v>1422</v>
      </c>
      <c r="O453" s="1" t="s">
        <v>1423</v>
      </c>
      <c r="P453" s="4">
        <v>26.66</v>
      </c>
      <c r="Q453" s="2">
        <v>45087</v>
      </c>
      <c r="R453" s="1" t="s">
        <v>787</v>
      </c>
      <c r="S453" s="1" t="s">
        <v>31</v>
      </c>
      <c r="T453" s="1" t="s">
        <v>105</v>
      </c>
      <c r="U453" s="5">
        <f>product_sales_data__1[[#This Row],[TotalPrice]]-product_sales_data__1[[#This Row],[ShippingCost]]</f>
        <v>109.57</v>
      </c>
      <c r="V453" s="5">
        <f>product_sales_data__1[[#This Row],[Quantity]]*product_sales_data__1[[#This Row],[UnitPrice]]*product_sales_data__1[[#This Row],[Discount]]</f>
        <v>7.169999999999999</v>
      </c>
    </row>
    <row r="454" spans="1:22" x14ac:dyDescent="0.3">
      <c r="A454" s="1" t="s">
        <v>134</v>
      </c>
      <c r="B454" s="1" t="s">
        <v>70</v>
      </c>
      <c r="C454" s="1" t="s">
        <v>22</v>
      </c>
      <c r="D454">
        <v>7</v>
      </c>
      <c r="E454" s="4">
        <v>67.05</v>
      </c>
      <c r="F454" s="1" t="s">
        <v>55</v>
      </c>
      <c r="G454" s="1" t="s">
        <v>24</v>
      </c>
      <c r="H454">
        <v>0.1</v>
      </c>
      <c r="I454" s="1" t="s">
        <v>46</v>
      </c>
      <c r="J454" s="4">
        <v>422.42</v>
      </c>
      <c r="K454" s="1" t="s">
        <v>47</v>
      </c>
      <c r="L454" s="1" t="s">
        <v>85</v>
      </c>
      <c r="M454">
        <v>0</v>
      </c>
      <c r="N454" s="1" t="s">
        <v>1424</v>
      </c>
      <c r="O454" s="1" t="s">
        <v>231</v>
      </c>
      <c r="P454" s="4">
        <v>36.67</v>
      </c>
      <c r="Q454" s="2">
        <v>45239</v>
      </c>
      <c r="R454" s="1" t="s">
        <v>655</v>
      </c>
      <c r="S454" s="1" t="s">
        <v>75</v>
      </c>
      <c r="T454" s="1" t="s">
        <v>43</v>
      </c>
      <c r="U454" s="5">
        <f>product_sales_data__1[[#This Row],[TotalPrice]]-product_sales_data__1[[#This Row],[ShippingCost]]</f>
        <v>385.75</v>
      </c>
      <c r="V454" s="5">
        <f>product_sales_data__1[[#This Row],[Quantity]]*product_sales_data__1[[#This Row],[UnitPrice]]*product_sales_data__1[[#This Row],[Discount]]</f>
        <v>46.935000000000002</v>
      </c>
    </row>
    <row r="455" spans="1:22" x14ac:dyDescent="0.3">
      <c r="A455" s="1" t="s">
        <v>490</v>
      </c>
      <c r="B455" s="1" t="s">
        <v>21</v>
      </c>
      <c r="C455" s="1" t="s">
        <v>140</v>
      </c>
      <c r="D455">
        <v>16</v>
      </c>
      <c r="E455" s="4">
        <v>114.47</v>
      </c>
      <c r="F455" s="1" t="s">
        <v>23</v>
      </c>
      <c r="G455" s="1" t="s">
        <v>24</v>
      </c>
      <c r="H455">
        <v>0.15</v>
      </c>
      <c r="I455" s="1" t="s">
        <v>46</v>
      </c>
      <c r="J455" s="4">
        <v>1556.79</v>
      </c>
      <c r="K455" s="1" t="s">
        <v>26</v>
      </c>
      <c r="L455" s="1" t="s">
        <v>48</v>
      </c>
      <c r="M455">
        <v>0</v>
      </c>
      <c r="N455" s="1" t="s">
        <v>1425</v>
      </c>
      <c r="O455" s="1" t="s">
        <v>1426</v>
      </c>
      <c r="P455" s="4">
        <v>43.85</v>
      </c>
      <c r="Q455" s="2">
        <v>45088</v>
      </c>
      <c r="R455" s="1" t="s">
        <v>389</v>
      </c>
      <c r="S455" s="1" t="s">
        <v>31</v>
      </c>
      <c r="T455" s="1" t="s">
        <v>105</v>
      </c>
      <c r="U455" s="5">
        <f>product_sales_data__1[[#This Row],[TotalPrice]]-product_sales_data__1[[#This Row],[ShippingCost]]</f>
        <v>1512.94</v>
      </c>
      <c r="V455" s="5">
        <f>product_sales_data__1[[#This Row],[Quantity]]*product_sales_data__1[[#This Row],[UnitPrice]]*product_sales_data__1[[#This Row],[Discount]]</f>
        <v>274.72800000000001</v>
      </c>
    </row>
    <row r="456" spans="1:22" x14ac:dyDescent="0.3">
      <c r="A456" s="1" t="s">
        <v>383</v>
      </c>
      <c r="B456" s="1" t="s">
        <v>70</v>
      </c>
      <c r="C456" s="1" t="s">
        <v>71</v>
      </c>
      <c r="D456">
        <v>6</v>
      </c>
      <c r="E456" s="4">
        <v>272.26</v>
      </c>
      <c r="F456" s="1" t="s">
        <v>84</v>
      </c>
      <c r="G456" s="1" t="s">
        <v>37</v>
      </c>
      <c r="H456">
        <v>0.1</v>
      </c>
      <c r="I456" s="1" t="s">
        <v>46</v>
      </c>
      <c r="J456" s="4">
        <v>1470.2</v>
      </c>
      <c r="K456" s="1" t="s">
        <v>38</v>
      </c>
      <c r="L456" s="1" t="s">
        <v>58</v>
      </c>
      <c r="M456">
        <v>0</v>
      </c>
      <c r="N456" s="1" t="s">
        <v>1427</v>
      </c>
      <c r="O456" s="1" t="s">
        <v>1428</v>
      </c>
      <c r="P456" s="4">
        <v>43.67</v>
      </c>
      <c r="Q456" s="2">
        <v>45422</v>
      </c>
      <c r="R456" s="1" t="s">
        <v>955</v>
      </c>
      <c r="S456" s="1" t="s">
        <v>75</v>
      </c>
      <c r="T456" s="1" t="s">
        <v>63</v>
      </c>
      <c r="U456" s="5">
        <f>product_sales_data__1[[#This Row],[TotalPrice]]-product_sales_data__1[[#This Row],[ShippingCost]]</f>
        <v>1426.53</v>
      </c>
      <c r="V456" s="5">
        <f>product_sales_data__1[[#This Row],[Quantity]]*product_sales_data__1[[#This Row],[UnitPrice]]*product_sales_data__1[[#This Row],[Discount]]</f>
        <v>163.35599999999999</v>
      </c>
    </row>
    <row r="457" spans="1:22" x14ac:dyDescent="0.3">
      <c r="A457" s="1" t="s">
        <v>751</v>
      </c>
      <c r="B457" s="1" t="s">
        <v>54</v>
      </c>
      <c r="C457" s="1" t="s">
        <v>109</v>
      </c>
      <c r="D457">
        <v>17</v>
      </c>
      <c r="E457" s="4">
        <v>129.62</v>
      </c>
      <c r="F457" s="1" t="s">
        <v>55</v>
      </c>
      <c r="G457" s="1" t="s">
        <v>37</v>
      </c>
      <c r="H457">
        <v>0.15</v>
      </c>
      <c r="I457" s="1" t="s">
        <v>65</v>
      </c>
      <c r="J457" s="4">
        <v>1873.01</v>
      </c>
      <c r="K457" s="1" t="s">
        <v>26</v>
      </c>
      <c r="L457" s="1" t="s">
        <v>85</v>
      </c>
      <c r="M457">
        <v>0</v>
      </c>
      <c r="N457" s="1" t="s">
        <v>1429</v>
      </c>
      <c r="O457" s="1" t="s">
        <v>1430</v>
      </c>
      <c r="P457" s="4">
        <v>24.28</v>
      </c>
      <c r="Q457" s="2">
        <v>45809</v>
      </c>
      <c r="R457" s="1" t="s">
        <v>548</v>
      </c>
      <c r="S457" s="1" t="s">
        <v>62</v>
      </c>
      <c r="T457" s="1" t="s">
        <v>105</v>
      </c>
      <c r="U457" s="5">
        <f>product_sales_data__1[[#This Row],[TotalPrice]]-product_sales_data__1[[#This Row],[ShippingCost]]</f>
        <v>1848.73</v>
      </c>
      <c r="V457" s="5">
        <f>product_sales_data__1[[#This Row],[Quantity]]*product_sales_data__1[[#This Row],[UnitPrice]]*product_sales_data__1[[#This Row],[Discount]]</f>
        <v>330.53100000000001</v>
      </c>
    </row>
    <row r="458" spans="1:22" x14ac:dyDescent="0.3">
      <c r="A458" s="1" t="s">
        <v>500</v>
      </c>
      <c r="B458" s="1" t="s">
        <v>21</v>
      </c>
      <c r="C458" s="1" t="s">
        <v>100</v>
      </c>
      <c r="D458">
        <v>16</v>
      </c>
      <c r="E458" s="4">
        <v>293.44</v>
      </c>
      <c r="F458" s="1" t="s">
        <v>55</v>
      </c>
      <c r="G458" s="1" t="s">
        <v>24</v>
      </c>
      <c r="H458">
        <v>0.05</v>
      </c>
      <c r="I458" s="1" t="s">
        <v>78</v>
      </c>
      <c r="J458" s="4">
        <v>4460.29</v>
      </c>
      <c r="K458" s="1" t="s">
        <v>57</v>
      </c>
      <c r="L458" s="1" t="s">
        <v>58</v>
      </c>
      <c r="M458">
        <v>0</v>
      </c>
      <c r="N458" s="1" t="s">
        <v>1431</v>
      </c>
      <c r="O458" s="1" t="s">
        <v>1432</v>
      </c>
      <c r="P458" s="4">
        <v>42.56</v>
      </c>
      <c r="Q458" s="2">
        <v>45390</v>
      </c>
      <c r="R458" s="1" t="s">
        <v>503</v>
      </c>
      <c r="S458" s="1" t="s">
        <v>31</v>
      </c>
      <c r="T458" s="1" t="s">
        <v>147</v>
      </c>
      <c r="U458" s="5">
        <f>product_sales_data__1[[#This Row],[TotalPrice]]-product_sales_data__1[[#This Row],[ShippingCost]]</f>
        <v>4417.7299999999996</v>
      </c>
      <c r="V458" s="5">
        <f>product_sales_data__1[[#This Row],[Quantity]]*product_sales_data__1[[#This Row],[UnitPrice]]*product_sales_data__1[[#This Row],[Discount]]</f>
        <v>234.75200000000001</v>
      </c>
    </row>
    <row r="459" spans="1:22" x14ac:dyDescent="0.3">
      <c r="A459" s="1" t="s">
        <v>192</v>
      </c>
      <c r="B459" s="1" t="s">
        <v>45</v>
      </c>
      <c r="C459" s="1" t="s">
        <v>22</v>
      </c>
      <c r="D459">
        <v>18</v>
      </c>
      <c r="E459" s="4">
        <v>268.38</v>
      </c>
      <c r="F459" s="1" t="s">
        <v>55</v>
      </c>
      <c r="G459" s="1" t="s">
        <v>24</v>
      </c>
      <c r="H459">
        <v>0.15</v>
      </c>
      <c r="I459" s="1" t="s">
        <v>25</v>
      </c>
      <c r="J459" s="4">
        <v>4106.21</v>
      </c>
      <c r="K459" s="1" t="s">
        <v>47</v>
      </c>
      <c r="L459" s="1" t="s">
        <v>85</v>
      </c>
      <c r="M459">
        <v>0</v>
      </c>
      <c r="N459" s="1" t="s">
        <v>1433</v>
      </c>
      <c r="O459" s="1" t="s">
        <v>1434</v>
      </c>
      <c r="P459" s="4">
        <v>48.38</v>
      </c>
      <c r="Q459" s="2">
        <v>45232</v>
      </c>
      <c r="R459" s="1" t="s">
        <v>195</v>
      </c>
      <c r="S459" s="1" t="s">
        <v>51</v>
      </c>
      <c r="T459" s="1" t="s">
        <v>43</v>
      </c>
      <c r="U459" s="5">
        <f>product_sales_data__1[[#This Row],[TotalPrice]]-product_sales_data__1[[#This Row],[ShippingCost]]</f>
        <v>4057.83</v>
      </c>
      <c r="V459" s="5">
        <f>product_sales_data__1[[#This Row],[Quantity]]*product_sales_data__1[[#This Row],[UnitPrice]]*product_sales_data__1[[#This Row],[Discount]]</f>
        <v>724.62599999999998</v>
      </c>
    </row>
    <row r="460" spans="1:22" x14ac:dyDescent="0.3">
      <c r="A460" s="1" t="s">
        <v>1085</v>
      </c>
      <c r="B460" s="1" t="s">
        <v>34</v>
      </c>
      <c r="C460" s="1" t="s">
        <v>100</v>
      </c>
      <c r="D460">
        <v>1</v>
      </c>
      <c r="E460" s="4">
        <v>354.21</v>
      </c>
      <c r="F460" s="1" t="s">
        <v>84</v>
      </c>
      <c r="G460" s="1" t="s">
        <v>24</v>
      </c>
      <c r="H460">
        <v>0.15</v>
      </c>
      <c r="I460" s="1" t="s">
        <v>46</v>
      </c>
      <c r="J460" s="4">
        <v>301.08</v>
      </c>
      <c r="K460" s="1" t="s">
        <v>26</v>
      </c>
      <c r="L460" s="1" t="s">
        <v>48</v>
      </c>
      <c r="M460">
        <v>0</v>
      </c>
      <c r="N460" s="1" t="s">
        <v>1435</v>
      </c>
      <c r="O460" s="1" t="s">
        <v>1436</v>
      </c>
      <c r="P460" s="4">
        <v>26.16</v>
      </c>
      <c r="Q460" s="2">
        <v>45449</v>
      </c>
      <c r="R460" s="1" t="s">
        <v>368</v>
      </c>
      <c r="S460" s="1" t="s">
        <v>42</v>
      </c>
      <c r="T460" s="1" t="s">
        <v>105</v>
      </c>
      <c r="U460" s="5">
        <f>product_sales_data__1[[#This Row],[TotalPrice]]-product_sales_data__1[[#This Row],[ShippingCost]]</f>
        <v>274.91999999999996</v>
      </c>
      <c r="V460" s="5">
        <f>product_sales_data__1[[#This Row],[Quantity]]*product_sales_data__1[[#This Row],[UnitPrice]]*product_sales_data__1[[#This Row],[Discount]]</f>
        <v>53.131499999999996</v>
      </c>
    </row>
    <row r="461" spans="1:22" x14ac:dyDescent="0.3">
      <c r="A461" s="1" t="s">
        <v>1037</v>
      </c>
      <c r="B461" s="1" t="s">
        <v>54</v>
      </c>
      <c r="C461" s="1" t="s">
        <v>140</v>
      </c>
      <c r="D461">
        <v>18</v>
      </c>
      <c r="E461" s="4">
        <v>587.25</v>
      </c>
      <c r="F461" s="1" t="s">
        <v>36</v>
      </c>
      <c r="G461" s="1" t="s">
        <v>24</v>
      </c>
      <c r="H461">
        <v>0.15</v>
      </c>
      <c r="I461" s="1" t="s">
        <v>46</v>
      </c>
      <c r="J461" s="4">
        <v>8984.93</v>
      </c>
      <c r="K461" s="1" t="s">
        <v>26</v>
      </c>
      <c r="L461" s="1" t="s">
        <v>48</v>
      </c>
      <c r="M461">
        <v>0</v>
      </c>
      <c r="N461" s="1" t="s">
        <v>1437</v>
      </c>
      <c r="O461" s="1" t="s">
        <v>1438</v>
      </c>
      <c r="P461" s="4">
        <v>42.15</v>
      </c>
      <c r="Q461" s="2">
        <v>45477</v>
      </c>
      <c r="R461" s="1" t="s">
        <v>339</v>
      </c>
      <c r="S461" s="1" t="s">
        <v>62</v>
      </c>
      <c r="T461" s="1" t="s">
        <v>117</v>
      </c>
      <c r="U461" s="5">
        <f>product_sales_data__1[[#This Row],[TotalPrice]]-product_sales_data__1[[#This Row],[ShippingCost]]</f>
        <v>8942.7800000000007</v>
      </c>
      <c r="V461" s="5">
        <f>product_sales_data__1[[#This Row],[Quantity]]*product_sales_data__1[[#This Row],[UnitPrice]]*product_sales_data__1[[#This Row],[Discount]]</f>
        <v>1585.575</v>
      </c>
    </row>
    <row r="462" spans="1:22" x14ac:dyDescent="0.3">
      <c r="A462" s="1" t="s">
        <v>285</v>
      </c>
      <c r="B462" s="1" t="s">
        <v>54</v>
      </c>
      <c r="C462" s="1" t="s">
        <v>22</v>
      </c>
      <c r="D462">
        <v>2</v>
      </c>
      <c r="E462" s="4">
        <v>438.06</v>
      </c>
      <c r="F462" s="1" t="s">
        <v>23</v>
      </c>
      <c r="G462" s="1" t="s">
        <v>37</v>
      </c>
      <c r="H462">
        <v>0</v>
      </c>
      <c r="I462" s="1" t="s">
        <v>56</v>
      </c>
      <c r="J462" s="4">
        <v>876.12</v>
      </c>
      <c r="K462" s="1" t="s">
        <v>26</v>
      </c>
      <c r="L462" s="1" t="s">
        <v>85</v>
      </c>
      <c r="M462">
        <v>1</v>
      </c>
      <c r="N462" s="1" t="s">
        <v>1439</v>
      </c>
      <c r="O462" s="1" t="s">
        <v>1440</v>
      </c>
      <c r="P462" s="4">
        <v>12.9</v>
      </c>
      <c r="Q462" s="2">
        <v>44987</v>
      </c>
      <c r="R462" s="1" t="s">
        <v>557</v>
      </c>
      <c r="S462" s="1" t="s">
        <v>62</v>
      </c>
      <c r="T462" s="1" t="s">
        <v>98</v>
      </c>
      <c r="U462" s="5">
        <f>product_sales_data__1[[#This Row],[TotalPrice]]-product_sales_data__1[[#This Row],[ShippingCost]]</f>
        <v>863.22</v>
      </c>
      <c r="V462" s="5">
        <f>product_sales_data__1[[#This Row],[Quantity]]*product_sales_data__1[[#This Row],[UnitPrice]]*product_sales_data__1[[#This Row],[Discount]]</f>
        <v>0</v>
      </c>
    </row>
    <row r="463" spans="1:22" x14ac:dyDescent="0.3">
      <c r="A463" s="1" t="s">
        <v>1071</v>
      </c>
      <c r="B463" s="1" t="s">
        <v>34</v>
      </c>
      <c r="C463" s="1" t="s">
        <v>100</v>
      </c>
      <c r="D463">
        <v>11</v>
      </c>
      <c r="E463" s="4">
        <v>66.97</v>
      </c>
      <c r="F463" s="1" t="s">
        <v>84</v>
      </c>
      <c r="G463" s="1" t="s">
        <v>37</v>
      </c>
      <c r="H463">
        <v>0.15</v>
      </c>
      <c r="I463" s="1" t="s">
        <v>94</v>
      </c>
      <c r="J463" s="4">
        <v>626.16999999999996</v>
      </c>
      <c r="K463" s="1" t="s">
        <v>57</v>
      </c>
      <c r="L463" s="1" t="s">
        <v>85</v>
      </c>
      <c r="M463">
        <v>1</v>
      </c>
      <c r="N463" s="1" t="s">
        <v>1441</v>
      </c>
      <c r="O463" s="1" t="s">
        <v>1442</v>
      </c>
      <c r="P463" s="4">
        <v>20.350000000000001</v>
      </c>
      <c r="Q463" s="2">
        <v>44965</v>
      </c>
      <c r="R463" s="1" t="s">
        <v>243</v>
      </c>
      <c r="S463" s="1" t="s">
        <v>42</v>
      </c>
      <c r="T463" s="1" t="s">
        <v>199</v>
      </c>
      <c r="U463" s="5">
        <f>product_sales_data__1[[#This Row],[TotalPrice]]-product_sales_data__1[[#This Row],[ShippingCost]]</f>
        <v>605.81999999999994</v>
      </c>
      <c r="V463" s="5">
        <f>product_sales_data__1[[#This Row],[Quantity]]*product_sales_data__1[[#This Row],[UnitPrice]]*product_sales_data__1[[#This Row],[Discount]]</f>
        <v>110.50049999999999</v>
      </c>
    </row>
    <row r="464" spans="1:22" x14ac:dyDescent="0.3">
      <c r="A464" s="1" t="s">
        <v>554</v>
      </c>
      <c r="B464" s="1" t="s">
        <v>21</v>
      </c>
      <c r="C464" s="1" t="s">
        <v>71</v>
      </c>
      <c r="D464">
        <v>8</v>
      </c>
      <c r="E464" s="4">
        <v>430.06</v>
      </c>
      <c r="F464" s="1" t="s">
        <v>23</v>
      </c>
      <c r="G464" s="1" t="s">
        <v>24</v>
      </c>
      <c r="H464">
        <v>0.05</v>
      </c>
      <c r="I464" s="1" t="s">
        <v>94</v>
      </c>
      <c r="J464" s="4">
        <v>3268.46</v>
      </c>
      <c r="K464" s="1" t="s">
        <v>38</v>
      </c>
      <c r="L464" s="1" t="s">
        <v>58</v>
      </c>
      <c r="M464">
        <v>0</v>
      </c>
      <c r="N464" s="1" t="s">
        <v>1443</v>
      </c>
      <c r="O464" s="1" t="s">
        <v>1444</v>
      </c>
      <c r="P464" s="4">
        <v>38.450000000000003</v>
      </c>
      <c r="Q464" s="2">
        <v>44928</v>
      </c>
      <c r="R464" s="1" t="s">
        <v>497</v>
      </c>
      <c r="S464" s="1" t="s">
        <v>31</v>
      </c>
      <c r="T464" s="1" t="s">
        <v>187</v>
      </c>
      <c r="U464" s="5">
        <f>product_sales_data__1[[#This Row],[TotalPrice]]-product_sales_data__1[[#This Row],[ShippingCost]]</f>
        <v>3230.01</v>
      </c>
      <c r="V464" s="5">
        <f>product_sales_data__1[[#This Row],[Quantity]]*product_sales_data__1[[#This Row],[UnitPrice]]*product_sales_data__1[[#This Row],[Discount]]</f>
        <v>172.024</v>
      </c>
    </row>
    <row r="465" spans="1:22" x14ac:dyDescent="0.3">
      <c r="A465" s="1" t="s">
        <v>973</v>
      </c>
      <c r="B465" s="1" t="s">
        <v>70</v>
      </c>
      <c r="C465" s="1" t="s">
        <v>127</v>
      </c>
      <c r="D465">
        <v>6</v>
      </c>
      <c r="E465" s="4">
        <v>421.97</v>
      </c>
      <c r="F465" s="1" t="s">
        <v>23</v>
      </c>
      <c r="G465" s="1" t="s">
        <v>24</v>
      </c>
      <c r="H465">
        <v>0.05</v>
      </c>
      <c r="I465" s="1" t="s">
        <v>94</v>
      </c>
      <c r="J465" s="4">
        <v>2405.23</v>
      </c>
      <c r="K465" s="1" t="s">
        <v>47</v>
      </c>
      <c r="L465" s="1" t="s">
        <v>27</v>
      </c>
      <c r="M465">
        <v>0</v>
      </c>
      <c r="N465" s="1" t="s">
        <v>1445</v>
      </c>
      <c r="O465" s="1" t="s">
        <v>1446</v>
      </c>
      <c r="P465" s="4">
        <v>41.31</v>
      </c>
      <c r="Q465" s="2">
        <v>45389</v>
      </c>
      <c r="R465" s="1" t="s">
        <v>336</v>
      </c>
      <c r="S465" s="1" t="s">
        <v>75</v>
      </c>
      <c r="T465" s="1" t="s">
        <v>147</v>
      </c>
      <c r="U465" s="5">
        <f>product_sales_data__1[[#This Row],[TotalPrice]]-product_sales_data__1[[#This Row],[ShippingCost]]</f>
        <v>2363.92</v>
      </c>
      <c r="V465" s="5">
        <f>product_sales_data__1[[#This Row],[Quantity]]*product_sales_data__1[[#This Row],[UnitPrice]]*product_sales_data__1[[#This Row],[Discount]]</f>
        <v>126.59100000000001</v>
      </c>
    </row>
    <row r="466" spans="1:22" x14ac:dyDescent="0.3">
      <c r="A466" s="1" t="s">
        <v>973</v>
      </c>
      <c r="B466" s="1" t="s">
        <v>70</v>
      </c>
      <c r="C466" s="1" t="s">
        <v>109</v>
      </c>
      <c r="D466">
        <v>5</v>
      </c>
      <c r="E466" s="4">
        <v>225.69</v>
      </c>
      <c r="F466" s="1" t="s">
        <v>84</v>
      </c>
      <c r="G466" s="1" t="s">
        <v>24</v>
      </c>
      <c r="H466">
        <v>0.15</v>
      </c>
      <c r="I466" s="1" t="s">
        <v>46</v>
      </c>
      <c r="J466" s="4">
        <v>959.18</v>
      </c>
      <c r="K466" s="1" t="s">
        <v>57</v>
      </c>
      <c r="L466" s="1" t="s">
        <v>27</v>
      </c>
      <c r="M466">
        <v>0</v>
      </c>
      <c r="N466" s="1" t="s">
        <v>1447</v>
      </c>
      <c r="O466" s="1" t="s">
        <v>1448</v>
      </c>
      <c r="P466" s="4">
        <v>47.6</v>
      </c>
      <c r="Q466" s="2">
        <v>45389</v>
      </c>
      <c r="R466" s="1" t="s">
        <v>69</v>
      </c>
      <c r="S466" s="1" t="s">
        <v>75</v>
      </c>
      <c r="T466" s="1" t="s">
        <v>147</v>
      </c>
      <c r="U466" s="5">
        <f>product_sales_data__1[[#This Row],[TotalPrice]]-product_sales_data__1[[#This Row],[ShippingCost]]</f>
        <v>911.57999999999993</v>
      </c>
      <c r="V466" s="5">
        <f>product_sales_data__1[[#This Row],[Quantity]]*product_sales_data__1[[#This Row],[UnitPrice]]*product_sales_data__1[[#This Row],[Discount]]</f>
        <v>169.26750000000001</v>
      </c>
    </row>
    <row r="467" spans="1:22" x14ac:dyDescent="0.3">
      <c r="A467" s="1" t="s">
        <v>211</v>
      </c>
      <c r="B467" s="1" t="s">
        <v>54</v>
      </c>
      <c r="C467" s="1" t="s">
        <v>22</v>
      </c>
      <c r="D467">
        <v>4</v>
      </c>
      <c r="E467" s="4">
        <v>209.3</v>
      </c>
      <c r="F467" s="1" t="s">
        <v>23</v>
      </c>
      <c r="G467" s="1" t="s">
        <v>37</v>
      </c>
      <c r="H467">
        <v>0.05</v>
      </c>
      <c r="I467" s="1" t="s">
        <v>25</v>
      </c>
      <c r="J467" s="4">
        <v>795.34</v>
      </c>
      <c r="K467" s="1" t="s">
        <v>57</v>
      </c>
      <c r="L467" s="1" t="s">
        <v>48</v>
      </c>
      <c r="M467">
        <v>0</v>
      </c>
      <c r="N467" s="1" t="s">
        <v>1449</v>
      </c>
      <c r="O467" s="1" t="s">
        <v>1450</v>
      </c>
      <c r="P467" s="4">
        <v>6.89</v>
      </c>
      <c r="Q467" s="2">
        <v>45660</v>
      </c>
      <c r="R467" s="1" t="s">
        <v>172</v>
      </c>
      <c r="S467" s="1" t="s">
        <v>62</v>
      </c>
      <c r="T467" s="1" t="s">
        <v>187</v>
      </c>
      <c r="U467" s="5">
        <f>product_sales_data__1[[#This Row],[TotalPrice]]-product_sales_data__1[[#This Row],[ShippingCost]]</f>
        <v>788.45</v>
      </c>
      <c r="V467" s="5">
        <f>product_sales_data__1[[#This Row],[Quantity]]*product_sales_data__1[[#This Row],[UnitPrice]]*product_sales_data__1[[#This Row],[Discount]]</f>
        <v>41.860000000000007</v>
      </c>
    </row>
    <row r="468" spans="1:22" x14ac:dyDescent="0.3">
      <c r="A468" s="1" t="s">
        <v>33</v>
      </c>
      <c r="B468" s="1" t="s">
        <v>70</v>
      </c>
      <c r="C468" s="1" t="s">
        <v>127</v>
      </c>
      <c r="D468">
        <v>13</v>
      </c>
      <c r="E468" s="4">
        <v>515.41999999999996</v>
      </c>
      <c r="F468" s="1" t="s">
        <v>55</v>
      </c>
      <c r="G468" s="1" t="s">
        <v>37</v>
      </c>
      <c r="H468">
        <v>0</v>
      </c>
      <c r="I468" s="1" t="s">
        <v>94</v>
      </c>
      <c r="J468" s="4">
        <v>6700.46</v>
      </c>
      <c r="K468" s="1" t="s">
        <v>26</v>
      </c>
      <c r="L468" s="1" t="s">
        <v>85</v>
      </c>
      <c r="M468">
        <v>0</v>
      </c>
      <c r="N468" s="1" t="s">
        <v>1451</v>
      </c>
      <c r="O468" s="1" t="s">
        <v>1452</v>
      </c>
      <c r="P468" s="4">
        <v>43.37</v>
      </c>
      <c r="Q468" s="2">
        <v>45231</v>
      </c>
      <c r="R468" s="1" t="s">
        <v>456</v>
      </c>
      <c r="S468" s="1" t="s">
        <v>75</v>
      </c>
      <c r="T468" s="1" t="s">
        <v>43</v>
      </c>
      <c r="U468" s="5">
        <f>product_sales_data__1[[#This Row],[TotalPrice]]-product_sales_data__1[[#This Row],[ShippingCost]]</f>
        <v>6657.09</v>
      </c>
      <c r="V468" s="5">
        <f>product_sales_data__1[[#This Row],[Quantity]]*product_sales_data__1[[#This Row],[UnitPrice]]*product_sales_data__1[[#This Row],[Discount]]</f>
        <v>0</v>
      </c>
    </row>
    <row r="469" spans="1:22" x14ac:dyDescent="0.3">
      <c r="A469" s="1" t="s">
        <v>1010</v>
      </c>
      <c r="B469" s="1" t="s">
        <v>45</v>
      </c>
      <c r="C469" s="1" t="s">
        <v>127</v>
      </c>
      <c r="D469">
        <v>17</v>
      </c>
      <c r="E469" s="4">
        <v>376.15</v>
      </c>
      <c r="F469" s="1" t="s">
        <v>36</v>
      </c>
      <c r="G469" s="1" t="s">
        <v>37</v>
      </c>
      <c r="H469">
        <v>0.05</v>
      </c>
      <c r="I469" s="1" t="s">
        <v>78</v>
      </c>
      <c r="J469" s="4">
        <v>6074.82</v>
      </c>
      <c r="K469" s="1" t="s">
        <v>57</v>
      </c>
      <c r="L469" s="1" t="s">
        <v>27</v>
      </c>
      <c r="M469">
        <v>1</v>
      </c>
      <c r="N469" s="1" t="s">
        <v>1453</v>
      </c>
      <c r="O469" s="1" t="s">
        <v>1454</v>
      </c>
      <c r="P469" s="4">
        <v>31.96</v>
      </c>
      <c r="Q469" s="2">
        <v>45538</v>
      </c>
      <c r="R469" s="1" t="s">
        <v>191</v>
      </c>
      <c r="S469" s="1" t="s">
        <v>51</v>
      </c>
      <c r="T469" s="1" t="s">
        <v>52</v>
      </c>
      <c r="U469" s="5">
        <f>product_sales_data__1[[#This Row],[TotalPrice]]-product_sales_data__1[[#This Row],[ShippingCost]]</f>
        <v>6042.86</v>
      </c>
      <c r="V469" s="5">
        <f>product_sales_data__1[[#This Row],[Quantity]]*product_sales_data__1[[#This Row],[UnitPrice]]*product_sales_data__1[[#This Row],[Discount]]</f>
        <v>319.72749999999996</v>
      </c>
    </row>
    <row r="470" spans="1:22" x14ac:dyDescent="0.3">
      <c r="A470" s="1" t="s">
        <v>482</v>
      </c>
      <c r="B470" s="1" t="s">
        <v>34</v>
      </c>
      <c r="C470" s="1" t="s">
        <v>35</v>
      </c>
      <c r="D470">
        <v>8</v>
      </c>
      <c r="E470" s="4">
        <v>385.46</v>
      </c>
      <c r="F470" s="1" t="s">
        <v>84</v>
      </c>
      <c r="G470" s="1" t="s">
        <v>24</v>
      </c>
      <c r="H470">
        <v>0</v>
      </c>
      <c r="I470" s="1" t="s">
        <v>94</v>
      </c>
      <c r="J470" s="4">
        <v>3083.68</v>
      </c>
      <c r="K470" s="1" t="s">
        <v>47</v>
      </c>
      <c r="L470" s="1" t="s">
        <v>58</v>
      </c>
      <c r="M470">
        <v>0</v>
      </c>
      <c r="N470" s="1" t="s">
        <v>1455</v>
      </c>
      <c r="O470" s="1" t="s">
        <v>1456</v>
      </c>
      <c r="P470" s="4">
        <v>8.89</v>
      </c>
      <c r="Q470" s="2">
        <v>45483</v>
      </c>
      <c r="R470" s="1" t="s">
        <v>699</v>
      </c>
      <c r="S470" s="1" t="s">
        <v>42</v>
      </c>
      <c r="T470" s="1" t="s">
        <v>117</v>
      </c>
      <c r="U470" s="5">
        <f>product_sales_data__1[[#This Row],[TotalPrice]]-product_sales_data__1[[#This Row],[ShippingCost]]</f>
        <v>3074.79</v>
      </c>
      <c r="V470" s="5">
        <f>product_sales_data__1[[#This Row],[Quantity]]*product_sales_data__1[[#This Row],[UnitPrice]]*product_sales_data__1[[#This Row],[Discount]]</f>
        <v>0</v>
      </c>
    </row>
    <row r="471" spans="1:22" x14ac:dyDescent="0.3">
      <c r="A471" s="1" t="s">
        <v>1421</v>
      </c>
      <c r="B471" s="1" t="s">
        <v>54</v>
      </c>
      <c r="C471" s="1" t="s">
        <v>140</v>
      </c>
      <c r="D471">
        <v>2</v>
      </c>
      <c r="E471" s="4">
        <v>474.13</v>
      </c>
      <c r="F471" s="1" t="s">
        <v>55</v>
      </c>
      <c r="G471" s="1" t="s">
        <v>24</v>
      </c>
      <c r="H471">
        <v>0</v>
      </c>
      <c r="I471" s="1" t="s">
        <v>46</v>
      </c>
      <c r="J471" s="4">
        <v>948.26</v>
      </c>
      <c r="K471" s="1" t="s">
        <v>57</v>
      </c>
      <c r="L471" s="1" t="s">
        <v>85</v>
      </c>
      <c r="M471">
        <v>1</v>
      </c>
      <c r="N471" s="1" t="s">
        <v>1457</v>
      </c>
      <c r="O471" s="1" t="s">
        <v>1458</v>
      </c>
      <c r="P471" s="4">
        <v>14.41</v>
      </c>
      <c r="Q471" s="2">
        <v>45087</v>
      </c>
      <c r="R471" s="1" t="s">
        <v>1189</v>
      </c>
      <c r="S471" s="1" t="s">
        <v>62</v>
      </c>
      <c r="T471" s="1" t="s">
        <v>105</v>
      </c>
      <c r="U471" s="5">
        <f>product_sales_data__1[[#This Row],[TotalPrice]]-product_sales_data__1[[#This Row],[ShippingCost]]</f>
        <v>933.85</v>
      </c>
      <c r="V471" s="5">
        <f>product_sales_data__1[[#This Row],[Quantity]]*product_sales_data__1[[#This Row],[UnitPrice]]*product_sales_data__1[[#This Row],[Discount]]</f>
        <v>0</v>
      </c>
    </row>
    <row r="472" spans="1:22" x14ac:dyDescent="0.3">
      <c r="A472" s="1" t="s">
        <v>216</v>
      </c>
      <c r="B472" s="1" t="s">
        <v>54</v>
      </c>
      <c r="C472" s="1" t="s">
        <v>127</v>
      </c>
      <c r="D472">
        <v>15</v>
      </c>
      <c r="E472" s="4">
        <v>506.17</v>
      </c>
      <c r="F472" s="1" t="s">
        <v>23</v>
      </c>
      <c r="G472" s="1" t="s">
        <v>24</v>
      </c>
      <c r="H472">
        <v>0.05</v>
      </c>
      <c r="I472" s="1" t="s">
        <v>25</v>
      </c>
      <c r="J472" s="4">
        <v>7212.92</v>
      </c>
      <c r="K472" s="1" t="s">
        <v>26</v>
      </c>
      <c r="L472" s="1" t="s">
        <v>48</v>
      </c>
      <c r="M472">
        <v>0</v>
      </c>
      <c r="N472" s="1" t="s">
        <v>1459</v>
      </c>
      <c r="O472" s="1" t="s">
        <v>1460</v>
      </c>
      <c r="P472" s="4">
        <v>41.73</v>
      </c>
      <c r="Q472" s="2">
        <v>45142</v>
      </c>
      <c r="R472" s="1" t="s">
        <v>1461</v>
      </c>
      <c r="S472" s="1" t="s">
        <v>62</v>
      </c>
      <c r="T472" s="1" t="s">
        <v>82</v>
      </c>
      <c r="U472" s="5">
        <f>product_sales_data__1[[#This Row],[TotalPrice]]-product_sales_data__1[[#This Row],[ShippingCost]]</f>
        <v>7171.1900000000005</v>
      </c>
      <c r="V472" s="5">
        <f>product_sales_data__1[[#This Row],[Quantity]]*product_sales_data__1[[#This Row],[UnitPrice]]*product_sales_data__1[[#This Row],[Discount]]</f>
        <v>379.62750000000005</v>
      </c>
    </row>
    <row r="473" spans="1:22" x14ac:dyDescent="0.3">
      <c r="A473" s="1" t="s">
        <v>1032</v>
      </c>
      <c r="B473" s="1" t="s">
        <v>34</v>
      </c>
      <c r="C473" s="1" t="s">
        <v>127</v>
      </c>
      <c r="D473">
        <v>2</v>
      </c>
      <c r="E473" s="4">
        <v>334.48</v>
      </c>
      <c r="F473" s="1" t="s">
        <v>23</v>
      </c>
      <c r="G473" s="1" t="s">
        <v>24</v>
      </c>
      <c r="H473">
        <v>0</v>
      </c>
      <c r="I473" s="1" t="s">
        <v>25</v>
      </c>
      <c r="J473" s="4">
        <v>668.96</v>
      </c>
      <c r="K473" s="1" t="s">
        <v>38</v>
      </c>
      <c r="L473" s="1" t="s">
        <v>48</v>
      </c>
      <c r="M473">
        <v>0</v>
      </c>
      <c r="N473" s="1" t="s">
        <v>1462</v>
      </c>
      <c r="O473" s="1" t="s">
        <v>1463</v>
      </c>
      <c r="P473" s="4">
        <v>31.53</v>
      </c>
      <c r="Q473" s="2">
        <v>45265</v>
      </c>
      <c r="R473" s="1" t="s">
        <v>1112</v>
      </c>
      <c r="S473" s="1" t="s">
        <v>42</v>
      </c>
      <c r="T473" s="1" t="s">
        <v>76</v>
      </c>
      <c r="U473" s="5">
        <f>product_sales_data__1[[#This Row],[TotalPrice]]-product_sales_data__1[[#This Row],[ShippingCost]]</f>
        <v>637.43000000000006</v>
      </c>
      <c r="V473" s="5">
        <f>product_sales_data__1[[#This Row],[Quantity]]*product_sales_data__1[[#This Row],[UnitPrice]]*product_sales_data__1[[#This Row],[Discount]]</f>
        <v>0</v>
      </c>
    </row>
    <row r="474" spans="1:22" x14ac:dyDescent="0.3">
      <c r="A474" s="1" t="s">
        <v>423</v>
      </c>
      <c r="B474" s="1" t="s">
        <v>34</v>
      </c>
      <c r="C474" s="1" t="s">
        <v>35</v>
      </c>
      <c r="D474">
        <v>7</v>
      </c>
      <c r="E474" s="4">
        <v>562.6</v>
      </c>
      <c r="F474" s="1" t="s">
        <v>84</v>
      </c>
      <c r="G474" s="1" t="s">
        <v>37</v>
      </c>
      <c r="H474">
        <v>0.15</v>
      </c>
      <c r="I474" s="1" t="s">
        <v>65</v>
      </c>
      <c r="J474" s="4">
        <v>3347.47</v>
      </c>
      <c r="K474" s="1" t="s">
        <v>26</v>
      </c>
      <c r="L474" s="1" t="s">
        <v>27</v>
      </c>
      <c r="M474">
        <v>0</v>
      </c>
      <c r="N474" s="1" t="s">
        <v>1464</v>
      </c>
      <c r="O474" s="1" t="s">
        <v>1465</v>
      </c>
      <c r="P474" s="4">
        <v>19.95</v>
      </c>
      <c r="Q474" s="2">
        <v>45505</v>
      </c>
      <c r="R474" s="1" t="s">
        <v>739</v>
      </c>
      <c r="S474" s="1" t="s">
        <v>42</v>
      </c>
      <c r="T474" s="1" t="s">
        <v>82</v>
      </c>
      <c r="U474" s="5">
        <f>product_sales_data__1[[#This Row],[TotalPrice]]-product_sales_data__1[[#This Row],[ShippingCost]]</f>
        <v>3327.52</v>
      </c>
      <c r="V474" s="5">
        <f>product_sales_data__1[[#This Row],[Quantity]]*product_sales_data__1[[#This Row],[UnitPrice]]*product_sales_data__1[[#This Row],[Discount]]</f>
        <v>590.73</v>
      </c>
    </row>
    <row r="475" spans="1:22" x14ac:dyDescent="0.3">
      <c r="A475" s="1" t="s">
        <v>729</v>
      </c>
      <c r="B475" s="1" t="s">
        <v>21</v>
      </c>
      <c r="C475" s="1" t="s">
        <v>127</v>
      </c>
      <c r="D475">
        <v>7</v>
      </c>
      <c r="E475" s="4">
        <v>14.34</v>
      </c>
      <c r="F475" s="1" t="s">
        <v>55</v>
      </c>
      <c r="G475" s="1" t="s">
        <v>37</v>
      </c>
      <c r="H475">
        <v>0.05</v>
      </c>
      <c r="I475" s="1" t="s">
        <v>25</v>
      </c>
      <c r="J475" s="4">
        <v>95.36</v>
      </c>
      <c r="K475" s="1" t="s">
        <v>38</v>
      </c>
      <c r="L475" s="1" t="s">
        <v>27</v>
      </c>
      <c r="M475">
        <v>0</v>
      </c>
      <c r="N475" s="1" t="s">
        <v>1466</v>
      </c>
      <c r="O475" s="1" t="s">
        <v>154</v>
      </c>
      <c r="P475" s="4">
        <v>19.45</v>
      </c>
      <c r="Q475" s="2">
        <v>45418</v>
      </c>
      <c r="R475" s="1" t="s">
        <v>714</v>
      </c>
      <c r="S475" s="1" t="s">
        <v>31</v>
      </c>
      <c r="T475" s="1" t="s">
        <v>63</v>
      </c>
      <c r="U475" s="5">
        <f>product_sales_data__1[[#This Row],[TotalPrice]]-product_sales_data__1[[#This Row],[ShippingCost]]</f>
        <v>75.91</v>
      </c>
      <c r="V475" s="5">
        <f>product_sales_data__1[[#This Row],[Quantity]]*product_sales_data__1[[#This Row],[UnitPrice]]*product_sales_data__1[[#This Row],[Discount]]</f>
        <v>5.0190000000000001</v>
      </c>
    </row>
    <row r="476" spans="1:22" x14ac:dyDescent="0.3">
      <c r="A476" s="1" t="s">
        <v>934</v>
      </c>
      <c r="B476" s="1" t="s">
        <v>70</v>
      </c>
      <c r="C476" s="1" t="s">
        <v>140</v>
      </c>
      <c r="D476">
        <v>11</v>
      </c>
      <c r="E476" s="4">
        <v>488.17</v>
      </c>
      <c r="F476" s="1" t="s">
        <v>23</v>
      </c>
      <c r="G476" s="1" t="s">
        <v>24</v>
      </c>
      <c r="H476">
        <v>0.05</v>
      </c>
      <c r="I476" s="1" t="s">
        <v>94</v>
      </c>
      <c r="J476" s="4">
        <v>5101.38</v>
      </c>
      <c r="K476" s="1" t="s">
        <v>47</v>
      </c>
      <c r="L476" s="1" t="s">
        <v>27</v>
      </c>
      <c r="M476">
        <v>1</v>
      </c>
      <c r="N476" s="1" t="s">
        <v>1467</v>
      </c>
      <c r="O476" s="1" t="s">
        <v>1468</v>
      </c>
      <c r="P476" s="4">
        <v>37.47</v>
      </c>
      <c r="Q476" s="2">
        <v>45049</v>
      </c>
      <c r="R476" s="1" t="s">
        <v>270</v>
      </c>
      <c r="S476" s="1" t="s">
        <v>75</v>
      </c>
      <c r="T476" s="1" t="s">
        <v>63</v>
      </c>
      <c r="U476" s="5">
        <f>product_sales_data__1[[#This Row],[TotalPrice]]-product_sales_data__1[[#This Row],[ShippingCost]]</f>
        <v>5063.91</v>
      </c>
      <c r="V476" s="5">
        <f>product_sales_data__1[[#This Row],[Quantity]]*product_sales_data__1[[#This Row],[UnitPrice]]*product_sales_data__1[[#This Row],[Discount]]</f>
        <v>268.49349999999998</v>
      </c>
    </row>
    <row r="477" spans="1:22" x14ac:dyDescent="0.3">
      <c r="A477" s="1" t="s">
        <v>301</v>
      </c>
      <c r="B477" s="1" t="s">
        <v>70</v>
      </c>
      <c r="C477" s="1" t="s">
        <v>127</v>
      </c>
      <c r="D477">
        <v>6</v>
      </c>
      <c r="E477" s="4">
        <v>100.75</v>
      </c>
      <c r="F477" s="1" t="s">
        <v>84</v>
      </c>
      <c r="G477" s="1" t="s">
        <v>24</v>
      </c>
      <c r="H477">
        <v>0.1</v>
      </c>
      <c r="I477" s="1" t="s">
        <v>56</v>
      </c>
      <c r="J477" s="4">
        <v>544.04999999999995</v>
      </c>
      <c r="K477" s="1" t="s">
        <v>101</v>
      </c>
      <c r="L477" s="1" t="s">
        <v>85</v>
      </c>
      <c r="M477">
        <v>0</v>
      </c>
      <c r="N477" s="1" t="s">
        <v>1469</v>
      </c>
      <c r="O477" s="1" t="s">
        <v>1470</v>
      </c>
      <c r="P477" s="4">
        <v>12.98</v>
      </c>
      <c r="Q477" s="2">
        <v>45603</v>
      </c>
      <c r="R477" s="1" t="s">
        <v>1194</v>
      </c>
      <c r="S477" s="1" t="s">
        <v>75</v>
      </c>
      <c r="T477" s="1" t="s">
        <v>43</v>
      </c>
      <c r="U477" s="5">
        <f>product_sales_data__1[[#This Row],[TotalPrice]]-product_sales_data__1[[#This Row],[ShippingCost]]</f>
        <v>531.06999999999994</v>
      </c>
      <c r="V477" s="5">
        <f>product_sales_data__1[[#This Row],[Quantity]]*product_sales_data__1[[#This Row],[UnitPrice]]*product_sales_data__1[[#This Row],[Discount]]</f>
        <v>60.45</v>
      </c>
    </row>
    <row r="478" spans="1:22" x14ac:dyDescent="0.3">
      <c r="A478" s="1" t="s">
        <v>711</v>
      </c>
      <c r="B478" s="1" t="s">
        <v>45</v>
      </c>
      <c r="C478" s="1" t="s">
        <v>140</v>
      </c>
      <c r="D478">
        <v>18</v>
      </c>
      <c r="E478" s="4">
        <v>519.41999999999996</v>
      </c>
      <c r="F478" s="1" t="s">
        <v>36</v>
      </c>
      <c r="G478" s="1" t="s">
        <v>37</v>
      </c>
      <c r="H478">
        <v>0.15</v>
      </c>
      <c r="I478" s="1" t="s">
        <v>65</v>
      </c>
      <c r="J478" s="4">
        <v>7947.13</v>
      </c>
      <c r="K478" s="1" t="s">
        <v>47</v>
      </c>
      <c r="L478" s="1" t="s">
        <v>27</v>
      </c>
      <c r="M478">
        <v>0</v>
      </c>
      <c r="N478" s="1" t="s">
        <v>1471</v>
      </c>
      <c r="O478" s="1" t="s">
        <v>1472</v>
      </c>
      <c r="P478" s="4">
        <v>32.96</v>
      </c>
      <c r="Q478" s="2">
        <v>45328</v>
      </c>
      <c r="R478" s="1" t="s">
        <v>143</v>
      </c>
      <c r="S478" s="1" t="s">
        <v>51</v>
      </c>
      <c r="T478" s="1" t="s">
        <v>199</v>
      </c>
      <c r="U478" s="5">
        <f>product_sales_data__1[[#This Row],[TotalPrice]]-product_sales_data__1[[#This Row],[ShippingCost]]</f>
        <v>7914.17</v>
      </c>
      <c r="V478" s="5">
        <f>product_sales_data__1[[#This Row],[Quantity]]*product_sales_data__1[[#This Row],[UnitPrice]]*product_sales_data__1[[#This Row],[Discount]]</f>
        <v>1402.434</v>
      </c>
    </row>
    <row r="479" spans="1:22" x14ac:dyDescent="0.3">
      <c r="A479" s="1" t="s">
        <v>1473</v>
      </c>
      <c r="B479" s="1" t="s">
        <v>21</v>
      </c>
      <c r="C479" s="1" t="s">
        <v>22</v>
      </c>
      <c r="D479">
        <v>13</v>
      </c>
      <c r="E479" s="4">
        <v>420.68</v>
      </c>
      <c r="F479" s="1" t="s">
        <v>55</v>
      </c>
      <c r="G479" s="1" t="s">
        <v>24</v>
      </c>
      <c r="H479">
        <v>0.05</v>
      </c>
      <c r="I479" s="1" t="s">
        <v>56</v>
      </c>
      <c r="J479" s="4">
        <v>5195.3999999999996</v>
      </c>
      <c r="K479" s="1" t="s">
        <v>26</v>
      </c>
      <c r="L479" s="1" t="s">
        <v>48</v>
      </c>
      <c r="M479">
        <v>0</v>
      </c>
      <c r="N479" s="1" t="s">
        <v>1474</v>
      </c>
      <c r="O479" s="1" t="s">
        <v>1475</v>
      </c>
      <c r="P479" s="4">
        <v>24.51</v>
      </c>
      <c r="Q479" s="2">
        <v>45721</v>
      </c>
      <c r="R479" s="1" t="s">
        <v>83</v>
      </c>
      <c r="S479" s="1" t="s">
        <v>31</v>
      </c>
      <c r="T479" s="1" t="s">
        <v>98</v>
      </c>
      <c r="U479" s="5">
        <f>product_sales_data__1[[#This Row],[TotalPrice]]-product_sales_data__1[[#This Row],[ShippingCost]]</f>
        <v>5170.8899999999994</v>
      </c>
      <c r="V479" s="5">
        <f>product_sales_data__1[[#This Row],[Quantity]]*product_sales_data__1[[#This Row],[UnitPrice]]*product_sales_data__1[[#This Row],[Discount]]</f>
        <v>273.44200000000001</v>
      </c>
    </row>
    <row r="480" spans="1:22" x14ac:dyDescent="0.3">
      <c r="A480" s="1" t="s">
        <v>1476</v>
      </c>
      <c r="B480" s="1" t="s">
        <v>21</v>
      </c>
      <c r="C480" s="1" t="s">
        <v>140</v>
      </c>
      <c r="D480">
        <v>17</v>
      </c>
      <c r="E480" s="4">
        <v>5.91</v>
      </c>
      <c r="F480" s="1" t="s">
        <v>84</v>
      </c>
      <c r="G480" s="1" t="s">
        <v>24</v>
      </c>
      <c r="H480">
        <v>0.15</v>
      </c>
      <c r="I480" s="1" t="s">
        <v>65</v>
      </c>
      <c r="J480" s="4">
        <v>85.4</v>
      </c>
      <c r="K480" s="1" t="s">
        <v>26</v>
      </c>
      <c r="L480" s="1" t="s">
        <v>58</v>
      </c>
      <c r="M480">
        <v>0</v>
      </c>
      <c r="N480" s="1" t="s">
        <v>1477</v>
      </c>
      <c r="O480" s="1" t="s">
        <v>1478</v>
      </c>
      <c r="P480" s="4">
        <v>44.85</v>
      </c>
      <c r="Q480" s="2">
        <v>45778</v>
      </c>
      <c r="R480" s="1" t="s">
        <v>837</v>
      </c>
      <c r="S480" s="1" t="s">
        <v>31</v>
      </c>
      <c r="T480" s="1" t="s">
        <v>63</v>
      </c>
      <c r="U480" s="5">
        <f>product_sales_data__1[[#This Row],[TotalPrice]]-product_sales_data__1[[#This Row],[ShippingCost]]</f>
        <v>40.550000000000004</v>
      </c>
      <c r="V480" s="5">
        <f>product_sales_data__1[[#This Row],[Quantity]]*product_sales_data__1[[#This Row],[UnitPrice]]*product_sales_data__1[[#This Row],[Discount]]</f>
        <v>15.070499999999999</v>
      </c>
    </row>
    <row r="481" spans="1:22" x14ac:dyDescent="0.3">
      <c r="A481" s="1" t="s">
        <v>608</v>
      </c>
      <c r="B481" s="1" t="s">
        <v>21</v>
      </c>
      <c r="C481" s="1" t="s">
        <v>140</v>
      </c>
      <c r="D481">
        <v>11</v>
      </c>
      <c r="E481" s="4">
        <v>550.86</v>
      </c>
      <c r="F481" s="1" t="s">
        <v>36</v>
      </c>
      <c r="G481" s="1" t="s">
        <v>37</v>
      </c>
      <c r="H481">
        <v>0.1</v>
      </c>
      <c r="I481" s="1" t="s">
        <v>94</v>
      </c>
      <c r="J481" s="4">
        <v>5453.51</v>
      </c>
      <c r="K481" s="1" t="s">
        <v>26</v>
      </c>
      <c r="L481" s="1" t="s">
        <v>85</v>
      </c>
      <c r="M481">
        <v>0</v>
      </c>
      <c r="N481" s="1" t="s">
        <v>1479</v>
      </c>
      <c r="O481" s="1" t="s">
        <v>1480</v>
      </c>
      <c r="P481" s="4">
        <v>21.82</v>
      </c>
      <c r="Q481" s="2">
        <v>45110</v>
      </c>
      <c r="R481" s="1" t="s">
        <v>916</v>
      </c>
      <c r="S481" s="1" t="s">
        <v>31</v>
      </c>
      <c r="T481" s="1" t="s">
        <v>117</v>
      </c>
      <c r="U481" s="5">
        <f>product_sales_data__1[[#This Row],[TotalPrice]]-product_sales_data__1[[#This Row],[ShippingCost]]</f>
        <v>5431.6900000000005</v>
      </c>
      <c r="V481" s="5">
        <f>product_sales_data__1[[#This Row],[Quantity]]*product_sales_data__1[[#This Row],[UnitPrice]]*product_sales_data__1[[#This Row],[Discount]]</f>
        <v>605.94600000000003</v>
      </c>
    </row>
    <row r="482" spans="1:22" x14ac:dyDescent="0.3">
      <c r="A482" s="1" t="s">
        <v>196</v>
      </c>
      <c r="B482" s="1" t="s">
        <v>70</v>
      </c>
      <c r="C482" s="1" t="s">
        <v>109</v>
      </c>
      <c r="D482">
        <v>16</v>
      </c>
      <c r="E482" s="4">
        <v>145.30000000000001</v>
      </c>
      <c r="F482" s="1" t="s">
        <v>23</v>
      </c>
      <c r="G482" s="1" t="s">
        <v>24</v>
      </c>
      <c r="H482">
        <v>0</v>
      </c>
      <c r="I482" s="1" t="s">
        <v>65</v>
      </c>
      <c r="J482" s="4">
        <v>2324.8000000000002</v>
      </c>
      <c r="K482" s="1" t="s">
        <v>101</v>
      </c>
      <c r="L482" s="1" t="s">
        <v>85</v>
      </c>
      <c r="M482">
        <v>1</v>
      </c>
      <c r="N482" s="1" t="s">
        <v>1481</v>
      </c>
      <c r="O482" s="1" t="s">
        <v>1482</v>
      </c>
      <c r="P482" s="4">
        <v>29.64</v>
      </c>
      <c r="Q482" s="2">
        <v>45323</v>
      </c>
      <c r="R482" s="1" t="s">
        <v>739</v>
      </c>
      <c r="S482" s="1" t="s">
        <v>75</v>
      </c>
      <c r="T482" s="1" t="s">
        <v>199</v>
      </c>
      <c r="U482" s="5">
        <f>product_sales_data__1[[#This Row],[TotalPrice]]-product_sales_data__1[[#This Row],[ShippingCost]]</f>
        <v>2295.1600000000003</v>
      </c>
      <c r="V482" s="5">
        <f>product_sales_data__1[[#This Row],[Quantity]]*product_sales_data__1[[#This Row],[UnitPrice]]*product_sales_data__1[[#This Row],[Discount]]</f>
        <v>0</v>
      </c>
    </row>
    <row r="483" spans="1:22" x14ac:dyDescent="0.3">
      <c r="A483" s="1" t="s">
        <v>900</v>
      </c>
      <c r="B483" s="1" t="s">
        <v>34</v>
      </c>
      <c r="C483" s="1" t="s">
        <v>140</v>
      </c>
      <c r="D483">
        <v>10</v>
      </c>
      <c r="E483" s="4">
        <v>67.38</v>
      </c>
      <c r="F483" s="1" t="s">
        <v>36</v>
      </c>
      <c r="G483" s="1" t="s">
        <v>37</v>
      </c>
      <c r="H483">
        <v>0.1</v>
      </c>
      <c r="I483" s="1" t="s">
        <v>78</v>
      </c>
      <c r="J483" s="4">
        <v>606.41999999999996</v>
      </c>
      <c r="K483" s="1" t="s">
        <v>57</v>
      </c>
      <c r="L483" s="1" t="s">
        <v>85</v>
      </c>
      <c r="M483">
        <v>1</v>
      </c>
      <c r="N483" s="1" t="s">
        <v>1483</v>
      </c>
      <c r="O483" s="1" t="s">
        <v>142</v>
      </c>
      <c r="P483" s="4">
        <v>20.58</v>
      </c>
      <c r="Q483" s="2">
        <v>45871</v>
      </c>
      <c r="R483" s="1" t="s">
        <v>1484</v>
      </c>
      <c r="S483" s="1" t="s">
        <v>42</v>
      </c>
      <c r="T483" s="1" t="s">
        <v>82</v>
      </c>
      <c r="U483" s="5">
        <f>product_sales_data__1[[#This Row],[TotalPrice]]-product_sales_data__1[[#This Row],[ShippingCost]]</f>
        <v>585.83999999999992</v>
      </c>
      <c r="V483" s="5">
        <f>product_sales_data__1[[#This Row],[Quantity]]*product_sales_data__1[[#This Row],[UnitPrice]]*product_sales_data__1[[#This Row],[Discount]]</f>
        <v>67.38</v>
      </c>
    </row>
    <row r="484" spans="1:22" x14ac:dyDescent="0.3">
      <c r="A484" s="1" t="s">
        <v>297</v>
      </c>
      <c r="B484" s="1" t="s">
        <v>34</v>
      </c>
      <c r="C484" s="1" t="s">
        <v>140</v>
      </c>
      <c r="D484">
        <v>15</v>
      </c>
      <c r="E484" s="4">
        <v>141.13</v>
      </c>
      <c r="F484" s="1" t="s">
        <v>55</v>
      </c>
      <c r="G484" s="1" t="s">
        <v>24</v>
      </c>
      <c r="H484">
        <v>0</v>
      </c>
      <c r="I484" s="1" t="s">
        <v>46</v>
      </c>
      <c r="J484" s="4">
        <v>2116.9499999999998</v>
      </c>
      <c r="K484" s="1" t="s">
        <v>47</v>
      </c>
      <c r="L484" s="1" t="s">
        <v>58</v>
      </c>
      <c r="M484">
        <v>0</v>
      </c>
      <c r="N484" s="1" t="s">
        <v>1485</v>
      </c>
      <c r="O484" s="1" t="s">
        <v>1486</v>
      </c>
      <c r="P484" s="4">
        <v>19.63</v>
      </c>
      <c r="Q484" s="2">
        <v>45750</v>
      </c>
      <c r="R484" s="1" t="s">
        <v>978</v>
      </c>
      <c r="S484" s="1" t="s">
        <v>42</v>
      </c>
      <c r="T484" s="1" t="s">
        <v>147</v>
      </c>
      <c r="U484" s="5">
        <f>product_sales_data__1[[#This Row],[TotalPrice]]-product_sales_data__1[[#This Row],[ShippingCost]]</f>
        <v>2097.3199999999997</v>
      </c>
      <c r="V484" s="5">
        <f>product_sales_data__1[[#This Row],[Quantity]]*product_sales_data__1[[#This Row],[UnitPrice]]*product_sales_data__1[[#This Row],[Discount]]</f>
        <v>0</v>
      </c>
    </row>
    <row r="485" spans="1:22" x14ac:dyDescent="0.3">
      <c r="A485" s="1" t="s">
        <v>191</v>
      </c>
      <c r="B485" s="1" t="s">
        <v>45</v>
      </c>
      <c r="C485" s="1" t="s">
        <v>109</v>
      </c>
      <c r="D485">
        <v>1</v>
      </c>
      <c r="E485" s="4">
        <v>534.61</v>
      </c>
      <c r="F485" s="1" t="s">
        <v>55</v>
      </c>
      <c r="G485" s="1" t="s">
        <v>37</v>
      </c>
      <c r="H485">
        <v>0.05</v>
      </c>
      <c r="I485" s="1" t="s">
        <v>56</v>
      </c>
      <c r="J485" s="4">
        <v>507.88</v>
      </c>
      <c r="K485" s="1" t="s">
        <v>26</v>
      </c>
      <c r="L485" s="1" t="s">
        <v>58</v>
      </c>
      <c r="M485">
        <v>0</v>
      </c>
      <c r="N485" s="1" t="s">
        <v>1487</v>
      </c>
      <c r="O485" s="1" t="s">
        <v>1488</v>
      </c>
      <c r="P485" s="4">
        <v>22.68</v>
      </c>
      <c r="Q485" s="2">
        <v>45629</v>
      </c>
      <c r="R485" s="1" t="s">
        <v>1489</v>
      </c>
      <c r="S485" s="1" t="s">
        <v>51</v>
      </c>
      <c r="T485" s="1" t="s">
        <v>76</v>
      </c>
      <c r="U485" s="5">
        <f>product_sales_data__1[[#This Row],[TotalPrice]]-product_sales_data__1[[#This Row],[ShippingCost]]</f>
        <v>485.2</v>
      </c>
      <c r="V485" s="5">
        <f>product_sales_data__1[[#This Row],[Quantity]]*product_sales_data__1[[#This Row],[UnitPrice]]*product_sales_data__1[[#This Row],[Discount]]</f>
        <v>26.730500000000003</v>
      </c>
    </row>
    <row r="486" spans="1:22" x14ac:dyDescent="0.3">
      <c r="A486" s="1" t="s">
        <v>1490</v>
      </c>
      <c r="B486" s="1" t="s">
        <v>70</v>
      </c>
      <c r="C486" s="1" t="s">
        <v>71</v>
      </c>
      <c r="D486">
        <v>9</v>
      </c>
      <c r="E486" s="4">
        <v>560.04</v>
      </c>
      <c r="F486" s="1" t="s">
        <v>55</v>
      </c>
      <c r="G486" s="1" t="s">
        <v>37</v>
      </c>
      <c r="H486">
        <v>0.05</v>
      </c>
      <c r="I486" s="1" t="s">
        <v>46</v>
      </c>
      <c r="J486" s="4">
        <v>4788.34</v>
      </c>
      <c r="K486" s="1" t="s">
        <v>57</v>
      </c>
      <c r="L486" s="1" t="s">
        <v>27</v>
      </c>
      <c r="M486">
        <v>0</v>
      </c>
      <c r="N486" s="1" t="s">
        <v>1491</v>
      </c>
      <c r="O486" s="1" t="s">
        <v>1492</v>
      </c>
      <c r="P486" s="4">
        <v>22.81</v>
      </c>
      <c r="Q486" s="2">
        <v>45358</v>
      </c>
      <c r="R486" s="1" t="s">
        <v>217</v>
      </c>
      <c r="S486" s="1" t="s">
        <v>75</v>
      </c>
      <c r="T486" s="1" t="s">
        <v>98</v>
      </c>
      <c r="U486" s="5">
        <f>product_sales_data__1[[#This Row],[TotalPrice]]-product_sales_data__1[[#This Row],[ShippingCost]]</f>
        <v>4765.53</v>
      </c>
      <c r="V486" s="5">
        <f>product_sales_data__1[[#This Row],[Quantity]]*product_sales_data__1[[#This Row],[UnitPrice]]*product_sales_data__1[[#This Row],[Discount]]</f>
        <v>252.018</v>
      </c>
    </row>
    <row r="487" spans="1:22" x14ac:dyDescent="0.3">
      <c r="A487" s="1" t="s">
        <v>1476</v>
      </c>
      <c r="B487" s="1" t="s">
        <v>21</v>
      </c>
      <c r="C487" s="1" t="s">
        <v>100</v>
      </c>
      <c r="D487">
        <v>8</v>
      </c>
      <c r="E487" s="4">
        <v>275.32</v>
      </c>
      <c r="F487" s="1" t="s">
        <v>55</v>
      </c>
      <c r="G487" s="1" t="s">
        <v>37</v>
      </c>
      <c r="H487">
        <v>0.1</v>
      </c>
      <c r="I487" s="1" t="s">
        <v>78</v>
      </c>
      <c r="J487" s="4">
        <v>1982.3</v>
      </c>
      <c r="K487" s="1" t="s">
        <v>47</v>
      </c>
      <c r="L487" s="1" t="s">
        <v>58</v>
      </c>
      <c r="M487">
        <v>0</v>
      </c>
      <c r="N487" s="1" t="s">
        <v>1493</v>
      </c>
      <c r="O487" s="1" t="s">
        <v>1494</v>
      </c>
      <c r="P487" s="4">
        <v>18.260000000000002</v>
      </c>
      <c r="Q487" s="2">
        <v>45778</v>
      </c>
      <c r="R487" s="1" t="s">
        <v>837</v>
      </c>
      <c r="S487" s="1" t="s">
        <v>31</v>
      </c>
      <c r="T487" s="1" t="s">
        <v>63</v>
      </c>
      <c r="U487" s="5">
        <f>product_sales_data__1[[#This Row],[TotalPrice]]-product_sales_data__1[[#This Row],[ShippingCost]]</f>
        <v>1964.04</v>
      </c>
      <c r="V487" s="5">
        <f>product_sales_data__1[[#This Row],[Quantity]]*product_sales_data__1[[#This Row],[UnitPrice]]*product_sales_data__1[[#This Row],[Discount]]</f>
        <v>220.256</v>
      </c>
    </row>
    <row r="488" spans="1:22" x14ac:dyDescent="0.3">
      <c r="A488" s="1" t="s">
        <v>450</v>
      </c>
      <c r="B488" s="1" t="s">
        <v>54</v>
      </c>
      <c r="C488" s="1" t="s">
        <v>71</v>
      </c>
      <c r="D488">
        <v>11</v>
      </c>
      <c r="E488" s="4">
        <v>358.59</v>
      </c>
      <c r="F488" s="1" t="s">
        <v>23</v>
      </c>
      <c r="G488" s="1" t="s">
        <v>24</v>
      </c>
      <c r="H488">
        <v>0</v>
      </c>
      <c r="I488" s="1" t="s">
        <v>56</v>
      </c>
      <c r="J488" s="4">
        <v>3944.49</v>
      </c>
      <c r="K488" s="1" t="s">
        <v>101</v>
      </c>
      <c r="L488" s="1" t="s">
        <v>48</v>
      </c>
      <c r="M488">
        <v>0</v>
      </c>
      <c r="N488" s="1" t="s">
        <v>1495</v>
      </c>
      <c r="O488" s="1" t="s">
        <v>1496</v>
      </c>
      <c r="P488" s="4">
        <v>29.19</v>
      </c>
      <c r="Q488" s="2">
        <v>45147</v>
      </c>
      <c r="R488" s="1" t="s">
        <v>652</v>
      </c>
      <c r="S488" s="1" t="s">
        <v>62</v>
      </c>
      <c r="T488" s="1" t="s">
        <v>82</v>
      </c>
      <c r="U488" s="5">
        <f>product_sales_data__1[[#This Row],[TotalPrice]]-product_sales_data__1[[#This Row],[ShippingCost]]</f>
        <v>3915.2999999999997</v>
      </c>
      <c r="V488" s="5">
        <f>product_sales_data__1[[#This Row],[Quantity]]*product_sales_data__1[[#This Row],[UnitPrice]]*product_sales_data__1[[#This Row],[Discount]]</f>
        <v>0</v>
      </c>
    </row>
    <row r="489" spans="1:22" x14ac:dyDescent="0.3">
      <c r="A489" s="1" t="s">
        <v>1236</v>
      </c>
      <c r="B489" s="1" t="s">
        <v>45</v>
      </c>
      <c r="C489" s="1" t="s">
        <v>109</v>
      </c>
      <c r="D489">
        <v>18</v>
      </c>
      <c r="E489" s="4">
        <v>595.53</v>
      </c>
      <c r="F489" s="1" t="s">
        <v>23</v>
      </c>
      <c r="G489" s="1" t="s">
        <v>37</v>
      </c>
      <c r="H489">
        <v>0</v>
      </c>
      <c r="I489" s="1" t="s">
        <v>56</v>
      </c>
      <c r="J489" s="4">
        <v>10719.54</v>
      </c>
      <c r="K489" s="1" t="s">
        <v>47</v>
      </c>
      <c r="L489" s="1" t="s">
        <v>27</v>
      </c>
      <c r="M489">
        <v>0</v>
      </c>
      <c r="N489" s="1" t="s">
        <v>1497</v>
      </c>
      <c r="O489" s="1" t="s">
        <v>1498</v>
      </c>
      <c r="P489" s="4">
        <v>42.91</v>
      </c>
      <c r="Q489" s="2">
        <v>45384</v>
      </c>
      <c r="R489" s="1" t="s">
        <v>1499</v>
      </c>
      <c r="S489" s="1" t="s">
        <v>51</v>
      </c>
      <c r="T489" s="1" t="s">
        <v>147</v>
      </c>
      <c r="U489" s="5">
        <f>product_sales_data__1[[#This Row],[TotalPrice]]-product_sales_data__1[[#This Row],[ShippingCost]]</f>
        <v>10676.630000000001</v>
      </c>
      <c r="V489" s="5">
        <f>product_sales_data__1[[#This Row],[Quantity]]*product_sales_data__1[[#This Row],[UnitPrice]]*product_sales_data__1[[#This Row],[Discount]]</f>
        <v>0</v>
      </c>
    </row>
    <row r="490" spans="1:22" x14ac:dyDescent="0.3">
      <c r="A490" s="1" t="s">
        <v>1090</v>
      </c>
      <c r="B490" s="1" t="s">
        <v>54</v>
      </c>
      <c r="C490" s="1" t="s">
        <v>109</v>
      </c>
      <c r="D490">
        <v>19</v>
      </c>
      <c r="E490" s="4">
        <v>431.47</v>
      </c>
      <c r="F490" s="1" t="s">
        <v>84</v>
      </c>
      <c r="G490" s="1" t="s">
        <v>37</v>
      </c>
      <c r="H490">
        <v>0.1</v>
      </c>
      <c r="I490" s="1" t="s">
        <v>65</v>
      </c>
      <c r="J490" s="4">
        <v>7378.14</v>
      </c>
      <c r="K490" s="1" t="s">
        <v>57</v>
      </c>
      <c r="L490" s="1" t="s">
        <v>27</v>
      </c>
      <c r="M490">
        <v>0</v>
      </c>
      <c r="N490" s="1" t="s">
        <v>1500</v>
      </c>
      <c r="O490" s="1" t="s">
        <v>1501</v>
      </c>
      <c r="P490" s="4">
        <v>49.23</v>
      </c>
      <c r="Q490" s="2">
        <v>45055</v>
      </c>
      <c r="R490" s="1" t="s">
        <v>652</v>
      </c>
      <c r="S490" s="1" t="s">
        <v>62</v>
      </c>
      <c r="T490" s="1" t="s">
        <v>63</v>
      </c>
      <c r="U490" s="5">
        <f>product_sales_data__1[[#This Row],[TotalPrice]]-product_sales_data__1[[#This Row],[ShippingCost]]</f>
        <v>7328.9100000000008</v>
      </c>
      <c r="V490" s="5">
        <f>product_sales_data__1[[#This Row],[Quantity]]*product_sales_data__1[[#This Row],[UnitPrice]]*product_sales_data__1[[#This Row],[Discount]]</f>
        <v>819.79300000000012</v>
      </c>
    </row>
    <row r="491" spans="1:22" x14ac:dyDescent="0.3">
      <c r="A491" s="1" t="s">
        <v>1129</v>
      </c>
      <c r="B491" s="1" t="s">
        <v>54</v>
      </c>
      <c r="C491" s="1" t="s">
        <v>140</v>
      </c>
      <c r="D491">
        <v>19</v>
      </c>
      <c r="E491" s="4">
        <v>67.489999999999995</v>
      </c>
      <c r="F491" s="1" t="s">
        <v>36</v>
      </c>
      <c r="G491" s="1" t="s">
        <v>37</v>
      </c>
      <c r="H491">
        <v>0</v>
      </c>
      <c r="I491" s="1" t="s">
        <v>56</v>
      </c>
      <c r="J491" s="4">
        <v>1282.31</v>
      </c>
      <c r="K491" s="1" t="s">
        <v>38</v>
      </c>
      <c r="L491" s="1" t="s">
        <v>58</v>
      </c>
      <c r="M491">
        <v>0</v>
      </c>
      <c r="N491" s="1" t="s">
        <v>1502</v>
      </c>
      <c r="O491" s="1" t="s">
        <v>1503</v>
      </c>
      <c r="P491" s="4">
        <v>32.04</v>
      </c>
      <c r="Q491" s="2">
        <v>44934</v>
      </c>
      <c r="R491" s="1" t="s">
        <v>243</v>
      </c>
      <c r="S491" s="1" t="s">
        <v>62</v>
      </c>
      <c r="T491" s="1" t="s">
        <v>187</v>
      </c>
      <c r="U491" s="5">
        <f>product_sales_data__1[[#This Row],[TotalPrice]]-product_sales_data__1[[#This Row],[ShippingCost]]</f>
        <v>1250.27</v>
      </c>
      <c r="V491" s="5">
        <f>product_sales_data__1[[#This Row],[Quantity]]*product_sales_data__1[[#This Row],[UnitPrice]]*product_sales_data__1[[#This Row],[Discount]]</f>
        <v>0</v>
      </c>
    </row>
    <row r="492" spans="1:22" x14ac:dyDescent="0.3">
      <c r="A492" s="1" t="s">
        <v>826</v>
      </c>
      <c r="B492" s="1" t="s">
        <v>45</v>
      </c>
      <c r="C492" s="1" t="s">
        <v>109</v>
      </c>
      <c r="D492">
        <v>11</v>
      </c>
      <c r="E492" s="4">
        <v>25.67</v>
      </c>
      <c r="F492" s="1" t="s">
        <v>36</v>
      </c>
      <c r="G492" s="1" t="s">
        <v>37</v>
      </c>
      <c r="H492">
        <v>0.15</v>
      </c>
      <c r="I492" s="1" t="s">
        <v>46</v>
      </c>
      <c r="J492" s="4">
        <v>240.01</v>
      </c>
      <c r="K492" s="1" t="s">
        <v>101</v>
      </c>
      <c r="L492" s="1" t="s">
        <v>58</v>
      </c>
      <c r="M492">
        <v>0</v>
      </c>
      <c r="N492" s="1" t="s">
        <v>1504</v>
      </c>
      <c r="O492" s="1" t="s">
        <v>1505</v>
      </c>
      <c r="P492" s="4">
        <v>30.12</v>
      </c>
      <c r="Q492" s="2">
        <v>45078</v>
      </c>
      <c r="R492" s="1" t="s">
        <v>276</v>
      </c>
      <c r="S492" s="1" t="s">
        <v>51</v>
      </c>
      <c r="T492" s="1" t="s">
        <v>105</v>
      </c>
      <c r="U492" s="5">
        <f>product_sales_data__1[[#This Row],[TotalPrice]]-product_sales_data__1[[#This Row],[ShippingCost]]</f>
        <v>209.89</v>
      </c>
      <c r="V492" s="5">
        <f>product_sales_data__1[[#This Row],[Quantity]]*product_sales_data__1[[#This Row],[UnitPrice]]*product_sales_data__1[[#This Row],[Discount]]</f>
        <v>42.355499999999999</v>
      </c>
    </row>
    <row r="493" spans="1:22" x14ac:dyDescent="0.3">
      <c r="A493" s="1" t="s">
        <v>1506</v>
      </c>
      <c r="B493" s="1" t="s">
        <v>45</v>
      </c>
      <c r="C493" s="1" t="s">
        <v>71</v>
      </c>
      <c r="D493">
        <v>4</v>
      </c>
      <c r="E493" s="4">
        <v>368.69</v>
      </c>
      <c r="F493" s="1" t="s">
        <v>55</v>
      </c>
      <c r="G493" s="1" t="s">
        <v>24</v>
      </c>
      <c r="H493">
        <v>0</v>
      </c>
      <c r="I493" s="1" t="s">
        <v>78</v>
      </c>
      <c r="J493" s="4">
        <v>1474.76</v>
      </c>
      <c r="K493" s="1" t="s">
        <v>57</v>
      </c>
      <c r="L493" s="1" t="s">
        <v>27</v>
      </c>
      <c r="M493">
        <v>0</v>
      </c>
      <c r="N493" s="1" t="s">
        <v>1507</v>
      </c>
      <c r="O493" s="1" t="s">
        <v>1508</v>
      </c>
      <c r="P493" s="4">
        <v>48.57</v>
      </c>
      <c r="Q493" s="2">
        <v>45693</v>
      </c>
      <c r="R493" s="1" t="s">
        <v>507</v>
      </c>
      <c r="S493" s="1" t="s">
        <v>51</v>
      </c>
      <c r="T493" s="1" t="s">
        <v>199</v>
      </c>
      <c r="U493" s="5">
        <f>product_sales_data__1[[#This Row],[TotalPrice]]-product_sales_data__1[[#This Row],[ShippingCost]]</f>
        <v>1426.19</v>
      </c>
      <c r="V493" s="5">
        <f>product_sales_data__1[[#This Row],[Quantity]]*product_sales_data__1[[#This Row],[UnitPrice]]*product_sales_data__1[[#This Row],[Discount]]</f>
        <v>0</v>
      </c>
    </row>
    <row r="494" spans="1:22" x14ac:dyDescent="0.3">
      <c r="A494" s="1" t="s">
        <v>596</v>
      </c>
      <c r="B494" s="1" t="s">
        <v>70</v>
      </c>
      <c r="C494" s="1" t="s">
        <v>100</v>
      </c>
      <c r="D494">
        <v>14</v>
      </c>
      <c r="E494" s="4">
        <v>85.54</v>
      </c>
      <c r="F494" s="1" t="s">
        <v>23</v>
      </c>
      <c r="G494" s="1" t="s">
        <v>24</v>
      </c>
      <c r="H494">
        <v>0</v>
      </c>
      <c r="I494" s="1" t="s">
        <v>56</v>
      </c>
      <c r="J494" s="4">
        <v>1197.56</v>
      </c>
      <c r="K494" s="1" t="s">
        <v>57</v>
      </c>
      <c r="L494" s="1" t="s">
        <v>85</v>
      </c>
      <c r="M494">
        <v>0</v>
      </c>
      <c r="N494" s="1" t="s">
        <v>1509</v>
      </c>
      <c r="O494" s="1" t="s">
        <v>1510</v>
      </c>
      <c r="P494" s="4">
        <v>16.079999999999998</v>
      </c>
      <c r="Q494" s="2">
        <v>45574</v>
      </c>
      <c r="R494" s="1" t="s">
        <v>1511</v>
      </c>
      <c r="S494" s="1" t="s">
        <v>75</v>
      </c>
      <c r="T494" s="1" t="s">
        <v>32</v>
      </c>
      <c r="U494" s="5">
        <f>product_sales_data__1[[#This Row],[TotalPrice]]-product_sales_data__1[[#This Row],[ShippingCost]]</f>
        <v>1181.48</v>
      </c>
      <c r="V494" s="5">
        <f>product_sales_data__1[[#This Row],[Quantity]]*product_sales_data__1[[#This Row],[UnitPrice]]*product_sales_data__1[[#This Row],[Discount]]</f>
        <v>0</v>
      </c>
    </row>
    <row r="495" spans="1:22" x14ac:dyDescent="0.3">
      <c r="A495" s="1" t="s">
        <v>693</v>
      </c>
      <c r="B495" s="1" t="s">
        <v>45</v>
      </c>
      <c r="C495" s="1" t="s">
        <v>35</v>
      </c>
      <c r="D495">
        <v>9</v>
      </c>
      <c r="E495" s="4">
        <v>267.60000000000002</v>
      </c>
      <c r="F495" s="1" t="s">
        <v>55</v>
      </c>
      <c r="G495" s="1" t="s">
        <v>37</v>
      </c>
      <c r="H495">
        <v>0.15</v>
      </c>
      <c r="I495" s="1" t="s">
        <v>65</v>
      </c>
      <c r="J495" s="4">
        <v>2047.14</v>
      </c>
      <c r="K495" s="1" t="s">
        <v>101</v>
      </c>
      <c r="L495" s="1" t="s">
        <v>85</v>
      </c>
      <c r="M495">
        <v>0</v>
      </c>
      <c r="N495" s="1" t="s">
        <v>1512</v>
      </c>
      <c r="O495" s="1" t="s">
        <v>1513</v>
      </c>
      <c r="P495" s="4">
        <v>8.48</v>
      </c>
      <c r="Q495" s="2">
        <v>45416</v>
      </c>
      <c r="R495" s="1" t="s">
        <v>64</v>
      </c>
      <c r="S495" s="1" t="s">
        <v>51</v>
      </c>
      <c r="T495" s="1" t="s">
        <v>63</v>
      </c>
      <c r="U495" s="5">
        <f>product_sales_data__1[[#This Row],[TotalPrice]]-product_sales_data__1[[#This Row],[ShippingCost]]</f>
        <v>2038.66</v>
      </c>
      <c r="V495" s="5">
        <f>product_sales_data__1[[#This Row],[Quantity]]*product_sales_data__1[[#This Row],[UnitPrice]]*product_sales_data__1[[#This Row],[Discount]]</f>
        <v>361.26</v>
      </c>
    </row>
    <row r="496" spans="1:22" x14ac:dyDescent="0.3">
      <c r="A496" s="1" t="s">
        <v>590</v>
      </c>
      <c r="B496" s="1" t="s">
        <v>70</v>
      </c>
      <c r="C496" s="1" t="s">
        <v>140</v>
      </c>
      <c r="D496">
        <v>11</v>
      </c>
      <c r="E496" s="4">
        <v>199.57</v>
      </c>
      <c r="F496" s="1" t="s">
        <v>84</v>
      </c>
      <c r="G496" s="1" t="s">
        <v>37</v>
      </c>
      <c r="H496">
        <v>0.05</v>
      </c>
      <c r="I496" s="1" t="s">
        <v>94</v>
      </c>
      <c r="J496" s="4">
        <v>2085.5100000000002</v>
      </c>
      <c r="K496" s="1" t="s">
        <v>38</v>
      </c>
      <c r="L496" s="1" t="s">
        <v>58</v>
      </c>
      <c r="M496">
        <v>0</v>
      </c>
      <c r="N496" s="1" t="s">
        <v>1514</v>
      </c>
      <c r="O496" s="1" t="s">
        <v>1486</v>
      </c>
      <c r="P496" s="4">
        <v>48.94</v>
      </c>
      <c r="Q496" s="2">
        <v>45271</v>
      </c>
      <c r="R496" s="1" t="s">
        <v>1515</v>
      </c>
      <c r="S496" s="1" t="s">
        <v>75</v>
      </c>
      <c r="T496" s="1" t="s">
        <v>76</v>
      </c>
      <c r="U496" s="5">
        <f>product_sales_data__1[[#This Row],[TotalPrice]]-product_sales_data__1[[#This Row],[ShippingCost]]</f>
        <v>2036.5700000000002</v>
      </c>
      <c r="V496" s="5">
        <f>product_sales_data__1[[#This Row],[Quantity]]*product_sales_data__1[[#This Row],[UnitPrice]]*product_sales_data__1[[#This Row],[Discount]]</f>
        <v>109.76350000000001</v>
      </c>
    </row>
    <row r="497" spans="1:22" x14ac:dyDescent="0.3">
      <c r="A497" s="1" t="s">
        <v>354</v>
      </c>
      <c r="B497" s="1" t="s">
        <v>34</v>
      </c>
      <c r="C497" s="1" t="s">
        <v>35</v>
      </c>
      <c r="D497">
        <v>8</v>
      </c>
      <c r="E497" s="4">
        <v>28.34</v>
      </c>
      <c r="F497" s="1" t="s">
        <v>36</v>
      </c>
      <c r="G497" s="1" t="s">
        <v>24</v>
      </c>
      <c r="H497">
        <v>0.05</v>
      </c>
      <c r="I497" s="1" t="s">
        <v>25</v>
      </c>
      <c r="J497" s="4">
        <v>215.38</v>
      </c>
      <c r="K497" s="1" t="s">
        <v>47</v>
      </c>
      <c r="L497" s="1" t="s">
        <v>48</v>
      </c>
      <c r="M497">
        <v>1</v>
      </c>
      <c r="N497" s="1" t="s">
        <v>1516</v>
      </c>
      <c r="O497" s="1" t="s">
        <v>1517</v>
      </c>
      <c r="P497" s="4">
        <v>23.19</v>
      </c>
      <c r="Q497" s="2">
        <v>45268</v>
      </c>
      <c r="R497" s="1" t="s">
        <v>1518</v>
      </c>
      <c r="S497" s="1" t="s">
        <v>42</v>
      </c>
      <c r="T497" s="1" t="s">
        <v>76</v>
      </c>
      <c r="U497" s="5">
        <f>product_sales_data__1[[#This Row],[TotalPrice]]-product_sales_data__1[[#This Row],[ShippingCost]]</f>
        <v>192.19</v>
      </c>
      <c r="V497" s="5">
        <f>product_sales_data__1[[#This Row],[Quantity]]*product_sales_data__1[[#This Row],[UnitPrice]]*product_sales_data__1[[#This Row],[Discount]]</f>
        <v>11.336</v>
      </c>
    </row>
    <row r="498" spans="1:22" x14ac:dyDescent="0.3">
      <c r="A498" s="1" t="s">
        <v>1241</v>
      </c>
      <c r="B498" s="1" t="s">
        <v>54</v>
      </c>
      <c r="C498" s="1" t="s">
        <v>140</v>
      </c>
      <c r="D498">
        <v>17</v>
      </c>
      <c r="E498" s="4">
        <v>495.13</v>
      </c>
      <c r="F498" s="1" t="s">
        <v>55</v>
      </c>
      <c r="G498" s="1" t="s">
        <v>24</v>
      </c>
      <c r="H498">
        <v>0.1</v>
      </c>
      <c r="I498" s="1" t="s">
        <v>25</v>
      </c>
      <c r="J498" s="4">
        <v>7575.49</v>
      </c>
      <c r="K498" s="1" t="s">
        <v>26</v>
      </c>
      <c r="L498" s="1" t="s">
        <v>85</v>
      </c>
      <c r="M498">
        <v>1</v>
      </c>
      <c r="N498" s="1" t="s">
        <v>1519</v>
      </c>
      <c r="O498" s="1" t="s">
        <v>1520</v>
      </c>
      <c r="P498" s="4">
        <v>26.37</v>
      </c>
      <c r="Q498" s="2">
        <v>45638</v>
      </c>
      <c r="R498" s="1" t="s">
        <v>1521</v>
      </c>
      <c r="S498" s="1" t="s">
        <v>62</v>
      </c>
      <c r="T498" s="1" t="s">
        <v>76</v>
      </c>
      <c r="U498" s="5">
        <f>product_sales_data__1[[#This Row],[TotalPrice]]-product_sales_data__1[[#This Row],[ShippingCost]]</f>
        <v>7549.12</v>
      </c>
      <c r="V498" s="5">
        <f>product_sales_data__1[[#This Row],[Quantity]]*product_sales_data__1[[#This Row],[UnitPrice]]*product_sales_data__1[[#This Row],[Discount]]</f>
        <v>841.721</v>
      </c>
    </row>
    <row r="499" spans="1:22" x14ac:dyDescent="0.3">
      <c r="A499" s="1" t="s">
        <v>533</v>
      </c>
      <c r="B499" s="1" t="s">
        <v>54</v>
      </c>
      <c r="C499" s="1" t="s">
        <v>71</v>
      </c>
      <c r="D499">
        <v>14</v>
      </c>
      <c r="E499" s="4">
        <v>142.05000000000001</v>
      </c>
      <c r="F499" s="1" t="s">
        <v>55</v>
      </c>
      <c r="G499" s="1" t="s">
        <v>37</v>
      </c>
      <c r="H499">
        <v>0.05</v>
      </c>
      <c r="I499" s="1" t="s">
        <v>56</v>
      </c>
      <c r="J499" s="4">
        <v>1889.27</v>
      </c>
      <c r="K499" s="1" t="s">
        <v>57</v>
      </c>
      <c r="L499" s="1" t="s">
        <v>58</v>
      </c>
      <c r="M499">
        <v>0</v>
      </c>
      <c r="N499" s="1" t="s">
        <v>1522</v>
      </c>
      <c r="O499" s="1" t="s">
        <v>1523</v>
      </c>
      <c r="P499" s="4">
        <v>33.65</v>
      </c>
      <c r="Q499" s="2">
        <v>45843</v>
      </c>
      <c r="R499" s="1" t="s">
        <v>1138</v>
      </c>
      <c r="S499" s="1" t="s">
        <v>62</v>
      </c>
      <c r="T499" s="1" t="s">
        <v>117</v>
      </c>
      <c r="U499" s="5">
        <f>product_sales_data__1[[#This Row],[TotalPrice]]-product_sales_data__1[[#This Row],[ShippingCost]]</f>
        <v>1855.62</v>
      </c>
      <c r="V499" s="5">
        <f>product_sales_data__1[[#This Row],[Quantity]]*product_sales_data__1[[#This Row],[UnitPrice]]*product_sales_data__1[[#This Row],[Discount]]</f>
        <v>99.435000000000016</v>
      </c>
    </row>
    <row r="500" spans="1:22" x14ac:dyDescent="0.3">
      <c r="A500" s="1" t="s">
        <v>300</v>
      </c>
      <c r="B500" s="1" t="s">
        <v>70</v>
      </c>
      <c r="C500" s="1" t="s">
        <v>35</v>
      </c>
      <c r="D500">
        <v>16</v>
      </c>
      <c r="E500" s="4">
        <v>504.36</v>
      </c>
      <c r="F500" s="1" t="s">
        <v>55</v>
      </c>
      <c r="G500" s="1" t="s">
        <v>24</v>
      </c>
      <c r="H500">
        <v>0</v>
      </c>
      <c r="I500" s="1" t="s">
        <v>94</v>
      </c>
      <c r="J500" s="4">
        <v>8069.76</v>
      </c>
      <c r="K500" s="1" t="s">
        <v>38</v>
      </c>
      <c r="L500" s="1" t="s">
        <v>48</v>
      </c>
      <c r="M500">
        <v>1</v>
      </c>
      <c r="N500" s="1" t="s">
        <v>1524</v>
      </c>
      <c r="O500" s="1" t="s">
        <v>1525</v>
      </c>
      <c r="P500" s="4">
        <v>11.67</v>
      </c>
      <c r="Q500" s="2">
        <v>45933</v>
      </c>
      <c r="R500" s="1" t="s">
        <v>61</v>
      </c>
      <c r="S500" s="1" t="s">
        <v>75</v>
      </c>
      <c r="T500" s="1" t="s">
        <v>32</v>
      </c>
      <c r="U500" s="5">
        <f>product_sales_data__1[[#This Row],[TotalPrice]]-product_sales_data__1[[#This Row],[ShippingCost]]</f>
        <v>8058.09</v>
      </c>
      <c r="V500" s="5">
        <f>product_sales_data__1[[#This Row],[Quantity]]*product_sales_data__1[[#This Row],[UnitPrice]]*product_sales_data__1[[#This Row],[Discount]]</f>
        <v>0</v>
      </c>
    </row>
    <row r="501" spans="1:22" x14ac:dyDescent="0.3">
      <c r="A501" s="1" t="s">
        <v>410</v>
      </c>
      <c r="B501" s="1" t="s">
        <v>70</v>
      </c>
      <c r="C501" s="1" t="s">
        <v>22</v>
      </c>
      <c r="D501">
        <v>7</v>
      </c>
      <c r="E501" s="4">
        <v>122.2</v>
      </c>
      <c r="F501" s="1" t="s">
        <v>23</v>
      </c>
      <c r="G501" s="1" t="s">
        <v>37</v>
      </c>
      <c r="H501">
        <v>0</v>
      </c>
      <c r="I501" s="1" t="s">
        <v>46</v>
      </c>
      <c r="J501" s="4">
        <v>855.4</v>
      </c>
      <c r="K501" s="1" t="s">
        <v>101</v>
      </c>
      <c r="L501" s="1" t="s">
        <v>48</v>
      </c>
      <c r="M501">
        <v>0</v>
      </c>
      <c r="N501" s="1" t="s">
        <v>1526</v>
      </c>
      <c r="O501" s="1" t="s">
        <v>1527</v>
      </c>
      <c r="P501" s="4">
        <v>30.21</v>
      </c>
      <c r="Q501" s="2">
        <v>45663</v>
      </c>
      <c r="R501" s="1" t="s">
        <v>413</v>
      </c>
      <c r="S501" s="1" t="s">
        <v>75</v>
      </c>
      <c r="T501" s="1" t="s">
        <v>187</v>
      </c>
      <c r="U501" s="5">
        <f>product_sales_data__1[[#This Row],[TotalPrice]]-product_sales_data__1[[#This Row],[ShippingCost]]</f>
        <v>825.18999999999994</v>
      </c>
      <c r="V501" s="5">
        <f>product_sales_data__1[[#This Row],[Quantity]]*product_sales_data__1[[#This Row],[UnitPrice]]*product_sales_data__1[[#This Row],[Discount]]</f>
        <v>0</v>
      </c>
    </row>
    <row r="502" spans="1:22" x14ac:dyDescent="0.3">
      <c r="A502" s="1" t="s">
        <v>320</v>
      </c>
      <c r="B502" s="1" t="s">
        <v>70</v>
      </c>
      <c r="C502" s="1" t="s">
        <v>109</v>
      </c>
      <c r="D502">
        <v>4</v>
      </c>
      <c r="E502" s="4">
        <v>224.75</v>
      </c>
      <c r="F502" s="1" t="s">
        <v>55</v>
      </c>
      <c r="G502" s="1" t="s">
        <v>24</v>
      </c>
      <c r="H502">
        <v>0</v>
      </c>
      <c r="I502" s="1" t="s">
        <v>56</v>
      </c>
      <c r="J502" s="4">
        <v>899</v>
      </c>
      <c r="K502" s="1" t="s">
        <v>38</v>
      </c>
      <c r="L502" s="1" t="s">
        <v>48</v>
      </c>
      <c r="M502">
        <v>0</v>
      </c>
      <c r="N502" s="1" t="s">
        <v>1528</v>
      </c>
      <c r="O502" s="1" t="s">
        <v>1529</v>
      </c>
      <c r="P502" s="4">
        <v>43.86</v>
      </c>
      <c r="Q502" s="2">
        <v>45140</v>
      </c>
      <c r="R502" s="1" t="s">
        <v>323</v>
      </c>
      <c r="S502" s="1" t="s">
        <v>75</v>
      </c>
      <c r="T502" s="1" t="s">
        <v>82</v>
      </c>
      <c r="U502" s="5">
        <f>product_sales_data__1[[#This Row],[TotalPrice]]-product_sales_data__1[[#This Row],[ShippingCost]]</f>
        <v>855.14</v>
      </c>
      <c r="V502" s="5">
        <f>product_sales_data__1[[#This Row],[Quantity]]*product_sales_data__1[[#This Row],[UnitPrice]]*product_sales_data__1[[#This Row],[Discount]]</f>
        <v>0</v>
      </c>
    </row>
    <row r="503" spans="1:22" x14ac:dyDescent="0.3">
      <c r="A503" s="1" t="s">
        <v>715</v>
      </c>
      <c r="B503" s="1" t="s">
        <v>21</v>
      </c>
      <c r="C503" s="1" t="s">
        <v>109</v>
      </c>
      <c r="D503">
        <v>14</v>
      </c>
      <c r="E503" s="4">
        <v>297.56</v>
      </c>
      <c r="F503" s="1" t="s">
        <v>23</v>
      </c>
      <c r="G503" s="1" t="s">
        <v>24</v>
      </c>
      <c r="H503">
        <v>0.1</v>
      </c>
      <c r="I503" s="1" t="s">
        <v>78</v>
      </c>
      <c r="J503" s="4">
        <v>3749.26</v>
      </c>
      <c r="K503" s="1" t="s">
        <v>38</v>
      </c>
      <c r="L503" s="1" t="s">
        <v>85</v>
      </c>
      <c r="M503">
        <v>0</v>
      </c>
      <c r="N503" s="1" t="s">
        <v>1530</v>
      </c>
      <c r="O503" s="1" t="s">
        <v>1531</v>
      </c>
      <c r="P503" s="4">
        <v>31.44</v>
      </c>
      <c r="Q503" s="2">
        <v>45300</v>
      </c>
      <c r="R503" s="1" t="s">
        <v>1396</v>
      </c>
      <c r="S503" s="1" t="s">
        <v>31</v>
      </c>
      <c r="T503" s="1" t="s">
        <v>187</v>
      </c>
      <c r="U503" s="5">
        <f>product_sales_data__1[[#This Row],[TotalPrice]]-product_sales_data__1[[#This Row],[ShippingCost]]</f>
        <v>3717.82</v>
      </c>
      <c r="V503" s="5">
        <f>product_sales_data__1[[#This Row],[Quantity]]*product_sales_data__1[[#This Row],[UnitPrice]]*product_sales_data__1[[#This Row],[Discount]]</f>
        <v>416.58400000000006</v>
      </c>
    </row>
    <row r="504" spans="1:22" x14ac:dyDescent="0.3">
      <c r="A504" s="1" t="s">
        <v>1532</v>
      </c>
      <c r="B504" s="1" t="s">
        <v>45</v>
      </c>
      <c r="C504" s="1" t="s">
        <v>140</v>
      </c>
      <c r="D504">
        <v>13</v>
      </c>
      <c r="E504" s="4">
        <v>365.11</v>
      </c>
      <c r="F504" s="1" t="s">
        <v>36</v>
      </c>
      <c r="G504" s="1" t="s">
        <v>37</v>
      </c>
      <c r="H504">
        <v>0.05</v>
      </c>
      <c r="I504" s="1" t="s">
        <v>78</v>
      </c>
      <c r="J504" s="4">
        <v>4509.1099999999997</v>
      </c>
      <c r="K504" s="1" t="s">
        <v>26</v>
      </c>
      <c r="L504" s="1" t="s">
        <v>48</v>
      </c>
      <c r="M504">
        <v>0</v>
      </c>
      <c r="N504" s="1" t="s">
        <v>1533</v>
      </c>
      <c r="O504" s="1" t="s">
        <v>1534</v>
      </c>
      <c r="P504" s="4">
        <v>13.97</v>
      </c>
      <c r="Q504" s="2">
        <v>45484</v>
      </c>
      <c r="R504" s="1" t="s">
        <v>308</v>
      </c>
      <c r="S504" s="1" t="s">
        <v>51</v>
      </c>
      <c r="T504" s="1" t="s">
        <v>117</v>
      </c>
      <c r="U504" s="5">
        <f>product_sales_data__1[[#This Row],[TotalPrice]]-product_sales_data__1[[#This Row],[ShippingCost]]</f>
        <v>4495.1399999999994</v>
      </c>
      <c r="V504" s="5">
        <f>product_sales_data__1[[#This Row],[Quantity]]*product_sales_data__1[[#This Row],[UnitPrice]]*product_sales_data__1[[#This Row],[Discount]]</f>
        <v>237.32150000000001</v>
      </c>
    </row>
    <row r="505" spans="1:22" x14ac:dyDescent="0.3">
      <c r="A505" s="1" t="s">
        <v>293</v>
      </c>
      <c r="B505" s="1" t="s">
        <v>54</v>
      </c>
      <c r="C505" s="1" t="s">
        <v>35</v>
      </c>
      <c r="D505">
        <v>6</v>
      </c>
      <c r="E505" s="4">
        <v>543.89</v>
      </c>
      <c r="F505" s="1" t="s">
        <v>36</v>
      </c>
      <c r="G505" s="1" t="s">
        <v>37</v>
      </c>
      <c r="H505">
        <v>0</v>
      </c>
      <c r="I505" s="1" t="s">
        <v>94</v>
      </c>
      <c r="J505" s="4">
        <v>3263.34</v>
      </c>
      <c r="K505" s="1" t="s">
        <v>47</v>
      </c>
      <c r="L505" s="1" t="s">
        <v>48</v>
      </c>
      <c r="M505">
        <v>1</v>
      </c>
      <c r="N505" s="1" t="s">
        <v>1535</v>
      </c>
      <c r="O505" s="1" t="s">
        <v>1536</v>
      </c>
      <c r="P505" s="4">
        <v>13.19</v>
      </c>
      <c r="Q505" s="2">
        <v>45203</v>
      </c>
      <c r="R505" s="1" t="s">
        <v>332</v>
      </c>
      <c r="S505" s="1" t="s">
        <v>62</v>
      </c>
      <c r="T505" s="1" t="s">
        <v>32</v>
      </c>
      <c r="U505" s="5">
        <f>product_sales_data__1[[#This Row],[TotalPrice]]-product_sales_data__1[[#This Row],[ShippingCost]]</f>
        <v>3250.15</v>
      </c>
      <c r="V505" s="5">
        <f>product_sales_data__1[[#This Row],[Quantity]]*product_sales_data__1[[#This Row],[UnitPrice]]*product_sales_data__1[[#This Row],[Discount]]</f>
        <v>0</v>
      </c>
    </row>
    <row r="506" spans="1:22" x14ac:dyDescent="0.3">
      <c r="A506" s="1" t="s">
        <v>1061</v>
      </c>
      <c r="B506" s="1" t="s">
        <v>21</v>
      </c>
      <c r="C506" s="1" t="s">
        <v>140</v>
      </c>
      <c r="D506">
        <v>19</v>
      </c>
      <c r="E506" s="4">
        <v>219.7</v>
      </c>
      <c r="F506" s="1" t="s">
        <v>84</v>
      </c>
      <c r="G506" s="1" t="s">
        <v>37</v>
      </c>
      <c r="H506">
        <v>0</v>
      </c>
      <c r="I506" s="1" t="s">
        <v>25</v>
      </c>
      <c r="J506" s="4">
        <v>4174.3</v>
      </c>
      <c r="K506" s="1" t="s">
        <v>47</v>
      </c>
      <c r="L506" s="1" t="s">
        <v>85</v>
      </c>
      <c r="M506">
        <v>0</v>
      </c>
      <c r="N506" s="1" t="s">
        <v>1537</v>
      </c>
      <c r="O506" s="1" t="s">
        <v>1538</v>
      </c>
      <c r="P506" s="4">
        <v>15.38</v>
      </c>
      <c r="Q506" s="2">
        <v>45566</v>
      </c>
      <c r="R506" s="1" t="s">
        <v>903</v>
      </c>
      <c r="S506" s="1" t="s">
        <v>31</v>
      </c>
      <c r="T506" s="1" t="s">
        <v>32</v>
      </c>
      <c r="U506" s="5">
        <f>product_sales_data__1[[#This Row],[TotalPrice]]-product_sales_data__1[[#This Row],[ShippingCost]]</f>
        <v>4158.92</v>
      </c>
      <c r="V506" s="5">
        <f>product_sales_data__1[[#This Row],[Quantity]]*product_sales_data__1[[#This Row],[UnitPrice]]*product_sales_data__1[[#This Row],[Discount]]</f>
        <v>0</v>
      </c>
    </row>
    <row r="507" spans="1:22" x14ac:dyDescent="0.3">
      <c r="A507" s="1" t="s">
        <v>297</v>
      </c>
      <c r="B507" s="1" t="s">
        <v>45</v>
      </c>
      <c r="C507" s="1" t="s">
        <v>109</v>
      </c>
      <c r="D507">
        <v>11</v>
      </c>
      <c r="E507" s="4">
        <v>447.38</v>
      </c>
      <c r="F507" s="1" t="s">
        <v>55</v>
      </c>
      <c r="G507" s="1" t="s">
        <v>24</v>
      </c>
      <c r="H507">
        <v>0</v>
      </c>
      <c r="I507" s="1" t="s">
        <v>25</v>
      </c>
      <c r="J507" s="4">
        <v>4921.18</v>
      </c>
      <c r="K507" s="1" t="s">
        <v>57</v>
      </c>
      <c r="L507" s="1" t="s">
        <v>58</v>
      </c>
      <c r="M507">
        <v>0</v>
      </c>
      <c r="N507" s="1" t="s">
        <v>1539</v>
      </c>
      <c r="O507" s="1" t="s">
        <v>1540</v>
      </c>
      <c r="P507" s="4">
        <v>36.72</v>
      </c>
      <c r="Q507" s="2">
        <v>45750</v>
      </c>
      <c r="R507" s="1" t="s">
        <v>540</v>
      </c>
      <c r="S507" s="1" t="s">
        <v>51</v>
      </c>
      <c r="T507" s="1" t="s">
        <v>147</v>
      </c>
      <c r="U507" s="5">
        <f>product_sales_data__1[[#This Row],[TotalPrice]]-product_sales_data__1[[#This Row],[ShippingCost]]</f>
        <v>4884.46</v>
      </c>
      <c r="V507" s="5">
        <f>product_sales_data__1[[#This Row],[Quantity]]*product_sales_data__1[[#This Row],[UnitPrice]]*product_sales_data__1[[#This Row],[Discount]]</f>
        <v>0</v>
      </c>
    </row>
    <row r="508" spans="1:22" x14ac:dyDescent="0.3">
      <c r="A508" s="1" t="s">
        <v>760</v>
      </c>
      <c r="B508" s="1" t="s">
        <v>70</v>
      </c>
      <c r="C508" s="1" t="s">
        <v>35</v>
      </c>
      <c r="D508">
        <v>19</v>
      </c>
      <c r="E508" s="4">
        <v>161.13</v>
      </c>
      <c r="F508" s="1" t="s">
        <v>84</v>
      </c>
      <c r="G508" s="1" t="s">
        <v>24</v>
      </c>
      <c r="H508">
        <v>0</v>
      </c>
      <c r="I508" s="1" t="s">
        <v>78</v>
      </c>
      <c r="J508" s="4">
        <v>3061.47</v>
      </c>
      <c r="K508" s="1" t="s">
        <v>101</v>
      </c>
      <c r="L508" s="1" t="s">
        <v>85</v>
      </c>
      <c r="M508">
        <v>0</v>
      </c>
      <c r="N508" s="1" t="s">
        <v>1541</v>
      </c>
      <c r="O508" s="1" t="s">
        <v>1542</v>
      </c>
      <c r="P508" s="4">
        <v>5.46</v>
      </c>
      <c r="Q508" s="2">
        <v>44933</v>
      </c>
      <c r="R508" s="1" t="s">
        <v>582</v>
      </c>
      <c r="S508" s="1" t="s">
        <v>75</v>
      </c>
      <c r="T508" s="1" t="s">
        <v>187</v>
      </c>
      <c r="U508" s="5">
        <f>product_sales_data__1[[#This Row],[TotalPrice]]-product_sales_data__1[[#This Row],[ShippingCost]]</f>
        <v>3056.0099999999998</v>
      </c>
      <c r="V508" s="5">
        <f>product_sales_data__1[[#This Row],[Quantity]]*product_sales_data__1[[#This Row],[UnitPrice]]*product_sales_data__1[[#This Row],[Discount]]</f>
        <v>0</v>
      </c>
    </row>
    <row r="509" spans="1:22" x14ac:dyDescent="0.3">
      <c r="A509" s="1" t="s">
        <v>777</v>
      </c>
      <c r="B509" s="1" t="s">
        <v>34</v>
      </c>
      <c r="C509" s="1" t="s">
        <v>100</v>
      </c>
      <c r="D509">
        <v>16</v>
      </c>
      <c r="E509" s="4">
        <v>172.89</v>
      </c>
      <c r="F509" s="1" t="s">
        <v>23</v>
      </c>
      <c r="G509" s="1" t="s">
        <v>24</v>
      </c>
      <c r="H509">
        <v>0.15</v>
      </c>
      <c r="I509" s="1" t="s">
        <v>78</v>
      </c>
      <c r="J509" s="4">
        <v>2351.3000000000002</v>
      </c>
      <c r="K509" s="1" t="s">
        <v>101</v>
      </c>
      <c r="L509" s="1" t="s">
        <v>85</v>
      </c>
      <c r="M509">
        <v>1</v>
      </c>
      <c r="N509" s="1" t="s">
        <v>1543</v>
      </c>
      <c r="O509" s="1" t="s">
        <v>1544</v>
      </c>
      <c r="P509" s="4">
        <v>41.87</v>
      </c>
      <c r="Q509" s="2">
        <v>45840</v>
      </c>
      <c r="R509" s="1" t="s">
        <v>1381</v>
      </c>
      <c r="S509" s="1" t="s">
        <v>42</v>
      </c>
      <c r="T509" s="1" t="s">
        <v>117</v>
      </c>
      <c r="U509" s="5">
        <f>product_sales_data__1[[#This Row],[TotalPrice]]-product_sales_data__1[[#This Row],[ShippingCost]]</f>
        <v>2309.4300000000003</v>
      </c>
      <c r="V509" s="5">
        <f>product_sales_data__1[[#This Row],[Quantity]]*product_sales_data__1[[#This Row],[UnitPrice]]*product_sales_data__1[[#This Row],[Discount]]</f>
        <v>414.93599999999998</v>
      </c>
    </row>
    <row r="510" spans="1:22" x14ac:dyDescent="0.3">
      <c r="A510" s="1" t="s">
        <v>196</v>
      </c>
      <c r="B510" s="1" t="s">
        <v>45</v>
      </c>
      <c r="C510" s="1" t="s">
        <v>22</v>
      </c>
      <c r="D510">
        <v>7</v>
      </c>
      <c r="E510" s="4">
        <v>55.76</v>
      </c>
      <c r="F510" s="1" t="s">
        <v>36</v>
      </c>
      <c r="G510" s="1" t="s">
        <v>24</v>
      </c>
      <c r="H510">
        <v>0.1</v>
      </c>
      <c r="I510" s="1" t="s">
        <v>25</v>
      </c>
      <c r="J510" s="4">
        <v>351.29</v>
      </c>
      <c r="K510" s="1" t="s">
        <v>26</v>
      </c>
      <c r="L510" s="1" t="s">
        <v>48</v>
      </c>
      <c r="M510">
        <v>0</v>
      </c>
      <c r="N510" s="1" t="s">
        <v>1545</v>
      </c>
      <c r="O510" s="1" t="s">
        <v>1546</v>
      </c>
      <c r="P510" s="4">
        <v>38.979999999999997</v>
      </c>
      <c r="Q510" s="2">
        <v>45323</v>
      </c>
      <c r="R510" s="1" t="s">
        <v>614</v>
      </c>
      <c r="S510" s="1" t="s">
        <v>51</v>
      </c>
      <c r="T510" s="1" t="s">
        <v>199</v>
      </c>
      <c r="U510" s="5">
        <f>product_sales_data__1[[#This Row],[TotalPrice]]-product_sales_data__1[[#This Row],[ShippingCost]]</f>
        <v>312.31</v>
      </c>
      <c r="V510" s="5">
        <f>product_sales_data__1[[#This Row],[Quantity]]*product_sales_data__1[[#This Row],[UnitPrice]]*product_sales_data__1[[#This Row],[Discount]]</f>
        <v>39.032000000000004</v>
      </c>
    </row>
    <row r="511" spans="1:22" x14ac:dyDescent="0.3">
      <c r="A511" s="1" t="s">
        <v>460</v>
      </c>
      <c r="B511" s="1" t="s">
        <v>34</v>
      </c>
      <c r="C511" s="1" t="s">
        <v>100</v>
      </c>
      <c r="D511">
        <v>4</v>
      </c>
      <c r="E511" s="4">
        <v>24.58</v>
      </c>
      <c r="F511" s="1" t="s">
        <v>23</v>
      </c>
      <c r="G511" s="1" t="s">
        <v>24</v>
      </c>
      <c r="H511">
        <v>0.15</v>
      </c>
      <c r="I511" s="1" t="s">
        <v>46</v>
      </c>
      <c r="J511" s="4">
        <v>83.57</v>
      </c>
      <c r="K511" s="1" t="s">
        <v>38</v>
      </c>
      <c r="L511" s="1" t="s">
        <v>27</v>
      </c>
      <c r="M511">
        <v>0</v>
      </c>
      <c r="N511" s="1" t="s">
        <v>1547</v>
      </c>
      <c r="O511" s="1" t="s">
        <v>1548</v>
      </c>
      <c r="P511" s="4">
        <v>39.869999999999997</v>
      </c>
      <c r="Q511" s="2">
        <v>45872</v>
      </c>
      <c r="R511" s="1" t="s">
        <v>897</v>
      </c>
      <c r="S511" s="1" t="s">
        <v>42</v>
      </c>
      <c r="T511" s="1" t="s">
        <v>82</v>
      </c>
      <c r="U511" s="5">
        <f>product_sales_data__1[[#This Row],[TotalPrice]]-product_sales_data__1[[#This Row],[ShippingCost]]</f>
        <v>43.699999999999996</v>
      </c>
      <c r="V511" s="5">
        <f>product_sales_data__1[[#This Row],[Quantity]]*product_sales_data__1[[#This Row],[UnitPrice]]*product_sales_data__1[[#This Row],[Discount]]</f>
        <v>14.747999999999998</v>
      </c>
    </row>
    <row r="512" spans="1:22" x14ac:dyDescent="0.3">
      <c r="A512" s="1" t="s">
        <v>579</v>
      </c>
      <c r="B512" s="1" t="s">
        <v>54</v>
      </c>
      <c r="C512" s="1" t="s">
        <v>22</v>
      </c>
      <c r="D512">
        <v>2</v>
      </c>
      <c r="E512" s="4">
        <v>504.82</v>
      </c>
      <c r="F512" s="1" t="s">
        <v>55</v>
      </c>
      <c r="G512" s="1" t="s">
        <v>37</v>
      </c>
      <c r="H512">
        <v>0</v>
      </c>
      <c r="I512" s="1" t="s">
        <v>46</v>
      </c>
      <c r="J512" s="4">
        <v>1009.64</v>
      </c>
      <c r="K512" s="1" t="s">
        <v>38</v>
      </c>
      <c r="L512" s="1" t="s">
        <v>85</v>
      </c>
      <c r="M512">
        <v>0</v>
      </c>
      <c r="N512" s="1" t="s">
        <v>1549</v>
      </c>
      <c r="O512" s="1" t="s">
        <v>1550</v>
      </c>
      <c r="P512" s="4">
        <v>25.54</v>
      </c>
      <c r="Q512" s="2">
        <v>44992</v>
      </c>
      <c r="R512" s="1" t="s">
        <v>1551</v>
      </c>
      <c r="S512" s="1" t="s">
        <v>62</v>
      </c>
      <c r="T512" s="1" t="s">
        <v>98</v>
      </c>
      <c r="U512" s="5">
        <f>product_sales_data__1[[#This Row],[TotalPrice]]-product_sales_data__1[[#This Row],[ShippingCost]]</f>
        <v>984.1</v>
      </c>
      <c r="V512" s="5">
        <f>product_sales_data__1[[#This Row],[Quantity]]*product_sales_data__1[[#This Row],[UnitPrice]]*product_sales_data__1[[#This Row],[Discount]]</f>
        <v>0</v>
      </c>
    </row>
    <row r="513" spans="1:22" x14ac:dyDescent="0.3">
      <c r="A513" s="1" t="s">
        <v>1397</v>
      </c>
      <c r="B513" s="1" t="s">
        <v>54</v>
      </c>
      <c r="C513" s="1" t="s">
        <v>22</v>
      </c>
      <c r="D513">
        <v>9</v>
      </c>
      <c r="E513" s="4">
        <v>130.57</v>
      </c>
      <c r="F513" s="1" t="s">
        <v>36</v>
      </c>
      <c r="G513" s="1" t="s">
        <v>24</v>
      </c>
      <c r="H513">
        <v>0.1</v>
      </c>
      <c r="I513" s="1" t="s">
        <v>65</v>
      </c>
      <c r="J513" s="4">
        <v>1057.6199999999999</v>
      </c>
      <c r="K513" s="1" t="s">
        <v>47</v>
      </c>
      <c r="L513" s="1" t="s">
        <v>27</v>
      </c>
      <c r="M513">
        <v>0</v>
      </c>
      <c r="N513" s="1" t="s">
        <v>1552</v>
      </c>
      <c r="O513" s="1" t="s">
        <v>1553</v>
      </c>
      <c r="P513" s="4">
        <v>37.14</v>
      </c>
      <c r="Q513" s="2">
        <v>45567</v>
      </c>
      <c r="R513" s="1" t="s">
        <v>1554</v>
      </c>
      <c r="S513" s="1" t="s">
        <v>62</v>
      </c>
      <c r="T513" s="1" t="s">
        <v>32</v>
      </c>
      <c r="U513" s="5">
        <f>product_sales_data__1[[#This Row],[TotalPrice]]-product_sales_data__1[[#This Row],[ShippingCost]]</f>
        <v>1020.4799999999999</v>
      </c>
      <c r="V513" s="5">
        <f>product_sales_data__1[[#This Row],[Quantity]]*product_sales_data__1[[#This Row],[UnitPrice]]*product_sales_data__1[[#This Row],[Discount]]</f>
        <v>117.51299999999999</v>
      </c>
    </row>
    <row r="514" spans="1:22" x14ac:dyDescent="0.3">
      <c r="A514" s="1" t="s">
        <v>583</v>
      </c>
      <c r="B514" s="1" t="s">
        <v>54</v>
      </c>
      <c r="C514" s="1" t="s">
        <v>127</v>
      </c>
      <c r="D514">
        <v>12</v>
      </c>
      <c r="E514" s="4">
        <v>312.72000000000003</v>
      </c>
      <c r="F514" s="1" t="s">
        <v>36</v>
      </c>
      <c r="G514" s="1" t="s">
        <v>37</v>
      </c>
      <c r="H514">
        <v>0</v>
      </c>
      <c r="I514" s="1" t="s">
        <v>65</v>
      </c>
      <c r="J514" s="4">
        <v>3752.64</v>
      </c>
      <c r="K514" s="1" t="s">
        <v>57</v>
      </c>
      <c r="L514" s="1" t="s">
        <v>48</v>
      </c>
      <c r="M514">
        <v>0</v>
      </c>
      <c r="N514" s="1" t="s">
        <v>1555</v>
      </c>
      <c r="O514" s="1" t="s">
        <v>1556</v>
      </c>
      <c r="P514" s="4">
        <v>18.46</v>
      </c>
      <c r="Q514" s="2">
        <v>45904</v>
      </c>
      <c r="R514" s="1" t="s">
        <v>586</v>
      </c>
      <c r="S514" s="1" t="s">
        <v>62</v>
      </c>
      <c r="T514" s="1" t="s">
        <v>52</v>
      </c>
      <c r="U514" s="5">
        <f>product_sales_data__1[[#This Row],[TotalPrice]]-product_sales_data__1[[#This Row],[ShippingCost]]</f>
        <v>3734.18</v>
      </c>
      <c r="V514" s="5">
        <f>product_sales_data__1[[#This Row],[Quantity]]*product_sales_data__1[[#This Row],[UnitPrice]]*product_sales_data__1[[#This Row],[Discount]]</f>
        <v>0</v>
      </c>
    </row>
    <row r="515" spans="1:22" x14ac:dyDescent="0.3">
      <c r="A515" s="1" t="s">
        <v>928</v>
      </c>
      <c r="B515" s="1" t="s">
        <v>54</v>
      </c>
      <c r="C515" s="1" t="s">
        <v>109</v>
      </c>
      <c r="D515">
        <v>18</v>
      </c>
      <c r="E515" s="4">
        <v>222.66</v>
      </c>
      <c r="F515" s="1" t="s">
        <v>36</v>
      </c>
      <c r="G515" s="1" t="s">
        <v>24</v>
      </c>
      <c r="H515">
        <v>0.05</v>
      </c>
      <c r="I515" s="1" t="s">
        <v>25</v>
      </c>
      <c r="J515" s="4">
        <v>3807.49</v>
      </c>
      <c r="K515" s="1" t="s">
        <v>57</v>
      </c>
      <c r="L515" s="1" t="s">
        <v>58</v>
      </c>
      <c r="M515">
        <v>0</v>
      </c>
      <c r="N515" s="1" t="s">
        <v>1557</v>
      </c>
      <c r="O515" s="1" t="s">
        <v>1558</v>
      </c>
      <c r="P515" s="4">
        <v>12.91</v>
      </c>
      <c r="Q515" s="2">
        <v>45178</v>
      </c>
      <c r="R515" s="1" t="s">
        <v>798</v>
      </c>
      <c r="S515" s="1" t="s">
        <v>62</v>
      </c>
      <c r="T515" s="1" t="s">
        <v>52</v>
      </c>
      <c r="U515" s="5">
        <f>product_sales_data__1[[#This Row],[TotalPrice]]-product_sales_data__1[[#This Row],[ShippingCost]]</f>
        <v>3794.58</v>
      </c>
      <c r="V515" s="5">
        <f>product_sales_data__1[[#This Row],[Quantity]]*product_sales_data__1[[#This Row],[UnitPrice]]*product_sales_data__1[[#This Row],[Discount]]</f>
        <v>200.39400000000001</v>
      </c>
    </row>
    <row r="516" spans="1:22" x14ac:dyDescent="0.3">
      <c r="A516" s="1" t="s">
        <v>1099</v>
      </c>
      <c r="B516" s="1" t="s">
        <v>34</v>
      </c>
      <c r="C516" s="1" t="s">
        <v>109</v>
      </c>
      <c r="D516">
        <v>9</v>
      </c>
      <c r="E516" s="4">
        <v>543.57000000000005</v>
      </c>
      <c r="F516" s="1" t="s">
        <v>55</v>
      </c>
      <c r="G516" s="1" t="s">
        <v>37</v>
      </c>
      <c r="H516">
        <v>0.15</v>
      </c>
      <c r="I516" s="1" t="s">
        <v>78</v>
      </c>
      <c r="J516" s="4">
        <v>4158.3100000000004</v>
      </c>
      <c r="K516" s="1" t="s">
        <v>38</v>
      </c>
      <c r="L516" s="1" t="s">
        <v>58</v>
      </c>
      <c r="M516">
        <v>0</v>
      </c>
      <c r="N516" s="1" t="s">
        <v>1559</v>
      </c>
      <c r="O516" s="1" t="s">
        <v>1560</v>
      </c>
      <c r="P516" s="4">
        <v>7.54</v>
      </c>
      <c r="Q516" s="2">
        <v>45812</v>
      </c>
      <c r="R516" s="1" t="s">
        <v>1561</v>
      </c>
      <c r="S516" s="1" t="s">
        <v>42</v>
      </c>
      <c r="T516" s="1" t="s">
        <v>105</v>
      </c>
      <c r="U516" s="5">
        <f>product_sales_data__1[[#This Row],[TotalPrice]]-product_sales_data__1[[#This Row],[ShippingCost]]</f>
        <v>4150.7700000000004</v>
      </c>
      <c r="V516" s="5">
        <f>product_sales_data__1[[#This Row],[Quantity]]*product_sales_data__1[[#This Row],[UnitPrice]]*product_sales_data__1[[#This Row],[Discount]]</f>
        <v>733.81949999999995</v>
      </c>
    </row>
    <row r="517" spans="1:22" x14ac:dyDescent="0.3">
      <c r="A517" s="1" t="s">
        <v>1499</v>
      </c>
      <c r="B517" s="1" t="s">
        <v>34</v>
      </c>
      <c r="C517" s="1" t="s">
        <v>22</v>
      </c>
      <c r="D517">
        <v>17</v>
      </c>
      <c r="E517" s="4">
        <v>141.76</v>
      </c>
      <c r="F517" s="1" t="s">
        <v>55</v>
      </c>
      <c r="G517" s="1" t="s">
        <v>24</v>
      </c>
      <c r="H517">
        <v>0.1</v>
      </c>
      <c r="I517" s="1" t="s">
        <v>94</v>
      </c>
      <c r="J517" s="4">
        <v>2168.9299999999998</v>
      </c>
      <c r="K517" s="1" t="s">
        <v>47</v>
      </c>
      <c r="L517" s="1" t="s">
        <v>27</v>
      </c>
      <c r="M517">
        <v>1</v>
      </c>
      <c r="N517" s="1" t="s">
        <v>1562</v>
      </c>
      <c r="O517" s="1" t="s">
        <v>1563</v>
      </c>
      <c r="P517" s="4">
        <v>9.98</v>
      </c>
      <c r="Q517" s="2">
        <v>45445</v>
      </c>
      <c r="R517" s="1" t="s">
        <v>805</v>
      </c>
      <c r="S517" s="1" t="s">
        <v>42</v>
      </c>
      <c r="T517" s="1" t="s">
        <v>105</v>
      </c>
      <c r="U517" s="5">
        <f>product_sales_data__1[[#This Row],[TotalPrice]]-product_sales_data__1[[#This Row],[ShippingCost]]</f>
        <v>2158.9499999999998</v>
      </c>
      <c r="V517" s="5">
        <f>product_sales_data__1[[#This Row],[Quantity]]*product_sales_data__1[[#This Row],[UnitPrice]]*product_sales_data__1[[#This Row],[Discount]]</f>
        <v>240.99200000000002</v>
      </c>
    </row>
    <row r="518" spans="1:22" x14ac:dyDescent="0.3">
      <c r="A518" s="1" t="s">
        <v>784</v>
      </c>
      <c r="B518" s="1" t="s">
        <v>34</v>
      </c>
      <c r="C518" s="1" t="s">
        <v>71</v>
      </c>
      <c r="D518">
        <v>3</v>
      </c>
      <c r="E518" s="4">
        <v>464.11</v>
      </c>
      <c r="F518" s="1" t="s">
        <v>23</v>
      </c>
      <c r="G518" s="1" t="s">
        <v>24</v>
      </c>
      <c r="H518">
        <v>0.15</v>
      </c>
      <c r="I518" s="1" t="s">
        <v>25</v>
      </c>
      <c r="J518" s="4">
        <v>1183.48</v>
      </c>
      <c r="K518" s="1" t="s">
        <v>57</v>
      </c>
      <c r="L518" s="1" t="s">
        <v>48</v>
      </c>
      <c r="M518">
        <v>0</v>
      </c>
      <c r="N518" s="1" t="s">
        <v>1564</v>
      </c>
      <c r="O518" s="1" t="s">
        <v>1565</v>
      </c>
      <c r="P518" s="4">
        <v>27.45</v>
      </c>
      <c r="Q518" s="2">
        <v>45117</v>
      </c>
      <c r="R518" s="1" t="s">
        <v>1566</v>
      </c>
      <c r="S518" s="1" t="s">
        <v>42</v>
      </c>
      <c r="T518" s="1" t="s">
        <v>117</v>
      </c>
      <c r="U518" s="5">
        <f>product_sales_data__1[[#This Row],[TotalPrice]]-product_sales_data__1[[#This Row],[ShippingCost]]</f>
        <v>1156.03</v>
      </c>
      <c r="V518" s="5">
        <f>product_sales_data__1[[#This Row],[Quantity]]*product_sales_data__1[[#This Row],[UnitPrice]]*product_sales_data__1[[#This Row],[Discount]]</f>
        <v>208.84949999999998</v>
      </c>
    </row>
    <row r="519" spans="1:22" x14ac:dyDescent="0.3">
      <c r="A519" s="1" t="s">
        <v>1567</v>
      </c>
      <c r="B519" s="1" t="s">
        <v>21</v>
      </c>
      <c r="C519" s="1" t="s">
        <v>71</v>
      </c>
      <c r="D519">
        <v>7</v>
      </c>
      <c r="E519" s="4">
        <v>82.91</v>
      </c>
      <c r="F519" s="1" t="s">
        <v>84</v>
      </c>
      <c r="G519" s="1" t="s">
        <v>37</v>
      </c>
      <c r="H519">
        <v>0.05</v>
      </c>
      <c r="I519" s="1" t="s">
        <v>65</v>
      </c>
      <c r="J519" s="4">
        <v>551.35</v>
      </c>
      <c r="K519" s="1" t="s">
        <v>38</v>
      </c>
      <c r="L519" s="1" t="s">
        <v>27</v>
      </c>
      <c r="M519">
        <v>1</v>
      </c>
      <c r="N519" s="1" t="s">
        <v>1568</v>
      </c>
      <c r="O519" s="1" t="s">
        <v>1569</v>
      </c>
      <c r="P519" s="4">
        <v>17.03</v>
      </c>
      <c r="Q519" s="2">
        <v>45112</v>
      </c>
      <c r="R519" s="1" t="s">
        <v>112</v>
      </c>
      <c r="S519" s="1" t="s">
        <v>31</v>
      </c>
      <c r="T519" s="1" t="s">
        <v>117</v>
      </c>
      <c r="U519" s="5">
        <f>product_sales_data__1[[#This Row],[TotalPrice]]-product_sales_data__1[[#This Row],[ShippingCost]]</f>
        <v>534.32000000000005</v>
      </c>
      <c r="V519" s="5">
        <f>product_sales_data__1[[#This Row],[Quantity]]*product_sales_data__1[[#This Row],[UnitPrice]]*product_sales_data__1[[#This Row],[Discount]]</f>
        <v>29.018500000000003</v>
      </c>
    </row>
    <row r="520" spans="1:22" x14ac:dyDescent="0.3">
      <c r="A520" s="1" t="s">
        <v>182</v>
      </c>
      <c r="B520" s="1" t="s">
        <v>21</v>
      </c>
      <c r="C520" s="1" t="s">
        <v>71</v>
      </c>
      <c r="D520">
        <v>13</v>
      </c>
      <c r="E520" s="4">
        <v>468.16</v>
      </c>
      <c r="F520" s="1" t="s">
        <v>23</v>
      </c>
      <c r="G520" s="1" t="s">
        <v>37</v>
      </c>
      <c r="H520">
        <v>0.15</v>
      </c>
      <c r="I520" s="1" t="s">
        <v>25</v>
      </c>
      <c r="J520" s="4">
        <v>5173.17</v>
      </c>
      <c r="K520" s="1" t="s">
        <v>47</v>
      </c>
      <c r="L520" s="1" t="s">
        <v>58</v>
      </c>
      <c r="M520">
        <v>0</v>
      </c>
      <c r="N520" s="1" t="s">
        <v>1570</v>
      </c>
      <c r="O520" s="1" t="s">
        <v>1571</v>
      </c>
      <c r="P520" s="4">
        <v>29.11</v>
      </c>
      <c r="Q520" s="2">
        <v>45272</v>
      </c>
      <c r="R520" s="1" t="s">
        <v>529</v>
      </c>
      <c r="S520" s="1" t="s">
        <v>31</v>
      </c>
      <c r="T520" s="1" t="s">
        <v>76</v>
      </c>
      <c r="U520" s="5">
        <f>product_sales_data__1[[#This Row],[TotalPrice]]-product_sales_data__1[[#This Row],[ShippingCost]]</f>
        <v>5144.0600000000004</v>
      </c>
      <c r="V520" s="5">
        <f>product_sales_data__1[[#This Row],[Quantity]]*product_sales_data__1[[#This Row],[UnitPrice]]*product_sales_data__1[[#This Row],[Discount]]</f>
        <v>912.91199999999992</v>
      </c>
    </row>
    <row r="521" spans="1:22" x14ac:dyDescent="0.3">
      <c r="A521" s="1" t="s">
        <v>540</v>
      </c>
      <c r="B521" s="1" t="s">
        <v>45</v>
      </c>
      <c r="C521" s="1" t="s">
        <v>109</v>
      </c>
      <c r="D521">
        <v>3</v>
      </c>
      <c r="E521" s="4">
        <v>11.32</v>
      </c>
      <c r="F521" s="1" t="s">
        <v>36</v>
      </c>
      <c r="G521" s="1" t="s">
        <v>37</v>
      </c>
      <c r="H521">
        <v>0.05</v>
      </c>
      <c r="I521" s="1" t="s">
        <v>65</v>
      </c>
      <c r="J521" s="4">
        <v>32.26</v>
      </c>
      <c r="K521" s="1" t="s">
        <v>26</v>
      </c>
      <c r="L521" s="1" t="s">
        <v>27</v>
      </c>
      <c r="M521">
        <v>0</v>
      </c>
      <c r="N521" s="1" t="s">
        <v>1572</v>
      </c>
      <c r="O521" s="1" t="s">
        <v>1300</v>
      </c>
      <c r="P521" s="4">
        <v>16.39</v>
      </c>
      <c r="Q521" s="2">
        <v>45964</v>
      </c>
      <c r="R521" s="1" t="s">
        <v>1573</v>
      </c>
      <c r="S521" s="1" t="s">
        <v>51</v>
      </c>
      <c r="T521" s="1" t="s">
        <v>43</v>
      </c>
      <c r="U521" s="5">
        <f>product_sales_data__1[[#This Row],[TotalPrice]]-product_sales_data__1[[#This Row],[ShippingCost]]</f>
        <v>15.869999999999997</v>
      </c>
      <c r="V521" s="5">
        <f>product_sales_data__1[[#This Row],[Quantity]]*product_sales_data__1[[#This Row],[UnitPrice]]*product_sales_data__1[[#This Row],[Discount]]</f>
        <v>1.6980000000000002</v>
      </c>
    </row>
    <row r="522" spans="1:22" x14ac:dyDescent="0.3">
      <c r="A522" s="1" t="s">
        <v>301</v>
      </c>
      <c r="B522" s="1" t="s">
        <v>34</v>
      </c>
      <c r="C522" s="1" t="s">
        <v>109</v>
      </c>
      <c r="D522">
        <v>14</v>
      </c>
      <c r="E522" s="4">
        <v>98.06</v>
      </c>
      <c r="F522" s="1" t="s">
        <v>84</v>
      </c>
      <c r="G522" s="1" t="s">
        <v>24</v>
      </c>
      <c r="H522">
        <v>0.1</v>
      </c>
      <c r="I522" s="1" t="s">
        <v>25</v>
      </c>
      <c r="J522" s="4">
        <v>1235.56</v>
      </c>
      <c r="K522" s="1" t="s">
        <v>38</v>
      </c>
      <c r="L522" s="1" t="s">
        <v>58</v>
      </c>
      <c r="M522">
        <v>1</v>
      </c>
      <c r="N522" s="1" t="s">
        <v>1574</v>
      </c>
      <c r="O522" s="1" t="s">
        <v>1575</v>
      </c>
      <c r="P522" s="4">
        <v>10.34</v>
      </c>
      <c r="Q522" s="2">
        <v>45603</v>
      </c>
      <c r="R522" s="1" t="s">
        <v>1576</v>
      </c>
      <c r="S522" s="1" t="s">
        <v>42</v>
      </c>
      <c r="T522" s="1" t="s">
        <v>43</v>
      </c>
      <c r="U522" s="5">
        <f>product_sales_data__1[[#This Row],[TotalPrice]]-product_sales_data__1[[#This Row],[ShippingCost]]</f>
        <v>1225.22</v>
      </c>
      <c r="V522" s="5">
        <f>product_sales_data__1[[#This Row],[Quantity]]*product_sales_data__1[[#This Row],[UnitPrice]]*product_sales_data__1[[#This Row],[Discount]]</f>
        <v>137.28400000000002</v>
      </c>
    </row>
    <row r="523" spans="1:22" x14ac:dyDescent="0.3">
      <c r="A523" s="1" t="s">
        <v>1577</v>
      </c>
      <c r="B523" s="1" t="s">
        <v>54</v>
      </c>
      <c r="C523" s="1" t="s">
        <v>100</v>
      </c>
      <c r="D523">
        <v>16</v>
      </c>
      <c r="E523" s="4">
        <v>123.86</v>
      </c>
      <c r="F523" s="1" t="s">
        <v>84</v>
      </c>
      <c r="G523" s="1" t="s">
        <v>24</v>
      </c>
      <c r="H523">
        <v>0.15</v>
      </c>
      <c r="I523" s="1" t="s">
        <v>25</v>
      </c>
      <c r="J523" s="4">
        <v>1684.5</v>
      </c>
      <c r="K523" s="1" t="s">
        <v>57</v>
      </c>
      <c r="L523" s="1" t="s">
        <v>48</v>
      </c>
      <c r="M523">
        <v>1</v>
      </c>
      <c r="N523" s="1" t="s">
        <v>1578</v>
      </c>
      <c r="O523" s="1" t="s">
        <v>1579</v>
      </c>
      <c r="P523" s="4">
        <v>18.02</v>
      </c>
      <c r="Q523" s="2">
        <v>45419</v>
      </c>
      <c r="R523" s="1" t="s">
        <v>1194</v>
      </c>
      <c r="S523" s="1" t="s">
        <v>62</v>
      </c>
      <c r="T523" s="1" t="s">
        <v>63</v>
      </c>
      <c r="U523" s="5">
        <f>product_sales_data__1[[#This Row],[TotalPrice]]-product_sales_data__1[[#This Row],[ShippingCost]]</f>
        <v>1666.48</v>
      </c>
      <c r="V523" s="5">
        <f>product_sales_data__1[[#This Row],[Quantity]]*product_sales_data__1[[#This Row],[UnitPrice]]*product_sales_data__1[[#This Row],[Discount]]</f>
        <v>297.26400000000001</v>
      </c>
    </row>
    <row r="524" spans="1:22" x14ac:dyDescent="0.3">
      <c r="A524" s="1" t="s">
        <v>1113</v>
      </c>
      <c r="B524" s="1" t="s">
        <v>34</v>
      </c>
      <c r="C524" s="1" t="s">
        <v>127</v>
      </c>
      <c r="D524">
        <v>12</v>
      </c>
      <c r="E524" s="4">
        <v>383.45</v>
      </c>
      <c r="F524" s="1" t="s">
        <v>36</v>
      </c>
      <c r="G524" s="1" t="s">
        <v>37</v>
      </c>
      <c r="H524">
        <v>0</v>
      </c>
      <c r="I524" s="1" t="s">
        <v>94</v>
      </c>
      <c r="J524" s="4">
        <v>4601.3999999999996</v>
      </c>
      <c r="K524" s="1" t="s">
        <v>38</v>
      </c>
      <c r="L524" s="1" t="s">
        <v>85</v>
      </c>
      <c r="M524">
        <v>0</v>
      </c>
      <c r="N524" s="1" t="s">
        <v>1580</v>
      </c>
      <c r="O524" s="1" t="s">
        <v>1581</v>
      </c>
      <c r="P524" s="4">
        <v>11.62</v>
      </c>
      <c r="Q524" s="2">
        <v>45363</v>
      </c>
      <c r="R524" s="1" t="s">
        <v>1582</v>
      </c>
      <c r="S524" s="1" t="s">
        <v>42</v>
      </c>
      <c r="T524" s="1" t="s">
        <v>98</v>
      </c>
      <c r="U524" s="5">
        <f>product_sales_data__1[[#This Row],[TotalPrice]]-product_sales_data__1[[#This Row],[ShippingCost]]</f>
        <v>4589.78</v>
      </c>
      <c r="V524" s="5">
        <f>product_sales_data__1[[#This Row],[Quantity]]*product_sales_data__1[[#This Row],[UnitPrice]]*product_sales_data__1[[#This Row],[Discount]]</f>
        <v>0</v>
      </c>
    </row>
    <row r="525" spans="1:22" x14ac:dyDescent="0.3">
      <c r="A525" s="1" t="s">
        <v>450</v>
      </c>
      <c r="B525" s="1" t="s">
        <v>70</v>
      </c>
      <c r="C525" s="1" t="s">
        <v>109</v>
      </c>
      <c r="D525">
        <v>20</v>
      </c>
      <c r="E525" s="4">
        <v>293.94</v>
      </c>
      <c r="F525" s="1" t="s">
        <v>23</v>
      </c>
      <c r="G525" s="1" t="s">
        <v>37</v>
      </c>
      <c r="H525">
        <v>0.15</v>
      </c>
      <c r="I525" s="1" t="s">
        <v>25</v>
      </c>
      <c r="J525" s="4">
        <v>4996.9799999999996</v>
      </c>
      <c r="K525" s="1" t="s">
        <v>101</v>
      </c>
      <c r="L525" s="1" t="s">
        <v>58</v>
      </c>
      <c r="M525">
        <v>0</v>
      </c>
      <c r="N525" s="1" t="s">
        <v>1583</v>
      </c>
      <c r="O525" s="1" t="s">
        <v>1584</v>
      </c>
      <c r="P525" s="4">
        <v>9.2899999999999991</v>
      </c>
      <c r="Q525" s="2">
        <v>45147</v>
      </c>
      <c r="R525" s="1" t="s">
        <v>453</v>
      </c>
      <c r="S525" s="1" t="s">
        <v>75</v>
      </c>
      <c r="T525" s="1" t="s">
        <v>82</v>
      </c>
      <c r="U525" s="5">
        <f>product_sales_data__1[[#This Row],[TotalPrice]]-product_sales_data__1[[#This Row],[ShippingCost]]</f>
        <v>4987.6899999999996</v>
      </c>
      <c r="V525" s="5">
        <f>product_sales_data__1[[#This Row],[Quantity]]*product_sales_data__1[[#This Row],[UnitPrice]]*product_sales_data__1[[#This Row],[Discount]]</f>
        <v>881.82</v>
      </c>
    </row>
    <row r="526" spans="1:22" x14ac:dyDescent="0.3">
      <c r="A526" s="1" t="s">
        <v>164</v>
      </c>
      <c r="B526" s="1" t="s">
        <v>70</v>
      </c>
      <c r="C526" s="1" t="s">
        <v>22</v>
      </c>
      <c r="D526">
        <v>2</v>
      </c>
      <c r="E526" s="4">
        <v>454.01</v>
      </c>
      <c r="F526" s="1" t="s">
        <v>23</v>
      </c>
      <c r="G526" s="1" t="s">
        <v>24</v>
      </c>
      <c r="H526">
        <v>0</v>
      </c>
      <c r="I526" s="1" t="s">
        <v>78</v>
      </c>
      <c r="J526" s="4">
        <v>908.02</v>
      </c>
      <c r="K526" s="1" t="s">
        <v>26</v>
      </c>
      <c r="L526" s="1" t="s">
        <v>27</v>
      </c>
      <c r="M526">
        <v>0</v>
      </c>
      <c r="N526" s="1" t="s">
        <v>1585</v>
      </c>
      <c r="O526" s="1" t="s">
        <v>1586</v>
      </c>
      <c r="P526" s="4">
        <v>9.7799999999999994</v>
      </c>
      <c r="Q526" s="2">
        <v>45413</v>
      </c>
      <c r="R526" s="1" t="s">
        <v>284</v>
      </c>
      <c r="S526" s="1" t="s">
        <v>75</v>
      </c>
      <c r="T526" s="1" t="s">
        <v>63</v>
      </c>
      <c r="U526" s="5">
        <f>product_sales_data__1[[#This Row],[TotalPrice]]-product_sales_data__1[[#This Row],[ShippingCost]]</f>
        <v>898.24</v>
      </c>
      <c r="V526" s="5">
        <f>product_sales_data__1[[#This Row],[Quantity]]*product_sales_data__1[[#This Row],[UnitPrice]]*product_sales_data__1[[#This Row],[Discount]]</f>
        <v>0</v>
      </c>
    </row>
    <row r="527" spans="1:22" x14ac:dyDescent="0.3">
      <c r="A527" s="1" t="s">
        <v>1587</v>
      </c>
      <c r="B527" s="1" t="s">
        <v>34</v>
      </c>
      <c r="C527" s="1" t="s">
        <v>35</v>
      </c>
      <c r="D527">
        <v>5</v>
      </c>
      <c r="E527" s="4">
        <v>163.55000000000001</v>
      </c>
      <c r="F527" s="1" t="s">
        <v>55</v>
      </c>
      <c r="G527" s="1" t="s">
        <v>37</v>
      </c>
      <c r="H527">
        <v>0.05</v>
      </c>
      <c r="I527" s="1" t="s">
        <v>56</v>
      </c>
      <c r="J527" s="4">
        <v>776.86</v>
      </c>
      <c r="K527" s="1" t="s">
        <v>47</v>
      </c>
      <c r="L527" s="1" t="s">
        <v>48</v>
      </c>
      <c r="M527">
        <v>0</v>
      </c>
      <c r="N527" s="1" t="s">
        <v>1588</v>
      </c>
      <c r="O527" s="1" t="s">
        <v>1589</v>
      </c>
      <c r="P527" s="4">
        <v>28.9</v>
      </c>
      <c r="Q527" s="2">
        <v>44993</v>
      </c>
      <c r="R527" s="1" t="s">
        <v>139</v>
      </c>
      <c r="S527" s="1" t="s">
        <v>42</v>
      </c>
      <c r="T527" s="1" t="s">
        <v>98</v>
      </c>
      <c r="U527" s="5">
        <f>product_sales_data__1[[#This Row],[TotalPrice]]-product_sales_data__1[[#This Row],[ShippingCost]]</f>
        <v>747.96</v>
      </c>
      <c r="V527" s="5">
        <f>product_sales_data__1[[#This Row],[Quantity]]*product_sales_data__1[[#This Row],[UnitPrice]]*product_sales_data__1[[#This Row],[Discount]]</f>
        <v>40.887500000000003</v>
      </c>
    </row>
    <row r="528" spans="1:22" x14ac:dyDescent="0.3">
      <c r="A528" s="1" t="s">
        <v>573</v>
      </c>
      <c r="B528" s="1" t="s">
        <v>21</v>
      </c>
      <c r="C528" s="1" t="s">
        <v>127</v>
      </c>
      <c r="D528">
        <v>12</v>
      </c>
      <c r="E528" s="4">
        <v>141.61000000000001</v>
      </c>
      <c r="F528" s="1" t="s">
        <v>23</v>
      </c>
      <c r="G528" s="1" t="s">
        <v>24</v>
      </c>
      <c r="H528">
        <v>0</v>
      </c>
      <c r="I528" s="1" t="s">
        <v>56</v>
      </c>
      <c r="J528" s="4">
        <v>1699.32</v>
      </c>
      <c r="K528" s="1" t="s">
        <v>101</v>
      </c>
      <c r="L528" s="1" t="s">
        <v>27</v>
      </c>
      <c r="M528">
        <v>0</v>
      </c>
      <c r="N528" s="1" t="s">
        <v>1590</v>
      </c>
      <c r="O528" s="1" t="s">
        <v>1591</v>
      </c>
      <c r="P528" s="4">
        <v>11.72</v>
      </c>
      <c r="Q528" s="2">
        <v>45963</v>
      </c>
      <c r="R528" s="1" t="s">
        <v>1592</v>
      </c>
      <c r="S528" s="1" t="s">
        <v>31</v>
      </c>
      <c r="T528" s="1" t="s">
        <v>43</v>
      </c>
      <c r="U528" s="5">
        <f>product_sales_data__1[[#This Row],[TotalPrice]]-product_sales_data__1[[#This Row],[ShippingCost]]</f>
        <v>1687.6</v>
      </c>
      <c r="V528" s="5">
        <f>product_sales_data__1[[#This Row],[Quantity]]*product_sales_data__1[[#This Row],[UnitPrice]]*product_sales_data__1[[#This Row],[Discount]]</f>
        <v>0</v>
      </c>
    </row>
    <row r="529" spans="1:22" x14ac:dyDescent="0.3">
      <c r="A529" s="1" t="s">
        <v>879</v>
      </c>
      <c r="B529" s="1" t="s">
        <v>45</v>
      </c>
      <c r="C529" s="1" t="s">
        <v>127</v>
      </c>
      <c r="D529">
        <v>14</v>
      </c>
      <c r="E529" s="4">
        <v>463.96</v>
      </c>
      <c r="F529" s="1" t="s">
        <v>55</v>
      </c>
      <c r="G529" s="1" t="s">
        <v>37</v>
      </c>
      <c r="H529">
        <v>0.15</v>
      </c>
      <c r="I529" s="1" t="s">
        <v>78</v>
      </c>
      <c r="J529" s="4">
        <v>5521.12</v>
      </c>
      <c r="K529" s="1" t="s">
        <v>57</v>
      </c>
      <c r="L529" s="1" t="s">
        <v>48</v>
      </c>
      <c r="M529">
        <v>0</v>
      </c>
      <c r="N529" s="1" t="s">
        <v>1593</v>
      </c>
      <c r="O529" s="1" t="s">
        <v>1594</v>
      </c>
      <c r="P529" s="4">
        <v>29.19</v>
      </c>
      <c r="Q529" s="2">
        <v>45414</v>
      </c>
      <c r="R529" s="1" t="s">
        <v>805</v>
      </c>
      <c r="S529" s="1" t="s">
        <v>51</v>
      </c>
      <c r="T529" s="1" t="s">
        <v>63</v>
      </c>
      <c r="U529" s="5">
        <f>product_sales_data__1[[#This Row],[TotalPrice]]-product_sales_data__1[[#This Row],[ShippingCost]]</f>
        <v>5491.93</v>
      </c>
      <c r="V529" s="5">
        <f>product_sales_data__1[[#This Row],[Quantity]]*product_sales_data__1[[#This Row],[UnitPrice]]*product_sales_data__1[[#This Row],[Discount]]</f>
        <v>974.31599999999992</v>
      </c>
    </row>
    <row r="530" spans="1:22" x14ac:dyDescent="0.3">
      <c r="A530" s="1" t="s">
        <v>876</v>
      </c>
      <c r="B530" s="1" t="s">
        <v>45</v>
      </c>
      <c r="C530" s="1" t="s">
        <v>100</v>
      </c>
      <c r="D530">
        <v>8</v>
      </c>
      <c r="E530" s="4">
        <v>27.01</v>
      </c>
      <c r="F530" s="1" t="s">
        <v>36</v>
      </c>
      <c r="G530" s="1" t="s">
        <v>24</v>
      </c>
      <c r="H530">
        <v>0.05</v>
      </c>
      <c r="I530" s="1" t="s">
        <v>65</v>
      </c>
      <c r="J530" s="4">
        <v>205.28</v>
      </c>
      <c r="K530" s="1" t="s">
        <v>26</v>
      </c>
      <c r="L530" s="1" t="s">
        <v>85</v>
      </c>
      <c r="M530">
        <v>1</v>
      </c>
      <c r="N530" s="1" t="s">
        <v>1595</v>
      </c>
      <c r="O530" s="1" t="s">
        <v>1596</v>
      </c>
      <c r="P530" s="4">
        <v>42.65</v>
      </c>
      <c r="Q530" s="2">
        <v>45353</v>
      </c>
      <c r="R530" s="1" t="s">
        <v>633</v>
      </c>
      <c r="S530" s="1" t="s">
        <v>51</v>
      </c>
      <c r="T530" s="1" t="s">
        <v>98</v>
      </c>
      <c r="U530" s="5">
        <f>product_sales_data__1[[#This Row],[TotalPrice]]-product_sales_data__1[[#This Row],[ShippingCost]]</f>
        <v>162.63</v>
      </c>
      <c r="V530" s="5">
        <f>product_sales_data__1[[#This Row],[Quantity]]*product_sales_data__1[[#This Row],[UnitPrice]]*product_sales_data__1[[#This Row],[Discount]]</f>
        <v>10.804000000000002</v>
      </c>
    </row>
    <row r="531" spans="1:22" x14ac:dyDescent="0.3">
      <c r="A531" s="1" t="s">
        <v>652</v>
      </c>
      <c r="B531" s="1" t="s">
        <v>45</v>
      </c>
      <c r="C531" s="1" t="s">
        <v>140</v>
      </c>
      <c r="D531">
        <v>4</v>
      </c>
      <c r="E531" s="4">
        <v>306.06</v>
      </c>
      <c r="F531" s="1" t="s">
        <v>36</v>
      </c>
      <c r="G531" s="1" t="s">
        <v>24</v>
      </c>
      <c r="H531">
        <v>0.05</v>
      </c>
      <c r="I531" s="1" t="s">
        <v>46</v>
      </c>
      <c r="J531" s="4">
        <v>1163.03</v>
      </c>
      <c r="K531" s="1" t="s">
        <v>57</v>
      </c>
      <c r="L531" s="1" t="s">
        <v>58</v>
      </c>
      <c r="M531">
        <v>1</v>
      </c>
      <c r="N531" s="1" t="s">
        <v>1597</v>
      </c>
      <c r="O531" s="1" t="s">
        <v>1598</v>
      </c>
      <c r="P531" s="4">
        <v>32.75</v>
      </c>
      <c r="Q531" s="2">
        <v>45208</v>
      </c>
      <c r="R531" s="1" t="s">
        <v>1042</v>
      </c>
      <c r="S531" s="1" t="s">
        <v>51</v>
      </c>
      <c r="T531" s="1" t="s">
        <v>32</v>
      </c>
      <c r="U531" s="5">
        <f>product_sales_data__1[[#This Row],[TotalPrice]]-product_sales_data__1[[#This Row],[ShippingCost]]</f>
        <v>1130.28</v>
      </c>
      <c r="V531" s="5">
        <f>product_sales_data__1[[#This Row],[Quantity]]*product_sales_data__1[[#This Row],[UnitPrice]]*product_sales_data__1[[#This Row],[Discount]]</f>
        <v>61.212000000000003</v>
      </c>
    </row>
    <row r="532" spans="1:22" x14ac:dyDescent="0.3">
      <c r="A532" s="1" t="s">
        <v>1599</v>
      </c>
      <c r="B532" s="1" t="s">
        <v>54</v>
      </c>
      <c r="C532" s="1" t="s">
        <v>109</v>
      </c>
      <c r="D532">
        <v>7</v>
      </c>
      <c r="E532" s="4">
        <v>180.25</v>
      </c>
      <c r="F532" s="1" t="s">
        <v>55</v>
      </c>
      <c r="G532" s="1" t="s">
        <v>37</v>
      </c>
      <c r="H532">
        <v>0.1</v>
      </c>
      <c r="I532" s="1" t="s">
        <v>78</v>
      </c>
      <c r="J532" s="4">
        <v>1135.58</v>
      </c>
      <c r="K532" s="1" t="s">
        <v>57</v>
      </c>
      <c r="L532" s="1" t="s">
        <v>27</v>
      </c>
      <c r="M532">
        <v>0</v>
      </c>
      <c r="N532" s="1" t="s">
        <v>1600</v>
      </c>
      <c r="O532" s="1" t="s">
        <v>1601</v>
      </c>
      <c r="P532" s="4">
        <v>36.79</v>
      </c>
      <c r="Q532" s="2">
        <v>45359</v>
      </c>
      <c r="R532" s="1" t="s">
        <v>362</v>
      </c>
      <c r="S532" s="1" t="s">
        <v>62</v>
      </c>
      <c r="T532" s="1" t="s">
        <v>98</v>
      </c>
      <c r="U532" s="5">
        <f>product_sales_data__1[[#This Row],[TotalPrice]]-product_sales_data__1[[#This Row],[ShippingCost]]</f>
        <v>1098.79</v>
      </c>
      <c r="V532" s="5">
        <f>product_sales_data__1[[#This Row],[Quantity]]*product_sales_data__1[[#This Row],[UnitPrice]]*product_sales_data__1[[#This Row],[Discount]]</f>
        <v>126.17500000000001</v>
      </c>
    </row>
    <row r="533" spans="1:22" x14ac:dyDescent="0.3">
      <c r="A533" s="1" t="s">
        <v>904</v>
      </c>
      <c r="B533" s="1" t="s">
        <v>21</v>
      </c>
      <c r="C533" s="1" t="s">
        <v>127</v>
      </c>
      <c r="D533">
        <v>1</v>
      </c>
      <c r="E533" s="4">
        <v>21.75</v>
      </c>
      <c r="F533" s="1" t="s">
        <v>36</v>
      </c>
      <c r="G533" s="1" t="s">
        <v>37</v>
      </c>
      <c r="H533">
        <v>0</v>
      </c>
      <c r="I533" s="1" t="s">
        <v>25</v>
      </c>
      <c r="J533" s="4">
        <v>21.75</v>
      </c>
      <c r="K533" s="1" t="s">
        <v>47</v>
      </c>
      <c r="L533" s="1" t="s">
        <v>85</v>
      </c>
      <c r="M533">
        <v>0</v>
      </c>
      <c r="N533" s="1" t="s">
        <v>1602</v>
      </c>
      <c r="O533" s="1" t="s">
        <v>1603</v>
      </c>
      <c r="P533" s="4">
        <v>7.35</v>
      </c>
      <c r="Q533" s="2">
        <v>45782</v>
      </c>
      <c r="R533" s="1" t="s">
        <v>907</v>
      </c>
      <c r="S533" s="1" t="s">
        <v>31</v>
      </c>
      <c r="T533" s="1" t="s">
        <v>63</v>
      </c>
      <c r="U533" s="5">
        <f>product_sales_data__1[[#This Row],[TotalPrice]]-product_sales_data__1[[#This Row],[ShippingCost]]</f>
        <v>14.4</v>
      </c>
      <c r="V533" s="5">
        <f>product_sales_data__1[[#This Row],[Quantity]]*product_sales_data__1[[#This Row],[UnitPrice]]*product_sales_data__1[[#This Row],[Discount]]</f>
        <v>0</v>
      </c>
    </row>
    <row r="534" spans="1:22" x14ac:dyDescent="0.3">
      <c r="A534" s="1" t="s">
        <v>320</v>
      </c>
      <c r="B534" s="1" t="s">
        <v>54</v>
      </c>
      <c r="C534" s="1" t="s">
        <v>109</v>
      </c>
      <c r="D534">
        <v>13</v>
      </c>
      <c r="E534" s="4">
        <v>149.16</v>
      </c>
      <c r="F534" s="1" t="s">
        <v>36</v>
      </c>
      <c r="G534" s="1" t="s">
        <v>37</v>
      </c>
      <c r="H534">
        <v>0.1</v>
      </c>
      <c r="I534" s="1" t="s">
        <v>65</v>
      </c>
      <c r="J534" s="4">
        <v>1745.17</v>
      </c>
      <c r="K534" s="1" t="s">
        <v>47</v>
      </c>
      <c r="L534" s="1" t="s">
        <v>48</v>
      </c>
      <c r="M534">
        <v>1</v>
      </c>
      <c r="N534" s="1" t="s">
        <v>1604</v>
      </c>
      <c r="O534" s="1" t="s">
        <v>1605</v>
      </c>
      <c r="P534" s="4">
        <v>20.9</v>
      </c>
      <c r="Q534" s="2">
        <v>45140</v>
      </c>
      <c r="R534" s="1" t="s">
        <v>323</v>
      </c>
      <c r="S534" s="1" t="s">
        <v>62</v>
      </c>
      <c r="T534" s="1" t="s">
        <v>82</v>
      </c>
      <c r="U534" s="5">
        <f>product_sales_data__1[[#This Row],[TotalPrice]]-product_sales_data__1[[#This Row],[ShippingCost]]</f>
        <v>1724.27</v>
      </c>
      <c r="V534" s="5">
        <f>product_sales_data__1[[#This Row],[Quantity]]*product_sales_data__1[[#This Row],[UnitPrice]]*product_sales_data__1[[#This Row],[Discount]]</f>
        <v>193.90800000000002</v>
      </c>
    </row>
    <row r="535" spans="1:22" x14ac:dyDescent="0.3">
      <c r="A535" s="1" t="s">
        <v>751</v>
      </c>
      <c r="B535" s="1" t="s">
        <v>21</v>
      </c>
      <c r="C535" s="1" t="s">
        <v>127</v>
      </c>
      <c r="D535">
        <v>20</v>
      </c>
      <c r="E535" s="4">
        <v>440.32</v>
      </c>
      <c r="F535" s="1" t="s">
        <v>36</v>
      </c>
      <c r="G535" s="1" t="s">
        <v>37</v>
      </c>
      <c r="H535">
        <v>0.05</v>
      </c>
      <c r="I535" s="1" t="s">
        <v>25</v>
      </c>
      <c r="J535" s="4">
        <v>8366.08</v>
      </c>
      <c r="K535" s="1" t="s">
        <v>38</v>
      </c>
      <c r="L535" s="1" t="s">
        <v>58</v>
      </c>
      <c r="M535">
        <v>1</v>
      </c>
      <c r="N535" s="1" t="s">
        <v>1606</v>
      </c>
      <c r="O535" s="1" t="s">
        <v>1607</v>
      </c>
      <c r="P535" s="4">
        <v>6.17</v>
      </c>
      <c r="Q535" s="2">
        <v>45809</v>
      </c>
      <c r="R535" s="1" t="s">
        <v>1040</v>
      </c>
      <c r="S535" s="1" t="s">
        <v>31</v>
      </c>
      <c r="T535" s="1" t="s">
        <v>105</v>
      </c>
      <c r="U535" s="5">
        <f>product_sales_data__1[[#This Row],[TotalPrice]]-product_sales_data__1[[#This Row],[ShippingCost]]</f>
        <v>8359.91</v>
      </c>
      <c r="V535" s="5">
        <f>product_sales_data__1[[#This Row],[Quantity]]*product_sales_data__1[[#This Row],[UnitPrice]]*product_sales_data__1[[#This Row],[Discount]]</f>
        <v>440.32</v>
      </c>
    </row>
    <row r="536" spans="1:22" x14ac:dyDescent="0.3">
      <c r="A536" s="1" t="s">
        <v>1205</v>
      </c>
      <c r="B536" s="1" t="s">
        <v>34</v>
      </c>
      <c r="C536" s="1" t="s">
        <v>71</v>
      </c>
      <c r="D536">
        <v>17</v>
      </c>
      <c r="E536" s="4">
        <v>311.61</v>
      </c>
      <c r="F536" s="1" t="s">
        <v>84</v>
      </c>
      <c r="G536" s="1" t="s">
        <v>37</v>
      </c>
      <c r="H536">
        <v>0.05</v>
      </c>
      <c r="I536" s="1" t="s">
        <v>65</v>
      </c>
      <c r="J536" s="4">
        <v>5032.5</v>
      </c>
      <c r="K536" s="1" t="s">
        <v>26</v>
      </c>
      <c r="L536" s="1" t="s">
        <v>48</v>
      </c>
      <c r="M536">
        <v>1</v>
      </c>
      <c r="N536" s="1" t="s">
        <v>1608</v>
      </c>
      <c r="O536" s="1" t="s">
        <v>1609</v>
      </c>
      <c r="P536" s="4">
        <v>29.9</v>
      </c>
      <c r="Q536" s="2">
        <v>45600</v>
      </c>
      <c r="R536" s="1" t="s">
        <v>68</v>
      </c>
      <c r="S536" s="1" t="s">
        <v>42</v>
      </c>
      <c r="T536" s="1" t="s">
        <v>43</v>
      </c>
      <c r="U536" s="5">
        <f>product_sales_data__1[[#This Row],[TotalPrice]]-product_sales_data__1[[#This Row],[ShippingCost]]</f>
        <v>5002.6000000000004</v>
      </c>
      <c r="V536" s="5">
        <f>product_sales_data__1[[#This Row],[Quantity]]*product_sales_data__1[[#This Row],[UnitPrice]]*product_sales_data__1[[#This Row],[Discount]]</f>
        <v>264.86849999999998</v>
      </c>
    </row>
    <row r="537" spans="1:22" x14ac:dyDescent="0.3">
      <c r="A537" s="1" t="s">
        <v>751</v>
      </c>
      <c r="B537" s="1" t="s">
        <v>21</v>
      </c>
      <c r="C537" s="1" t="s">
        <v>140</v>
      </c>
      <c r="D537">
        <v>13</v>
      </c>
      <c r="E537" s="4">
        <v>483.63</v>
      </c>
      <c r="F537" s="1" t="s">
        <v>84</v>
      </c>
      <c r="G537" s="1" t="s">
        <v>37</v>
      </c>
      <c r="H537">
        <v>0.05</v>
      </c>
      <c r="I537" s="1" t="s">
        <v>46</v>
      </c>
      <c r="J537" s="4">
        <v>5972.83</v>
      </c>
      <c r="K537" s="1" t="s">
        <v>47</v>
      </c>
      <c r="L537" s="1" t="s">
        <v>85</v>
      </c>
      <c r="M537">
        <v>0</v>
      </c>
      <c r="N537" s="1" t="s">
        <v>1610</v>
      </c>
      <c r="O537" s="1" t="s">
        <v>1611</v>
      </c>
      <c r="P537" s="4">
        <v>18.22</v>
      </c>
      <c r="Q537" s="2">
        <v>45809</v>
      </c>
      <c r="R537" s="1" t="s">
        <v>1612</v>
      </c>
      <c r="S537" s="1" t="s">
        <v>31</v>
      </c>
      <c r="T537" s="1" t="s">
        <v>105</v>
      </c>
      <c r="U537" s="5">
        <f>product_sales_data__1[[#This Row],[TotalPrice]]-product_sales_data__1[[#This Row],[ShippingCost]]</f>
        <v>5954.61</v>
      </c>
      <c r="V537" s="5">
        <f>product_sales_data__1[[#This Row],[Quantity]]*product_sales_data__1[[#This Row],[UnitPrice]]*product_sales_data__1[[#This Row],[Discount]]</f>
        <v>314.35950000000003</v>
      </c>
    </row>
    <row r="538" spans="1:22" x14ac:dyDescent="0.3">
      <c r="A538" s="1" t="s">
        <v>802</v>
      </c>
      <c r="B538" s="1" t="s">
        <v>70</v>
      </c>
      <c r="C538" s="1" t="s">
        <v>140</v>
      </c>
      <c r="D538">
        <v>10</v>
      </c>
      <c r="E538" s="4">
        <v>452.21</v>
      </c>
      <c r="F538" s="1" t="s">
        <v>84</v>
      </c>
      <c r="G538" s="1" t="s">
        <v>37</v>
      </c>
      <c r="H538">
        <v>0.1</v>
      </c>
      <c r="I538" s="1" t="s">
        <v>65</v>
      </c>
      <c r="J538" s="4">
        <v>4069.89</v>
      </c>
      <c r="K538" s="1" t="s">
        <v>47</v>
      </c>
      <c r="L538" s="1" t="s">
        <v>27</v>
      </c>
      <c r="M538">
        <v>0</v>
      </c>
      <c r="N538" s="1" t="s">
        <v>1613</v>
      </c>
      <c r="O538" s="1" t="s">
        <v>1614</v>
      </c>
      <c r="P538" s="4">
        <v>15.87</v>
      </c>
      <c r="Q538" s="2">
        <v>45475</v>
      </c>
      <c r="R538" s="1" t="s">
        <v>1554</v>
      </c>
      <c r="S538" s="1" t="s">
        <v>75</v>
      </c>
      <c r="T538" s="1" t="s">
        <v>117</v>
      </c>
      <c r="U538" s="5">
        <f>product_sales_data__1[[#This Row],[TotalPrice]]-product_sales_data__1[[#This Row],[ShippingCost]]</f>
        <v>4054.02</v>
      </c>
      <c r="V538" s="5">
        <f>product_sales_data__1[[#This Row],[Quantity]]*product_sales_data__1[[#This Row],[UnitPrice]]*product_sales_data__1[[#This Row],[Discount]]</f>
        <v>452.21</v>
      </c>
    </row>
    <row r="539" spans="1:22" x14ac:dyDescent="0.3">
      <c r="A539" s="1" t="s">
        <v>1615</v>
      </c>
      <c r="B539" s="1" t="s">
        <v>70</v>
      </c>
      <c r="C539" s="1" t="s">
        <v>140</v>
      </c>
      <c r="D539">
        <v>4</v>
      </c>
      <c r="E539" s="4">
        <v>248.16</v>
      </c>
      <c r="F539" s="1" t="s">
        <v>23</v>
      </c>
      <c r="G539" s="1" t="s">
        <v>37</v>
      </c>
      <c r="H539">
        <v>0.1</v>
      </c>
      <c r="I539" s="1" t="s">
        <v>78</v>
      </c>
      <c r="J539" s="4">
        <v>893.38</v>
      </c>
      <c r="K539" s="1" t="s">
        <v>101</v>
      </c>
      <c r="L539" s="1" t="s">
        <v>48</v>
      </c>
      <c r="M539">
        <v>1</v>
      </c>
      <c r="N539" s="1" t="s">
        <v>1616</v>
      </c>
      <c r="O539" s="1" t="s">
        <v>1617</v>
      </c>
      <c r="P539" s="4">
        <v>45.11</v>
      </c>
      <c r="Q539" s="2">
        <v>44963</v>
      </c>
      <c r="R539" s="1" t="s">
        <v>1126</v>
      </c>
      <c r="S539" s="1" t="s">
        <v>75</v>
      </c>
      <c r="T539" s="1" t="s">
        <v>199</v>
      </c>
      <c r="U539" s="5">
        <f>product_sales_data__1[[#This Row],[TotalPrice]]-product_sales_data__1[[#This Row],[ShippingCost]]</f>
        <v>848.27</v>
      </c>
      <c r="V539" s="5">
        <f>product_sales_data__1[[#This Row],[Quantity]]*product_sales_data__1[[#This Row],[UnitPrice]]*product_sales_data__1[[#This Row],[Discount]]</f>
        <v>99.26400000000001</v>
      </c>
    </row>
    <row r="540" spans="1:22" x14ac:dyDescent="0.3">
      <c r="A540" s="1" t="s">
        <v>1116</v>
      </c>
      <c r="B540" s="1" t="s">
        <v>34</v>
      </c>
      <c r="C540" s="1" t="s">
        <v>35</v>
      </c>
      <c r="D540">
        <v>11</v>
      </c>
      <c r="E540" s="4">
        <v>571.07000000000005</v>
      </c>
      <c r="F540" s="1" t="s">
        <v>84</v>
      </c>
      <c r="G540" s="1" t="s">
        <v>37</v>
      </c>
      <c r="H540">
        <v>0</v>
      </c>
      <c r="I540" s="1" t="s">
        <v>56</v>
      </c>
      <c r="J540" s="4">
        <v>6281.77</v>
      </c>
      <c r="K540" s="1" t="s">
        <v>57</v>
      </c>
      <c r="L540" s="1" t="s">
        <v>58</v>
      </c>
      <c r="M540">
        <v>0</v>
      </c>
      <c r="N540" s="1" t="s">
        <v>1618</v>
      </c>
      <c r="O540" s="1" t="s">
        <v>1619</v>
      </c>
      <c r="P540" s="4">
        <v>12.6</v>
      </c>
      <c r="Q540" s="2">
        <v>45455</v>
      </c>
      <c r="R540" s="1" t="s">
        <v>1620</v>
      </c>
      <c r="S540" s="1" t="s">
        <v>42</v>
      </c>
      <c r="T540" s="1" t="s">
        <v>105</v>
      </c>
      <c r="U540" s="5">
        <f>product_sales_data__1[[#This Row],[TotalPrice]]-product_sales_data__1[[#This Row],[ShippingCost]]</f>
        <v>6269.17</v>
      </c>
      <c r="V540" s="5">
        <f>product_sales_data__1[[#This Row],[Quantity]]*product_sales_data__1[[#This Row],[UnitPrice]]*product_sales_data__1[[#This Row],[Discount]]</f>
        <v>0</v>
      </c>
    </row>
    <row r="541" spans="1:22" x14ac:dyDescent="0.3">
      <c r="A541" s="1" t="s">
        <v>240</v>
      </c>
      <c r="B541" s="1" t="s">
        <v>70</v>
      </c>
      <c r="C541" s="1" t="s">
        <v>109</v>
      </c>
      <c r="D541">
        <v>11</v>
      </c>
      <c r="E541" s="4">
        <v>65.569999999999993</v>
      </c>
      <c r="F541" s="1" t="s">
        <v>55</v>
      </c>
      <c r="G541" s="1" t="s">
        <v>37</v>
      </c>
      <c r="H541">
        <v>0.1</v>
      </c>
      <c r="I541" s="1" t="s">
        <v>78</v>
      </c>
      <c r="J541" s="4">
        <v>649.14</v>
      </c>
      <c r="K541" s="1" t="s">
        <v>38</v>
      </c>
      <c r="L541" s="1" t="s">
        <v>58</v>
      </c>
      <c r="M541">
        <v>1</v>
      </c>
      <c r="N541" s="1" t="s">
        <v>1621</v>
      </c>
      <c r="O541" s="1" t="s">
        <v>1622</v>
      </c>
      <c r="P541" s="4">
        <v>30.43</v>
      </c>
      <c r="Q541" s="2">
        <v>45150</v>
      </c>
      <c r="R541" s="1" t="s">
        <v>1623</v>
      </c>
      <c r="S541" s="1" t="s">
        <v>75</v>
      </c>
      <c r="T541" s="1" t="s">
        <v>82</v>
      </c>
      <c r="U541" s="5">
        <f>product_sales_data__1[[#This Row],[TotalPrice]]-product_sales_data__1[[#This Row],[ShippingCost]]</f>
        <v>618.71</v>
      </c>
      <c r="V541" s="5">
        <f>product_sales_data__1[[#This Row],[Quantity]]*product_sales_data__1[[#This Row],[UnitPrice]]*product_sales_data__1[[#This Row],[Discount]]</f>
        <v>72.126999999999995</v>
      </c>
    </row>
    <row r="542" spans="1:22" x14ac:dyDescent="0.3">
      <c r="A542" s="1" t="s">
        <v>1032</v>
      </c>
      <c r="B542" s="1" t="s">
        <v>34</v>
      </c>
      <c r="C542" s="1" t="s">
        <v>109</v>
      </c>
      <c r="D542">
        <v>4</v>
      </c>
      <c r="E542" s="4">
        <v>397.02</v>
      </c>
      <c r="F542" s="1" t="s">
        <v>84</v>
      </c>
      <c r="G542" s="1" t="s">
        <v>24</v>
      </c>
      <c r="H542">
        <v>0</v>
      </c>
      <c r="I542" s="1" t="s">
        <v>56</v>
      </c>
      <c r="J542" s="4">
        <v>1588.08</v>
      </c>
      <c r="K542" s="1" t="s">
        <v>47</v>
      </c>
      <c r="L542" s="1" t="s">
        <v>85</v>
      </c>
      <c r="M542">
        <v>0</v>
      </c>
      <c r="N542" s="1" t="s">
        <v>1624</v>
      </c>
      <c r="O542" s="1" t="s">
        <v>1625</v>
      </c>
      <c r="P542" s="4">
        <v>23.25</v>
      </c>
      <c r="Q542" s="2">
        <v>45265</v>
      </c>
      <c r="R542" s="1" t="s">
        <v>1112</v>
      </c>
      <c r="S542" s="1" t="s">
        <v>42</v>
      </c>
      <c r="T542" s="1" t="s">
        <v>76</v>
      </c>
      <c r="U542" s="5">
        <f>product_sales_data__1[[#This Row],[TotalPrice]]-product_sales_data__1[[#This Row],[ShippingCost]]</f>
        <v>1564.83</v>
      </c>
      <c r="V542" s="5">
        <f>product_sales_data__1[[#This Row],[Quantity]]*product_sales_data__1[[#This Row],[UnitPrice]]*product_sales_data__1[[#This Row],[Discount]]</f>
        <v>0</v>
      </c>
    </row>
    <row r="543" spans="1:22" x14ac:dyDescent="0.3">
      <c r="A543" s="1" t="s">
        <v>83</v>
      </c>
      <c r="B543" s="1" t="s">
        <v>21</v>
      </c>
      <c r="C543" s="1" t="s">
        <v>71</v>
      </c>
      <c r="D543">
        <v>13</v>
      </c>
      <c r="E543" s="4">
        <v>169.39</v>
      </c>
      <c r="F543" s="1" t="s">
        <v>23</v>
      </c>
      <c r="G543" s="1" t="s">
        <v>24</v>
      </c>
      <c r="H543">
        <v>0.15</v>
      </c>
      <c r="I543" s="1" t="s">
        <v>78</v>
      </c>
      <c r="J543" s="4">
        <v>1871.76</v>
      </c>
      <c r="K543" s="1" t="s">
        <v>101</v>
      </c>
      <c r="L543" s="1" t="s">
        <v>48</v>
      </c>
      <c r="M543">
        <v>0</v>
      </c>
      <c r="N543" s="1" t="s">
        <v>1626</v>
      </c>
      <c r="O543" s="1" t="s">
        <v>1627</v>
      </c>
      <c r="P543" s="4">
        <v>6.81</v>
      </c>
      <c r="Q543" s="2">
        <v>45966</v>
      </c>
      <c r="R543" s="1" t="s">
        <v>259</v>
      </c>
      <c r="S543" s="1" t="s">
        <v>31</v>
      </c>
      <c r="T543" s="1" t="s">
        <v>43</v>
      </c>
      <c r="U543" s="5">
        <f>product_sales_data__1[[#This Row],[TotalPrice]]-product_sales_data__1[[#This Row],[ShippingCost]]</f>
        <v>1864.95</v>
      </c>
      <c r="V543" s="5">
        <f>product_sales_data__1[[#This Row],[Quantity]]*product_sales_data__1[[#This Row],[UnitPrice]]*product_sales_data__1[[#This Row],[Discount]]</f>
        <v>330.31049999999993</v>
      </c>
    </row>
    <row r="544" spans="1:22" x14ac:dyDescent="0.3">
      <c r="A544" s="1" t="s">
        <v>711</v>
      </c>
      <c r="B544" s="1" t="s">
        <v>34</v>
      </c>
      <c r="C544" s="1" t="s">
        <v>140</v>
      </c>
      <c r="D544">
        <v>2</v>
      </c>
      <c r="E544" s="4">
        <v>250.98</v>
      </c>
      <c r="F544" s="1" t="s">
        <v>23</v>
      </c>
      <c r="G544" s="1" t="s">
        <v>24</v>
      </c>
      <c r="H544">
        <v>0.1</v>
      </c>
      <c r="I544" s="1" t="s">
        <v>65</v>
      </c>
      <c r="J544" s="4">
        <v>451.76</v>
      </c>
      <c r="K544" s="1" t="s">
        <v>26</v>
      </c>
      <c r="L544" s="1" t="s">
        <v>27</v>
      </c>
      <c r="M544">
        <v>0</v>
      </c>
      <c r="N544" s="1" t="s">
        <v>1628</v>
      </c>
      <c r="O544" s="1" t="s">
        <v>1629</v>
      </c>
      <c r="P544" s="4">
        <v>18.8</v>
      </c>
      <c r="Q544" s="2">
        <v>45328</v>
      </c>
      <c r="R544" s="1" t="s">
        <v>368</v>
      </c>
      <c r="S544" s="1" t="s">
        <v>42</v>
      </c>
      <c r="T544" s="1" t="s">
        <v>199</v>
      </c>
      <c r="U544" s="5">
        <f>product_sales_data__1[[#This Row],[TotalPrice]]-product_sales_data__1[[#This Row],[ShippingCost]]</f>
        <v>432.96</v>
      </c>
      <c r="V544" s="5">
        <f>product_sales_data__1[[#This Row],[Quantity]]*product_sales_data__1[[#This Row],[UnitPrice]]*product_sales_data__1[[#This Row],[Discount]]</f>
        <v>50.195999999999998</v>
      </c>
    </row>
    <row r="545" spans="1:22" x14ac:dyDescent="0.3">
      <c r="A545" s="1" t="s">
        <v>1630</v>
      </c>
      <c r="B545" s="1" t="s">
        <v>54</v>
      </c>
      <c r="C545" s="1" t="s">
        <v>22</v>
      </c>
      <c r="D545">
        <v>15</v>
      </c>
      <c r="E545" s="4">
        <v>166.24</v>
      </c>
      <c r="F545" s="1" t="s">
        <v>55</v>
      </c>
      <c r="G545" s="1" t="s">
        <v>24</v>
      </c>
      <c r="H545">
        <v>0.1</v>
      </c>
      <c r="I545" s="1" t="s">
        <v>78</v>
      </c>
      <c r="J545" s="4">
        <v>2244.2399999999998</v>
      </c>
      <c r="K545" s="1" t="s">
        <v>38</v>
      </c>
      <c r="L545" s="1" t="s">
        <v>58</v>
      </c>
      <c r="M545">
        <v>0</v>
      </c>
      <c r="N545" s="1" t="s">
        <v>1631</v>
      </c>
      <c r="O545" s="1" t="s">
        <v>1632</v>
      </c>
      <c r="P545" s="4">
        <v>9.86</v>
      </c>
      <c r="Q545" s="2">
        <v>44960</v>
      </c>
      <c r="R545" s="1" t="s">
        <v>934</v>
      </c>
      <c r="S545" s="1" t="s">
        <v>62</v>
      </c>
      <c r="T545" s="1" t="s">
        <v>199</v>
      </c>
      <c r="U545" s="5">
        <f>product_sales_data__1[[#This Row],[TotalPrice]]-product_sales_data__1[[#This Row],[ShippingCost]]</f>
        <v>2234.3799999999997</v>
      </c>
      <c r="V545" s="5">
        <f>product_sales_data__1[[#This Row],[Quantity]]*product_sales_data__1[[#This Row],[UnitPrice]]*product_sales_data__1[[#This Row],[Discount]]</f>
        <v>249.36000000000004</v>
      </c>
    </row>
    <row r="546" spans="1:22" x14ac:dyDescent="0.3">
      <c r="A546" s="1" t="s">
        <v>729</v>
      </c>
      <c r="B546" s="1" t="s">
        <v>21</v>
      </c>
      <c r="C546" s="1" t="s">
        <v>35</v>
      </c>
      <c r="D546">
        <v>5</v>
      </c>
      <c r="E546" s="4">
        <v>473.28</v>
      </c>
      <c r="F546" s="1" t="s">
        <v>84</v>
      </c>
      <c r="G546" s="1" t="s">
        <v>37</v>
      </c>
      <c r="H546">
        <v>0</v>
      </c>
      <c r="I546" s="1" t="s">
        <v>78</v>
      </c>
      <c r="J546" s="4">
        <v>2366.4</v>
      </c>
      <c r="K546" s="1" t="s">
        <v>101</v>
      </c>
      <c r="L546" s="1" t="s">
        <v>58</v>
      </c>
      <c r="M546">
        <v>1</v>
      </c>
      <c r="N546" s="1" t="s">
        <v>1633</v>
      </c>
      <c r="O546" s="1" t="s">
        <v>1634</v>
      </c>
      <c r="P546" s="4">
        <v>30.69</v>
      </c>
      <c r="Q546" s="2">
        <v>45418</v>
      </c>
      <c r="R546" s="1" t="s">
        <v>1313</v>
      </c>
      <c r="S546" s="1" t="s">
        <v>31</v>
      </c>
      <c r="T546" s="1" t="s">
        <v>63</v>
      </c>
      <c r="U546" s="5">
        <f>product_sales_data__1[[#This Row],[TotalPrice]]-product_sales_data__1[[#This Row],[ShippingCost]]</f>
        <v>2335.71</v>
      </c>
      <c r="V546" s="5">
        <f>product_sales_data__1[[#This Row],[Quantity]]*product_sales_data__1[[#This Row],[UnitPrice]]*product_sales_data__1[[#This Row],[Discount]]</f>
        <v>0</v>
      </c>
    </row>
    <row r="547" spans="1:22" x14ac:dyDescent="0.3">
      <c r="A547" s="1" t="s">
        <v>715</v>
      </c>
      <c r="B547" s="1" t="s">
        <v>21</v>
      </c>
      <c r="C547" s="1" t="s">
        <v>35</v>
      </c>
      <c r="D547">
        <v>16</v>
      </c>
      <c r="E547" s="4">
        <v>401.83</v>
      </c>
      <c r="F547" s="1" t="s">
        <v>23</v>
      </c>
      <c r="G547" s="1" t="s">
        <v>37</v>
      </c>
      <c r="H547">
        <v>0</v>
      </c>
      <c r="I547" s="1" t="s">
        <v>65</v>
      </c>
      <c r="J547" s="4">
        <v>6429.28</v>
      </c>
      <c r="K547" s="1" t="s">
        <v>47</v>
      </c>
      <c r="L547" s="1" t="s">
        <v>85</v>
      </c>
      <c r="M547">
        <v>0</v>
      </c>
      <c r="N547" s="1" t="s">
        <v>1635</v>
      </c>
      <c r="O547" s="1" t="s">
        <v>839</v>
      </c>
      <c r="P547" s="4">
        <v>21.54</v>
      </c>
      <c r="Q547" s="2">
        <v>45300</v>
      </c>
      <c r="R547" s="1" t="s">
        <v>718</v>
      </c>
      <c r="S547" s="1" t="s">
        <v>31</v>
      </c>
      <c r="T547" s="1" t="s">
        <v>187</v>
      </c>
      <c r="U547" s="5">
        <f>product_sales_data__1[[#This Row],[TotalPrice]]-product_sales_data__1[[#This Row],[ShippingCost]]</f>
        <v>6407.74</v>
      </c>
      <c r="V547" s="5">
        <f>product_sales_data__1[[#This Row],[Quantity]]*product_sales_data__1[[#This Row],[UnitPrice]]*product_sales_data__1[[#This Row],[Discount]]</f>
        <v>0</v>
      </c>
    </row>
    <row r="548" spans="1:22" x14ac:dyDescent="0.3">
      <c r="A548" s="1" t="s">
        <v>719</v>
      </c>
      <c r="B548" s="1" t="s">
        <v>21</v>
      </c>
      <c r="C548" s="1" t="s">
        <v>22</v>
      </c>
      <c r="D548">
        <v>4</v>
      </c>
      <c r="E548" s="4">
        <v>323.02</v>
      </c>
      <c r="F548" s="1" t="s">
        <v>36</v>
      </c>
      <c r="G548" s="1" t="s">
        <v>37</v>
      </c>
      <c r="H548">
        <v>0.05</v>
      </c>
      <c r="I548" s="1" t="s">
        <v>78</v>
      </c>
      <c r="J548" s="4">
        <v>1227.48</v>
      </c>
      <c r="K548" s="1" t="s">
        <v>47</v>
      </c>
      <c r="L548" s="1" t="s">
        <v>48</v>
      </c>
      <c r="M548">
        <v>0</v>
      </c>
      <c r="N548" s="1" t="s">
        <v>1636</v>
      </c>
      <c r="O548" s="1" t="s">
        <v>1637</v>
      </c>
      <c r="P548" s="4">
        <v>19.53</v>
      </c>
      <c r="Q548" s="2">
        <v>45962</v>
      </c>
      <c r="R548" s="1" t="s">
        <v>1040</v>
      </c>
      <c r="S548" s="1" t="s">
        <v>31</v>
      </c>
      <c r="T548" s="1" t="s">
        <v>43</v>
      </c>
      <c r="U548" s="5">
        <f>product_sales_data__1[[#This Row],[TotalPrice]]-product_sales_data__1[[#This Row],[ShippingCost]]</f>
        <v>1207.95</v>
      </c>
      <c r="V548" s="5">
        <f>product_sales_data__1[[#This Row],[Quantity]]*product_sales_data__1[[#This Row],[UnitPrice]]*product_sales_data__1[[#This Row],[Discount]]</f>
        <v>64.603999999999999</v>
      </c>
    </row>
    <row r="549" spans="1:22" x14ac:dyDescent="0.3">
      <c r="A549" s="1" t="s">
        <v>1638</v>
      </c>
      <c r="B549" s="1" t="s">
        <v>54</v>
      </c>
      <c r="C549" s="1" t="s">
        <v>127</v>
      </c>
      <c r="D549">
        <v>15</v>
      </c>
      <c r="E549" s="4">
        <v>439.89</v>
      </c>
      <c r="F549" s="1" t="s">
        <v>55</v>
      </c>
      <c r="G549" s="1" t="s">
        <v>37</v>
      </c>
      <c r="H549">
        <v>0.15</v>
      </c>
      <c r="I549" s="1" t="s">
        <v>78</v>
      </c>
      <c r="J549" s="4">
        <v>5608.6</v>
      </c>
      <c r="K549" s="1" t="s">
        <v>26</v>
      </c>
      <c r="L549" s="1" t="s">
        <v>85</v>
      </c>
      <c r="M549">
        <v>0</v>
      </c>
      <c r="N549" s="1" t="s">
        <v>1639</v>
      </c>
      <c r="O549" s="1" t="s">
        <v>1640</v>
      </c>
      <c r="P549" s="4">
        <v>49.71</v>
      </c>
      <c r="Q549" s="2">
        <v>45017</v>
      </c>
      <c r="R549" s="1" t="s">
        <v>276</v>
      </c>
      <c r="S549" s="1" t="s">
        <v>62</v>
      </c>
      <c r="T549" s="1" t="s">
        <v>147</v>
      </c>
      <c r="U549" s="5">
        <f>product_sales_data__1[[#This Row],[TotalPrice]]-product_sales_data__1[[#This Row],[ShippingCost]]</f>
        <v>5558.89</v>
      </c>
      <c r="V549" s="5">
        <f>product_sales_data__1[[#This Row],[Quantity]]*product_sales_data__1[[#This Row],[UnitPrice]]*product_sales_data__1[[#This Row],[Discount]]</f>
        <v>989.75249999999983</v>
      </c>
    </row>
    <row r="550" spans="1:22" x14ac:dyDescent="0.3">
      <c r="A550" s="1" t="s">
        <v>405</v>
      </c>
      <c r="B550" s="1" t="s">
        <v>54</v>
      </c>
      <c r="C550" s="1" t="s">
        <v>127</v>
      </c>
      <c r="D550">
        <v>16</v>
      </c>
      <c r="E550" s="4">
        <v>483.09</v>
      </c>
      <c r="F550" s="1" t="s">
        <v>36</v>
      </c>
      <c r="G550" s="1" t="s">
        <v>24</v>
      </c>
      <c r="H550">
        <v>0.05</v>
      </c>
      <c r="I550" s="1" t="s">
        <v>25</v>
      </c>
      <c r="J550" s="4">
        <v>7342.97</v>
      </c>
      <c r="K550" s="1" t="s">
        <v>38</v>
      </c>
      <c r="L550" s="1" t="s">
        <v>48</v>
      </c>
      <c r="M550">
        <v>1</v>
      </c>
      <c r="N550" s="1" t="s">
        <v>1641</v>
      </c>
      <c r="O550" s="1" t="s">
        <v>1496</v>
      </c>
      <c r="P550" s="4">
        <v>37.659999999999997</v>
      </c>
      <c r="Q550" s="2">
        <v>44962</v>
      </c>
      <c r="R550" s="1" t="s">
        <v>1121</v>
      </c>
      <c r="S550" s="1" t="s">
        <v>62</v>
      </c>
      <c r="T550" s="1" t="s">
        <v>199</v>
      </c>
      <c r="U550" s="5">
        <f>product_sales_data__1[[#This Row],[TotalPrice]]-product_sales_data__1[[#This Row],[ShippingCost]]</f>
        <v>7305.31</v>
      </c>
      <c r="V550" s="5">
        <f>product_sales_data__1[[#This Row],[Quantity]]*product_sales_data__1[[#This Row],[UnitPrice]]*product_sales_data__1[[#This Row],[Discount]]</f>
        <v>386.47199999999998</v>
      </c>
    </row>
    <row r="551" spans="1:22" x14ac:dyDescent="0.3">
      <c r="A551" s="1" t="s">
        <v>763</v>
      </c>
      <c r="B551" s="1" t="s">
        <v>70</v>
      </c>
      <c r="C551" s="1" t="s">
        <v>71</v>
      </c>
      <c r="D551">
        <v>13</v>
      </c>
      <c r="E551" s="4">
        <v>27.39</v>
      </c>
      <c r="F551" s="1" t="s">
        <v>23</v>
      </c>
      <c r="G551" s="1" t="s">
        <v>37</v>
      </c>
      <c r="H551">
        <v>0.15</v>
      </c>
      <c r="I551" s="1" t="s">
        <v>56</v>
      </c>
      <c r="J551" s="4">
        <v>302.66000000000003</v>
      </c>
      <c r="K551" s="1" t="s">
        <v>47</v>
      </c>
      <c r="L551" s="1" t="s">
        <v>48</v>
      </c>
      <c r="M551">
        <v>0</v>
      </c>
      <c r="N551" s="1" t="s">
        <v>1642</v>
      </c>
      <c r="O551" s="1" t="s">
        <v>1643</v>
      </c>
      <c r="P551" s="4">
        <v>22.95</v>
      </c>
      <c r="Q551" s="2">
        <v>45176</v>
      </c>
      <c r="R551" s="1" t="s">
        <v>1354</v>
      </c>
      <c r="S551" s="1" t="s">
        <v>75</v>
      </c>
      <c r="T551" s="1" t="s">
        <v>52</v>
      </c>
      <c r="U551" s="5">
        <f>product_sales_data__1[[#This Row],[TotalPrice]]-product_sales_data__1[[#This Row],[ShippingCost]]</f>
        <v>279.71000000000004</v>
      </c>
      <c r="V551" s="5">
        <f>product_sales_data__1[[#This Row],[Quantity]]*product_sales_data__1[[#This Row],[UnitPrice]]*product_sales_data__1[[#This Row],[Discount]]</f>
        <v>53.410499999999999</v>
      </c>
    </row>
    <row r="552" spans="1:22" x14ac:dyDescent="0.3">
      <c r="A552" s="1" t="s">
        <v>148</v>
      </c>
      <c r="B552" s="1" t="s">
        <v>70</v>
      </c>
      <c r="C552" s="1" t="s">
        <v>71</v>
      </c>
      <c r="D552">
        <v>10</v>
      </c>
      <c r="E552" s="4">
        <v>407.99</v>
      </c>
      <c r="F552" s="1" t="s">
        <v>36</v>
      </c>
      <c r="G552" s="1" t="s">
        <v>37</v>
      </c>
      <c r="H552">
        <v>0.15</v>
      </c>
      <c r="I552" s="1" t="s">
        <v>65</v>
      </c>
      <c r="J552" s="4">
        <v>3467.92</v>
      </c>
      <c r="K552" s="1" t="s">
        <v>47</v>
      </c>
      <c r="L552" s="1" t="s">
        <v>48</v>
      </c>
      <c r="M552">
        <v>0</v>
      </c>
      <c r="N552" s="1" t="s">
        <v>1644</v>
      </c>
      <c r="O552" s="1" t="s">
        <v>1645</v>
      </c>
      <c r="P552" s="4">
        <v>49.59</v>
      </c>
      <c r="Q552" s="2">
        <v>45718</v>
      </c>
      <c r="R552" s="1" t="s">
        <v>900</v>
      </c>
      <c r="S552" s="1" t="s">
        <v>75</v>
      </c>
      <c r="T552" s="1" t="s">
        <v>98</v>
      </c>
      <c r="U552" s="5">
        <f>product_sales_data__1[[#This Row],[TotalPrice]]-product_sales_data__1[[#This Row],[ShippingCost]]</f>
        <v>3418.33</v>
      </c>
      <c r="V552" s="5">
        <f>product_sales_data__1[[#This Row],[Quantity]]*product_sales_data__1[[#This Row],[UnitPrice]]*product_sales_data__1[[#This Row],[Discount]]</f>
        <v>611.98500000000001</v>
      </c>
    </row>
    <row r="553" spans="1:22" x14ac:dyDescent="0.3">
      <c r="A553" s="1" t="s">
        <v>389</v>
      </c>
      <c r="B553" s="1" t="s">
        <v>70</v>
      </c>
      <c r="C553" s="1" t="s">
        <v>109</v>
      </c>
      <c r="D553">
        <v>15</v>
      </c>
      <c r="E553" s="4">
        <v>274.77</v>
      </c>
      <c r="F553" s="1" t="s">
        <v>55</v>
      </c>
      <c r="G553" s="1" t="s">
        <v>37</v>
      </c>
      <c r="H553">
        <v>0</v>
      </c>
      <c r="I553" s="1" t="s">
        <v>65</v>
      </c>
      <c r="J553" s="4">
        <v>4121.55</v>
      </c>
      <c r="K553" s="1" t="s">
        <v>47</v>
      </c>
      <c r="L553" s="1" t="s">
        <v>48</v>
      </c>
      <c r="M553">
        <v>1</v>
      </c>
      <c r="N553" s="1" t="s">
        <v>1646</v>
      </c>
      <c r="O553" s="1" t="s">
        <v>1647</v>
      </c>
      <c r="P553" s="4">
        <v>19.37</v>
      </c>
      <c r="Q553" s="2">
        <v>45241</v>
      </c>
      <c r="R553" s="1" t="s">
        <v>1648</v>
      </c>
      <c r="S553" s="1" t="s">
        <v>75</v>
      </c>
      <c r="T553" s="1" t="s">
        <v>43</v>
      </c>
      <c r="U553" s="5">
        <f>product_sales_data__1[[#This Row],[TotalPrice]]-product_sales_data__1[[#This Row],[ShippingCost]]</f>
        <v>4102.18</v>
      </c>
      <c r="V553" s="5">
        <f>product_sales_data__1[[#This Row],[Quantity]]*product_sales_data__1[[#This Row],[UnitPrice]]*product_sales_data__1[[#This Row],[Discount]]</f>
        <v>0</v>
      </c>
    </row>
    <row r="554" spans="1:22" x14ac:dyDescent="0.3">
      <c r="A554" s="1" t="s">
        <v>615</v>
      </c>
      <c r="B554" s="1" t="s">
        <v>70</v>
      </c>
      <c r="C554" s="1" t="s">
        <v>22</v>
      </c>
      <c r="D554">
        <v>15</v>
      </c>
      <c r="E554" s="4">
        <v>31.81</v>
      </c>
      <c r="F554" s="1" t="s">
        <v>36</v>
      </c>
      <c r="G554" s="1" t="s">
        <v>24</v>
      </c>
      <c r="H554">
        <v>0.15</v>
      </c>
      <c r="I554" s="1" t="s">
        <v>65</v>
      </c>
      <c r="J554" s="4">
        <v>405.58</v>
      </c>
      <c r="K554" s="1" t="s">
        <v>47</v>
      </c>
      <c r="L554" s="1" t="s">
        <v>58</v>
      </c>
      <c r="M554">
        <v>0</v>
      </c>
      <c r="N554" s="1" t="s">
        <v>1649</v>
      </c>
      <c r="O554" s="1" t="s">
        <v>1650</v>
      </c>
      <c r="P554" s="4">
        <v>23.61</v>
      </c>
      <c r="Q554" s="2">
        <v>45509</v>
      </c>
      <c r="R554" s="1" t="s">
        <v>1651</v>
      </c>
      <c r="S554" s="1" t="s">
        <v>75</v>
      </c>
      <c r="T554" s="1" t="s">
        <v>82</v>
      </c>
      <c r="U554" s="5">
        <f>product_sales_data__1[[#This Row],[TotalPrice]]-product_sales_data__1[[#This Row],[ShippingCost]]</f>
        <v>381.96999999999997</v>
      </c>
      <c r="V554" s="5">
        <f>product_sales_data__1[[#This Row],[Quantity]]*product_sales_data__1[[#This Row],[UnitPrice]]*product_sales_data__1[[#This Row],[Discount]]</f>
        <v>71.572499999999991</v>
      </c>
    </row>
    <row r="555" spans="1:22" x14ac:dyDescent="0.3">
      <c r="A555" s="1" t="s">
        <v>948</v>
      </c>
      <c r="B555" s="1" t="s">
        <v>45</v>
      </c>
      <c r="C555" s="1" t="s">
        <v>109</v>
      </c>
      <c r="D555">
        <v>19</v>
      </c>
      <c r="E555" s="4">
        <v>350.12</v>
      </c>
      <c r="F555" s="1" t="s">
        <v>55</v>
      </c>
      <c r="G555" s="1" t="s">
        <v>37</v>
      </c>
      <c r="H555">
        <v>0.05</v>
      </c>
      <c r="I555" s="1" t="s">
        <v>25</v>
      </c>
      <c r="J555" s="4">
        <v>6319.67</v>
      </c>
      <c r="K555" s="1" t="s">
        <v>101</v>
      </c>
      <c r="L555" s="1" t="s">
        <v>85</v>
      </c>
      <c r="M555">
        <v>0</v>
      </c>
      <c r="N555" s="1" t="s">
        <v>1652</v>
      </c>
      <c r="O555" s="1" t="s">
        <v>1653</v>
      </c>
      <c r="P555" s="4">
        <v>48.98</v>
      </c>
      <c r="Q555" s="2">
        <v>45781</v>
      </c>
      <c r="R555" s="1" t="s">
        <v>1007</v>
      </c>
      <c r="S555" s="1" t="s">
        <v>51</v>
      </c>
      <c r="T555" s="1" t="s">
        <v>63</v>
      </c>
      <c r="U555" s="5">
        <f>product_sales_data__1[[#This Row],[TotalPrice]]-product_sales_data__1[[#This Row],[ShippingCost]]</f>
        <v>6270.6900000000005</v>
      </c>
      <c r="V555" s="5">
        <f>product_sales_data__1[[#This Row],[Quantity]]*product_sales_data__1[[#This Row],[UnitPrice]]*product_sales_data__1[[#This Row],[Discount]]</f>
        <v>332.61400000000003</v>
      </c>
    </row>
    <row r="556" spans="1:22" x14ac:dyDescent="0.3">
      <c r="A556" s="1" t="s">
        <v>1330</v>
      </c>
      <c r="B556" s="1" t="s">
        <v>45</v>
      </c>
      <c r="C556" s="1" t="s">
        <v>35</v>
      </c>
      <c r="D556">
        <v>6</v>
      </c>
      <c r="E556" s="4">
        <v>544.33000000000004</v>
      </c>
      <c r="F556" s="1" t="s">
        <v>23</v>
      </c>
      <c r="G556" s="1" t="s">
        <v>24</v>
      </c>
      <c r="H556">
        <v>0.1</v>
      </c>
      <c r="I556" s="1" t="s">
        <v>46</v>
      </c>
      <c r="J556" s="4">
        <v>2939.38</v>
      </c>
      <c r="K556" s="1" t="s">
        <v>47</v>
      </c>
      <c r="L556" s="1" t="s">
        <v>48</v>
      </c>
      <c r="M556">
        <v>0</v>
      </c>
      <c r="N556" s="1" t="s">
        <v>1654</v>
      </c>
      <c r="O556" s="1" t="s">
        <v>1655</v>
      </c>
      <c r="P556" s="4">
        <v>11.52</v>
      </c>
      <c r="Q556" s="2">
        <v>45081</v>
      </c>
      <c r="R556" s="1" t="s">
        <v>216</v>
      </c>
      <c r="S556" s="1" t="s">
        <v>51</v>
      </c>
      <c r="T556" s="1" t="s">
        <v>105</v>
      </c>
      <c r="U556" s="5">
        <f>product_sales_data__1[[#This Row],[TotalPrice]]-product_sales_data__1[[#This Row],[ShippingCost]]</f>
        <v>2927.86</v>
      </c>
      <c r="V556" s="5">
        <f>product_sales_data__1[[#This Row],[Quantity]]*product_sales_data__1[[#This Row],[UnitPrice]]*product_sales_data__1[[#This Row],[Discount]]</f>
        <v>326.59800000000007</v>
      </c>
    </row>
    <row r="557" spans="1:22" x14ac:dyDescent="0.3">
      <c r="A557" s="1" t="s">
        <v>533</v>
      </c>
      <c r="B557" s="1" t="s">
        <v>70</v>
      </c>
      <c r="C557" s="1" t="s">
        <v>100</v>
      </c>
      <c r="D557">
        <v>1</v>
      </c>
      <c r="E557" s="4">
        <v>421.26</v>
      </c>
      <c r="F557" s="1" t="s">
        <v>55</v>
      </c>
      <c r="G557" s="1" t="s">
        <v>37</v>
      </c>
      <c r="H557">
        <v>0.1</v>
      </c>
      <c r="I557" s="1" t="s">
        <v>65</v>
      </c>
      <c r="J557" s="4">
        <v>379.13</v>
      </c>
      <c r="K557" s="1" t="s">
        <v>38</v>
      </c>
      <c r="L557" s="1" t="s">
        <v>85</v>
      </c>
      <c r="M557">
        <v>0</v>
      </c>
      <c r="N557" s="1" t="s">
        <v>1656</v>
      </c>
      <c r="O557" s="1" t="s">
        <v>1657</v>
      </c>
      <c r="P557" s="4">
        <v>36.340000000000003</v>
      </c>
      <c r="Q557" s="2">
        <v>45843</v>
      </c>
      <c r="R557" s="1" t="s">
        <v>1329</v>
      </c>
      <c r="S557" s="1" t="s">
        <v>75</v>
      </c>
      <c r="T557" s="1" t="s">
        <v>117</v>
      </c>
      <c r="U557" s="5">
        <f>product_sales_data__1[[#This Row],[TotalPrice]]-product_sales_data__1[[#This Row],[ShippingCost]]</f>
        <v>342.78999999999996</v>
      </c>
      <c r="V557" s="5">
        <f>product_sales_data__1[[#This Row],[Quantity]]*product_sales_data__1[[#This Row],[UnitPrice]]*product_sales_data__1[[#This Row],[Discount]]</f>
        <v>42.126000000000005</v>
      </c>
    </row>
    <row r="558" spans="1:22" x14ac:dyDescent="0.3">
      <c r="A558" s="1" t="s">
        <v>393</v>
      </c>
      <c r="B558" s="1" t="s">
        <v>54</v>
      </c>
      <c r="C558" s="1" t="s">
        <v>22</v>
      </c>
      <c r="D558">
        <v>7</v>
      </c>
      <c r="E558" s="4">
        <v>241.35</v>
      </c>
      <c r="F558" s="1" t="s">
        <v>23</v>
      </c>
      <c r="G558" s="1" t="s">
        <v>24</v>
      </c>
      <c r="H558">
        <v>0.1</v>
      </c>
      <c r="I558" s="1" t="s">
        <v>78</v>
      </c>
      <c r="J558" s="4">
        <v>1520.51</v>
      </c>
      <c r="K558" s="1" t="s">
        <v>101</v>
      </c>
      <c r="L558" s="1" t="s">
        <v>58</v>
      </c>
      <c r="M558">
        <v>0</v>
      </c>
      <c r="N558" s="1" t="s">
        <v>1658</v>
      </c>
      <c r="O558" s="1" t="s">
        <v>1659</v>
      </c>
      <c r="P558" s="4">
        <v>42.43</v>
      </c>
      <c r="Q558" s="2">
        <v>45295</v>
      </c>
      <c r="R558" s="1" t="s">
        <v>64</v>
      </c>
      <c r="S558" s="1" t="s">
        <v>62</v>
      </c>
      <c r="T558" s="1" t="s">
        <v>187</v>
      </c>
      <c r="U558" s="5">
        <f>product_sales_data__1[[#This Row],[TotalPrice]]-product_sales_data__1[[#This Row],[ShippingCost]]</f>
        <v>1478.08</v>
      </c>
      <c r="V558" s="5">
        <f>product_sales_data__1[[#This Row],[Quantity]]*product_sales_data__1[[#This Row],[UnitPrice]]*product_sales_data__1[[#This Row],[Discount]]</f>
        <v>168.94500000000002</v>
      </c>
    </row>
    <row r="559" spans="1:22" x14ac:dyDescent="0.3">
      <c r="A559" s="1" t="s">
        <v>143</v>
      </c>
      <c r="B559" s="1" t="s">
        <v>21</v>
      </c>
      <c r="C559" s="1" t="s">
        <v>109</v>
      </c>
      <c r="D559">
        <v>11</v>
      </c>
      <c r="E559" s="4">
        <v>160.37</v>
      </c>
      <c r="F559" s="1" t="s">
        <v>23</v>
      </c>
      <c r="G559" s="1" t="s">
        <v>24</v>
      </c>
      <c r="H559">
        <v>0.05</v>
      </c>
      <c r="I559" s="1" t="s">
        <v>46</v>
      </c>
      <c r="J559" s="4">
        <v>1675.87</v>
      </c>
      <c r="K559" s="1" t="s">
        <v>47</v>
      </c>
      <c r="L559" s="1" t="s">
        <v>48</v>
      </c>
      <c r="M559">
        <v>0</v>
      </c>
      <c r="N559" s="1" t="s">
        <v>1660</v>
      </c>
      <c r="O559" s="1" t="s">
        <v>1661</v>
      </c>
      <c r="P559" s="4">
        <v>36.049999999999997</v>
      </c>
      <c r="Q559" s="2">
        <v>45388</v>
      </c>
      <c r="R559" s="1" t="s">
        <v>146</v>
      </c>
      <c r="S559" s="1" t="s">
        <v>31</v>
      </c>
      <c r="T559" s="1" t="s">
        <v>147</v>
      </c>
      <c r="U559" s="5">
        <f>product_sales_data__1[[#This Row],[TotalPrice]]-product_sales_data__1[[#This Row],[ShippingCost]]</f>
        <v>1639.82</v>
      </c>
      <c r="V559" s="5">
        <f>product_sales_data__1[[#This Row],[Quantity]]*product_sales_data__1[[#This Row],[UnitPrice]]*product_sales_data__1[[#This Row],[Discount]]</f>
        <v>88.20350000000002</v>
      </c>
    </row>
    <row r="560" spans="1:22" x14ac:dyDescent="0.3">
      <c r="A560" s="1" t="s">
        <v>83</v>
      </c>
      <c r="B560" s="1" t="s">
        <v>45</v>
      </c>
      <c r="C560" s="1" t="s">
        <v>35</v>
      </c>
      <c r="D560">
        <v>16</v>
      </c>
      <c r="E560" s="4">
        <v>305.20999999999998</v>
      </c>
      <c r="F560" s="1" t="s">
        <v>84</v>
      </c>
      <c r="G560" s="1" t="s">
        <v>24</v>
      </c>
      <c r="H560">
        <v>0.1</v>
      </c>
      <c r="I560" s="1" t="s">
        <v>25</v>
      </c>
      <c r="J560" s="4">
        <v>4395.0200000000004</v>
      </c>
      <c r="K560" s="1" t="s">
        <v>38</v>
      </c>
      <c r="L560" s="1" t="s">
        <v>58</v>
      </c>
      <c r="M560">
        <v>0</v>
      </c>
      <c r="N560" s="1" t="s">
        <v>1662</v>
      </c>
      <c r="O560" s="1" t="s">
        <v>542</v>
      </c>
      <c r="P560" s="4">
        <v>33.369999999999997</v>
      </c>
      <c r="Q560" s="2">
        <v>45966</v>
      </c>
      <c r="R560" s="1" t="s">
        <v>1663</v>
      </c>
      <c r="S560" s="1" t="s">
        <v>51</v>
      </c>
      <c r="T560" s="1" t="s">
        <v>43</v>
      </c>
      <c r="U560" s="5">
        <f>product_sales_data__1[[#This Row],[TotalPrice]]-product_sales_data__1[[#This Row],[ShippingCost]]</f>
        <v>4361.6500000000005</v>
      </c>
      <c r="V560" s="5">
        <f>product_sales_data__1[[#This Row],[Quantity]]*product_sales_data__1[[#This Row],[UnitPrice]]*product_sales_data__1[[#This Row],[Discount]]</f>
        <v>488.33600000000001</v>
      </c>
    </row>
    <row r="561" spans="1:22" x14ac:dyDescent="0.3">
      <c r="A561" s="1" t="s">
        <v>776</v>
      </c>
      <c r="B561" s="1" t="s">
        <v>21</v>
      </c>
      <c r="C561" s="1" t="s">
        <v>140</v>
      </c>
      <c r="D561">
        <v>16</v>
      </c>
      <c r="E561" s="4">
        <v>438.71</v>
      </c>
      <c r="F561" s="1" t="s">
        <v>36</v>
      </c>
      <c r="G561" s="1" t="s">
        <v>37</v>
      </c>
      <c r="H561">
        <v>0</v>
      </c>
      <c r="I561" s="1" t="s">
        <v>25</v>
      </c>
      <c r="J561" s="4">
        <v>7019.36</v>
      </c>
      <c r="K561" s="1" t="s">
        <v>26</v>
      </c>
      <c r="L561" s="1" t="s">
        <v>48</v>
      </c>
      <c r="M561">
        <v>0</v>
      </c>
      <c r="N561" s="1" t="s">
        <v>1664</v>
      </c>
      <c r="O561" s="1" t="s">
        <v>1665</v>
      </c>
      <c r="P561" s="4">
        <v>6.53</v>
      </c>
      <c r="Q561" s="2">
        <v>45242</v>
      </c>
      <c r="R561" s="1" t="s">
        <v>529</v>
      </c>
      <c r="S561" s="1" t="s">
        <v>31</v>
      </c>
      <c r="T561" s="1" t="s">
        <v>43</v>
      </c>
      <c r="U561" s="5">
        <f>product_sales_data__1[[#This Row],[TotalPrice]]-product_sales_data__1[[#This Row],[ShippingCost]]</f>
        <v>7012.83</v>
      </c>
      <c r="V561" s="5">
        <f>product_sales_data__1[[#This Row],[Quantity]]*product_sales_data__1[[#This Row],[UnitPrice]]*product_sales_data__1[[#This Row],[Discount]]</f>
        <v>0</v>
      </c>
    </row>
    <row r="562" spans="1:22" x14ac:dyDescent="0.3">
      <c r="A562" s="1" t="s">
        <v>20</v>
      </c>
      <c r="B562" s="1" t="s">
        <v>70</v>
      </c>
      <c r="C562" s="1" t="s">
        <v>71</v>
      </c>
      <c r="D562">
        <v>18</v>
      </c>
      <c r="E562" s="4">
        <v>580.41999999999996</v>
      </c>
      <c r="F562" s="1" t="s">
        <v>84</v>
      </c>
      <c r="G562" s="1" t="s">
        <v>24</v>
      </c>
      <c r="H562">
        <v>0.05</v>
      </c>
      <c r="I562" s="1" t="s">
        <v>94</v>
      </c>
      <c r="J562" s="4">
        <v>9925.18</v>
      </c>
      <c r="K562" s="1" t="s">
        <v>26</v>
      </c>
      <c r="L562" s="1" t="s">
        <v>58</v>
      </c>
      <c r="M562">
        <v>0</v>
      </c>
      <c r="N562" s="1" t="s">
        <v>1666</v>
      </c>
      <c r="O562" s="1" t="s">
        <v>1667</v>
      </c>
      <c r="P562" s="4">
        <v>37.81</v>
      </c>
      <c r="Q562" s="2">
        <v>45204</v>
      </c>
      <c r="R562" s="1" t="s">
        <v>112</v>
      </c>
      <c r="S562" s="1" t="s">
        <v>75</v>
      </c>
      <c r="T562" s="1" t="s">
        <v>32</v>
      </c>
      <c r="U562" s="5">
        <f>product_sales_data__1[[#This Row],[TotalPrice]]-product_sales_data__1[[#This Row],[ShippingCost]]</f>
        <v>9887.3700000000008</v>
      </c>
      <c r="V562" s="5">
        <f>product_sales_data__1[[#This Row],[Quantity]]*product_sales_data__1[[#This Row],[UnitPrice]]*product_sales_data__1[[#This Row],[Discount]]</f>
        <v>522.37800000000004</v>
      </c>
    </row>
    <row r="563" spans="1:22" x14ac:dyDescent="0.3">
      <c r="A563" s="1" t="s">
        <v>428</v>
      </c>
      <c r="B563" s="1" t="s">
        <v>45</v>
      </c>
      <c r="C563" s="1" t="s">
        <v>100</v>
      </c>
      <c r="D563">
        <v>14</v>
      </c>
      <c r="E563" s="4">
        <v>306.39</v>
      </c>
      <c r="F563" s="1" t="s">
        <v>84</v>
      </c>
      <c r="G563" s="1" t="s">
        <v>37</v>
      </c>
      <c r="H563">
        <v>0.1</v>
      </c>
      <c r="I563" s="1" t="s">
        <v>65</v>
      </c>
      <c r="J563" s="4">
        <v>3860.51</v>
      </c>
      <c r="K563" s="1" t="s">
        <v>47</v>
      </c>
      <c r="L563" s="1" t="s">
        <v>27</v>
      </c>
      <c r="M563">
        <v>0</v>
      </c>
      <c r="N563" s="1" t="s">
        <v>1668</v>
      </c>
      <c r="O563" s="1" t="s">
        <v>1669</v>
      </c>
      <c r="P563" s="4">
        <v>38.729999999999997</v>
      </c>
      <c r="Q563" s="2">
        <v>45109</v>
      </c>
      <c r="R563" s="1" t="s">
        <v>557</v>
      </c>
      <c r="S563" s="1" t="s">
        <v>51</v>
      </c>
      <c r="T563" s="1" t="s">
        <v>117</v>
      </c>
      <c r="U563" s="5">
        <f>product_sales_data__1[[#This Row],[TotalPrice]]-product_sales_data__1[[#This Row],[ShippingCost]]</f>
        <v>3821.78</v>
      </c>
      <c r="V563" s="5">
        <f>product_sales_data__1[[#This Row],[Quantity]]*product_sales_data__1[[#This Row],[UnitPrice]]*product_sales_data__1[[#This Row],[Discount]]</f>
        <v>428.94600000000003</v>
      </c>
    </row>
    <row r="564" spans="1:22" x14ac:dyDescent="0.3">
      <c r="A564" s="1" t="s">
        <v>457</v>
      </c>
      <c r="B564" s="1" t="s">
        <v>70</v>
      </c>
      <c r="C564" s="1" t="s">
        <v>71</v>
      </c>
      <c r="D564">
        <v>6</v>
      </c>
      <c r="E564" s="4">
        <v>346.86</v>
      </c>
      <c r="F564" s="1" t="s">
        <v>36</v>
      </c>
      <c r="G564" s="1" t="s">
        <v>37</v>
      </c>
      <c r="H564">
        <v>0.05</v>
      </c>
      <c r="I564" s="1" t="s">
        <v>65</v>
      </c>
      <c r="J564" s="4">
        <v>1977.1</v>
      </c>
      <c r="K564" s="1" t="s">
        <v>57</v>
      </c>
      <c r="L564" s="1" t="s">
        <v>85</v>
      </c>
      <c r="M564">
        <v>0</v>
      </c>
      <c r="N564" s="1" t="s">
        <v>1670</v>
      </c>
      <c r="O564" s="1" t="s">
        <v>1671</v>
      </c>
      <c r="P564" s="4">
        <v>29.18</v>
      </c>
      <c r="Q564" s="2">
        <v>45023</v>
      </c>
      <c r="R564" s="1" t="s">
        <v>941</v>
      </c>
      <c r="S564" s="1" t="s">
        <v>75</v>
      </c>
      <c r="T564" s="1" t="s">
        <v>147</v>
      </c>
      <c r="U564" s="5">
        <f>product_sales_data__1[[#This Row],[TotalPrice]]-product_sales_data__1[[#This Row],[ShippingCost]]</f>
        <v>1947.9199999999998</v>
      </c>
      <c r="V564" s="5">
        <f>product_sales_data__1[[#This Row],[Quantity]]*product_sales_data__1[[#This Row],[UnitPrice]]*product_sales_data__1[[#This Row],[Discount]]</f>
        <v>104.05799999999999</v>
      </c>
    </row>
    <row r="565" spans="1:22" x14ac:dyDescent="0.3">
      <c r="A565" s="1" t="s">
        <v>864</v>
      </c>
      <c r="B565" s="1" t="s">
        <v>45</v>
      </c>
      <c r="C565" s="1" t="s">
        <v>109</v>
      </c>
      <c r="D565">
        <v>11</v>
      </c>
      <c r="E565" s="4">
        <v>97.34</v>
      </c>
      <c r="F565" s="1" t="s">
        <v>55</v>
      </c>
      <c r="G565" s="1" t="s">
        <v>24</v>
      </c>
      <c r="H565">
        <v>0.1</v>
      </c>
      <c r="I565" s="1" t="s">
        <v>46</v>
      </c>
      <c r="J565" s="4">
        <v>963.67</v>
      </c>
      <c r="K565" s="1" t="s">
        <v>38</v>
      </c>
      <c r="L565" s="1" t="s">
        <v>58</v>
      </c>
      <c r="M565">
        <v>0</v>
      </c>
      <c r="N565" s="1" t="s">
        <v>1672</v>
      </c>
      <c r="O565" s="1" t="s">
        <v>1673</v>
      </c>
      <c r="P565" s="4">
        <v>10.61</v>
      </c>
      <c r="Q565" s="2">
        <v>45514</v>
      </c>
      <c r="R565" s="1" t="s">
        <v>699</v>
      </c>
      <c r="S565" s="1" t="s">
        <v>51</v>
      </c>
      <c r="T565" s="1" t="s">
        <v>82</v>
      </c>
      <c r="U565" s="5">
        <f>product_sales_data__1[[#This Row],[TotalPrice]]-product_sales_data__1[[#This Row],[ShippingCost]]</f>
        <v>953.06</v>
      </c>
      <c r="V565" s="5">
        <f>product_sales_data__1[[#This Row],[Quantity]]*product_sales_data__1[[#This Row],[UnitPrice]]*product_sales_data__1[[#This Row],[Discount]]</f>
        <v>107.07400000000001</v>
      </c>
    </row>
    <row r="566" spans="1:22" x14ac:dyDescent="0.3">
      <c r="A566" s="1" t="s">
        <v>346</v>
      </c>
      <c r="B566" s="1" t="s">
        <v>45</v>
      </c>
      <c r="C566" s="1" t="s">
        <v>100</v>
      </c>
      <c r="D566">
        <v>6</v>
      </c>
      <c r="E566" s="4">
        <v>416.2</v>
      </c>
      <c r="F566" s="1" t="s">
        <v>84</v>
      </c>
      <c r="G566" s="1" t="s">
        <v>24</v>
      </c>
      <c r="H566">
        <v>0.05</v>
      </c>
      <c r="I566" s="1" t="s">
        <v>25</v>
      </c>
      <c r="J566" s="4">
        <v>2372.34</v>
      </c>
      <c r="K566" s="1" t="s">
        <v>47</v>
      </c>
      <c r="L566" s="1" t="s">
        <v>27</v>
      </c>
      <c r="M566">
        <v>1</v>
      </c>
      <c r="N566" s="1" t="s">
        <v>1674</v>
      </c>
      <c r="O566" s="1" t="s">
        <v>1675</v>
      </c>
      <c r="P566" s="4">
        <v>44.14</v>
      </c>
      <c r="Q566" s="2">
        <v>45692</v>
      </c>
      <c r="R566" s="1" t="s">
        <v>1099</v>
      </c>
      <c r="S566" s="1" t="s">
        <v>51</v>
      </c>
      <c r="T566" s="1" t="s">
        <v>199</v>
      </c>
      <c r="U566" s="5">
        <f>product_sales_data__1[[#This Row],[TotalPrice]]-product_sales_data__1[[#This Row],[ShippingCost]]</f>
        <v>2328.2000000000003</v>
      </c>
      <c r="V566" s="5">
        <f>product_sales_data__1[[#This Row],[Quantity]]*product_sales_data__1[[#This Row],[UnitPrice]]*product_sales_data__1[[#This Row],[Discount]]</f>
        <v>124.86</v>
      </c>
    </row>
    <row r="567" spans="1:22" x14ac:dyDescent="0.3">
      <c r="A567" s="1" t="s">
        <v>1000</v>
      </c>
      <c r="B567" s="1" t="s">
        <v>45</v>
      </c>
      <c r="C567" s="1" t="s">
        <v>100</v>
      </c>
      <c r="D567">
        <v>16</v>
      </c>
      <c r="E567" s="4">
        <v>55.56</v>
      </c>
      <c r="F567" s="1" t="s">
        <v>55</v>
      </c>
      <c r="G567" s="1" t="s">
        <v>24</v>
      </c>
      <c r="H567">
        <v>0.15</v>
      </c>
      <c r="I567" s="1" t="s">
        <v>56</v>
      </c>
      <c r="J567" s="4">
        <v>755.62</v>
      </c>
      <c r="K567" s="1" t="s">
        <v>47</v>
      </c>
      <c r="L567" s="1" t="s">
        <v>48</v>
      </c>
      <c r="M567">
        <v>1</v>
      </c>
      <c r="N567" s="1" t="s">
        <v>1676</v>
      </c>
      <c r="O567" s="1" t="s">
        <v>1677</v>
      </c>
      <c r="P567" s="4">
        <v>17.809999999999999</v>
      </c>
      <c r="Q567" s="2">
        <v>45542</v>
      </c>
      <c r="R567" s="1" t="s">
        <v>220</v>
      </c>
      <c r="S567" s="1" t="s">
        <v>51</v>
      </c>
      <c r="T567" s="1" t="s">
        <v>52</v>
      </c>
      <c r="U567" s="5">
        <f>product_sales_data__1[[#This Row],[TotalPrice]]-product_sales_data__1[[#This Row],[ShippingCost]]</f>
        <v>737.81000000000006</v>
      </c>
      <c r="V567" s="5">
        <f>product_sales_data__1[[#This Row],[Quantity]]*product_sales_data__1[[#This Row],[UnitPrice]]*product_sales_data__1[[#This Row],[Discount]]</f>
        <v>133.34399999999999</v>
      </c>
    </row>
    <row r="568" spans="1:22" x14ac:dyDescent="0.3">
      <c r="A568" s="1" t="s">
        <v>889</v>
      </c>
      <c r="B568" s="1" t="s">
        <v>70</v>
      </c>
      <c r="C568" s="1" t="s">
        <v>109</v>
      </c>
      <c r="D568">
        <v>11</v>
      </c>
      <c r="E568" s="4">
        <v>185.59</v>
      </c>
      <c r="F568" s="1" t="s">
        <v>23</v>
      </c>
      <c r="G568" s="1" t="s">
        <v>37</v>
      </c>
      <c r="H568">
        <v>0.1</v>
      </c>
      <c r="I568" s="1" t="s">
        <v>46</v>
      </c>
      <c r="J568" s="4">
        <v>1837.34</v>
      </c>
      <c r="K568" s="1" t="s">
        <v>57</v>
      </c>
      <c r="L568" s="1" t="s">
        <v>48</v>
      </c>
      <c r="M568">
        <v>0</v>
      </c>
      <c r="N568" s="1" t="s">
        <v>1678</v>
      </c>
      <c r="O568" s="1" t="s">
        <v>1679</v>
      </c>
      <c r="P568" s="4">
        <v>45.19</v>
      </c>
      <c r="Q568" s="2">
        <v>45541</v>
      </c>
      <c r="R568" s="1" t="s">
        <v>1303</v>
      </c>
      <c r="S568" s="1" t="s">
        <v>75</v>
      </c>
      <c r="T568" s="1" t="s">
        <v>52</v>
      </c>
      <c r="U568" s="5">
        <f>product_sales_data__1[[#This Row],[TotalPrice]]-product_sales_data__1[[#This Row],[ShippingCost]]</f>
        <v>1792.1499999999999</v>
      </c>
      <c r="V568" s="5">
        <f>product_sales_data__1[[#This Row],[Quantity]]*product_sales_data__1[[#This Row],[UnitPrice]]*product_sales_data__1[[#This Row],[Discount]]</f>
        <v>204.149</v>
      </c>
    </row>
    <row r="569" spans="1:22" x14ac:dyDescent="0.3">
      <c r="A569" s="1" t="s">
        <v>237</v>
      </c>
      <c r="B569" s="1" t="s">
        <v>45</v>
      </c>
      <c r="C569" s="1" t="s">
        <v>22</v>
      </c>
      <c r="D569">
        <v>11</v>
      </c>
      <c r="E569" s="4">
        <v>347.38</v>
      </c>
      <c r="F569" s="1" t="s">
        <v>36</v>
      </c>
      <c r="G569" s="1" t="s">
        <v>24</v>
      </c>
      <c r="H569">
        <v>0.05</v>
      </c>
      <c r="I569" s="1" t="s">
        <v>65</v>
      </c>
      <c r="J569" s="4">
        <v>3630.12</v>
      </c>
      <c r="K569" s="1" t="s">
        <v>101</v>
      </c>
      <c r="L569" s="1" t="s">
        <v>85</v>
      </c>
      <c r="M569">
        <v>0</v>
      </c>
      <c r="N569" s="1" t="s">
        <v>1680</v>
      </c>
      <c r="O569" s="1" t="s">
        <v>1681</v>
      </c>
      <c r="P569" s="4">
        <v>24.8</v>
      </c>
      <c r="Q569" s="2">
        <v>44938</v>
      </c>
      <c r="R569" s="1" t="s">
        <v>682</v>
      </c>
      <c r="S569" s="1" t="s">
        <v>51</v>
      </c>
      <c r="T569" s="1" t="s">
        <v>187</v>
      </c>
      <c r="U569" s="5">
        <f>product_sales_data__1[[#This Row],[TotalPrice]]-product_sales_data__1[[#This Row],[ShippingCost]]</f>
        <v>3605.3199999999997</v>
      </c>
      <c r="V569" s="5">
        <f>product_sales_data__1[[#This Row],[Quantity]]*product_sales_data__1[[#This Row],[UnitPrice]]*product_sales_data__1[[#This Row],[Discount]]</f>
        <v>191.059</v>
      </c>
    </row>
    <row r="570" spans="1:22" x14ac:dyDescent="0.3">
      <c r="A570" s="1" t="s">
        <v>486</v>
      </c>
      <c r="B570" s="1" t="s">
        <v>54</v>
      </c>
      <c r="C570" s="1" t="s">
        <v>35</v>
      </c>
      <c r="D570">
        <v>15</v>
      </c>
      <c r="E570" s="4">
        <v>242.35</v>
      </c>
      <c r="F570" s="1" t="s">
        <v>55</v>
      </c>
      <c r="G570" s="1" t="s">
        <v>24</v>
      </c>
      <c r="H570">
        <v>0.15</v>
      </c>
      <c r="I570" s="1" t="s">
        <v>78</v>
      </c>
      <c r="J570" s="4">
        <v>3089.96</v>
      </c>
      <c r="K570" s="1" t="s">
        <v>47</v>
      </c>
      <c r="L570" s="1" t="s">
        <v>27</v>
      </c>
      <c r="M570">
        <v>1</v>
      </c>
      <c r="N570" s="1" t="s">
        <v>1682</v>
      </c>
      <c r="O570" s="1" t="s">
        <v>1258</v>
      </c>
      <c r="P570" s="4">
        <v>14.92</v>
      </c>
      <c r="Q570" s="2">
        <v>45264</v>
      </c>
      <c r="R570" s="1" t="s">
        <v>1683</v>
      </c>
      <c r="S570" s="1" t="s">
        <v>62</v>
      </c>
      <c r="T570" s="1" t="s">
        <v>76</v>
      </c>
      <c r="U570" s="5">
        <f>product_sales_data__1[[#This Row],[TotalPrice]]-product_sales_data__1[[#This Row],[ShippingCost]]</f>
        <v>3075.04</v>
      </c>
      <c r="V570" s="5">
        <f>product_sales_data__1[[#This Row],[Quantity]]*product_sales_data__1[[#This Row],[UnitPrice]]*product_sales_data__1[[#This Row],[Discount]]</f>
        <v>545.28750000000002</v>
      </c>
    </row>
    <row r="571" spans="1:22" x14ac:dyDescent="0.3">
      <c r="A571" s="1" t="s">
        <v>1382</v>
      </c>
      <c r="B571" s="1" t="s">
        <v>34</v>
      </c>
      <c r="C571" s="1" t="s">
        <v>127</v>
      </c>
      <c r="D571">
        <v>10</v>
      </c>
      <c r="E571" s="4">
        <v>285.73</v>
      </c>
      <c r="F571" s="1" t="s">
        <v>55</v>
      </c>
      <c r="G571" s="1" t="s">
        <v>24</v>
      </c>
      <c r="H571">
        <v>0.15</v>
      </c>
      <c r="I571" s="1" t="s">
        <v>65</v>
      </c>
      <c r="J571" s="4">
        <v>2428.71</v>
      </c>
      <c r="K571" s="1" t="s">
        <v>47</v>
      </c>
      <c r="L571" s="1" t="s">
        <v>27</v>
      </c>
      <c r="M571">
        <v>1</v>
      </c>
      <c r="N571" s="1" t="s">
        <v>1684</v>
      </c>
      <c r="O571" s="1" t="s">
        <v>1685</v>
      </c>
      <c r="P571" s="4">
        <v>26.68</v>
      </c>
      <c r="Q571" s="2">
        <v>45512</v>
      </c>
      <c r="R571" s="1" t="s">
        <v>503</v>
      </c>
      <c r="S571" s="1" t="s">
        <v>42</v>
      </c>
      <c r="T571" s="1" t="s">
        <v>82</v>
      </c>
      <c r="U571" s="5">
        <f>product_sales_data__1[[#This Row],[TotalPrice]]-product_sales_data__1[[#This Row],[ShippingCost]]</f>
        <v>2402.0300000000002</v>
      </c>
      <c r="V571" s="5">
        <f>product_sales_data__1[[#This Row],[Quantity]]*product_sales_data__1[[#This Row],[UnitPrice]]*product_sales_data__1[[#This Row],[Discount]]</f>
        <v>428.59500000000003</v>
      </c>
    </row>
    <row r="572" spans="1:22" x14ac:dyDescent="0.3">
      <c r="A572" s="1" t="s">
        <v>1686</v>
      </c>
      <c r="B572" s="1" t="s">
        <v>34</v>
      </c>
      <c r="C572" s="1" t="s">
        <v>109</v>
      </c>
      <c r="D572">
        <v>14</v>
      </c>
      <c r="E572" s="4">
        <v>216.4</v>
      </c>
      <c r="F572" s="1" t="s">
        <v>55</v>
      </c>
      <c r="G572" s="1" t="s">
        <v>24</v>
      </c>
      <c r="H572">
        <v>0.1</v>
      </c>
      <c r="I572" s="1" t="s">
        <v>78</v>
      </c>
      <c r="J572" s="4">
        <v>2726.64</v>
      </c>
      <c r="K572" s="1" t="s">
        <v>38</v>
      </c>
      <c r="L572" s="1" t="s">
        <v>27</v>
      </c>
      <c r="M572">
        <v>0</v>
      </c>
      <c r="N572" s="1" t="s">
        <v>1687</v>
      </c>
      <c r="O572" s="1" t="s">
        <v>1617</v>
      </c>
      <c r="P572" s="4">
        <v>40.74</v>
      </c>
      <c r="Q572" s="2">
        <v>45148</v>
      </c>
      <c r="R572" s="1" t="s">
        <v>689</v>
      </c>
      <c r="S572" s="1" t="s">
        <v>42</v>
      </c>
      <c r="T572" s="1" t="s">
        <v>82</v>
      </c>
      <c r="U572" s="5">
        <f>product_sales_data__1[[#This Row],[TotalPrice]]-product_sales_data__1[[#This Row],[ShippingCost]]</f>
        <v>2685.9</v>
      </c>
      <c r="V572" s="5">
        <f>product_sales_data__1[[#This Row],[Quantity]]*product_sales_data__1[[#This Row],[UnitPrice]]*product_sales_data__1[[#This Row],[Discount]]</f>
        <v>302.95999999999998</v>
      </c>
    </row>
    <row r="573" spans="1:22" x14ac:dyDescent="0.3">
      <c r="A573" s="1" t="s">
        <v>1688</v>
      </c>
      <c r="B573" s="1" t="s">
        <v>34</v>
      </c>
      <c r="C573" s="1" t="s">
        <v>100</v>
      </c>
      <c r="D573">
        <v>7</v>
      </c>
      <c r="E573" s="4">
        <v>61.47</v>
      </c>
      <c r="F573" s="1" t="s">
        <v>36</v>
      </c>
      <c r="G573" s="1" t="s">
        <v>37</v>
      </c>
      <c r="H573">
        <v>0.15</v>
      </c>
      <c r="I573" s="1" t="s">
        <v>65</v>
      </c>
      <c r="J573" s="4">
        <v>365.75</v>
      </c>
      <c r="K573" s="1" t="s">
        <v>26</v>
      </c>
      <c r="L573" s="1" t="s">
        <v>85</v>
      </c>
      <c r="M573">
        <v>0</v>
      </c>
      <c r="N573" s="1" t="s">
        <v>1689</v>
      </c>
      <c r="O573" s="1" t="s">
        <v>1690</v>
      </c>
      <c r="P573" s="4">
        <v>14.44</v>
      </c>
      <c r="Q573" s="2">
        <v>44958</v>
      </c>
      <c r="R573" s="1" t="s">
        <v>1691</v>
      </c>
      <c r="S573" s="1" t="s">
        <v>42</v>
      </c>
      <c r="T573" s="1" t="s">
        <v>199</v>
      </c>
      <c r="U573" s="5">
        <f>product_sales_data__1[[#This Row],[TotalPrice]]-product_sales_data__1[[#This Row],[ShippingCost]]</f>
        <v>351.31</v>
      </c>
      <c r="V573" s="5">
        <f>product_sales_data__1[[#This Row],[Quantity]]*product_sales_data__1[[#This Row],[UnitPrice]]*product_sales_data__1[[#This Row],[Discount]]</f>
        <v>64.543499999999995</v>
      </c>
    </row>
    <row r="574" spans="1:22" x14ac:dyDescent="0.3">
      <c r="A574" s="1" t="s">
        <v>1692</v>
      </c>
      <c r="B574" s="1" t="s">
        <v>45</v>
      </c>
      <c r="C574" s="1" t="s">
        <v>35</v>
      </c>
      <c r="D574">
        <v>14</v>
      </c>
      <c r="E574" s="4">
        <v>115.98</v>
      </c>
      <c r="F574" s="1" t="s">
        <v>84</v>
      </c>
      <c r="G574" s="1" t="s">
        <v>24</v>
      </c>
      <c r="H574">
        <v>0</v>
      </c>
      <c r="I574" s="1" t="s">
        <v>94</v>
      </c>
      <c r="J574" s="4">
        <v>1623.72</v>
      </c>
      <c r="K574" s="1" t="s">
        <v>38</v>
      </c>
      <c r="L574" s="1" t="s">
        <v>48</v>
      </c>
      <c r="M574">
        <v>0</v>
      </c>
      <c r="N574" s="1" t="s">
        <v>1693</v>
      </c>
      <c r="O574" s="1" t="s">
        <v>1694</v>
      </c>
      <c r="P574" s="4">
        <v>31.85</v>
      </c>
      <c r="Q574" s="2">
        <v>45025</v>
      </c>
      <c r="R574" s="1" t="s">
        <v>850</v>
      </c>
      <c r="S574" s="1" t="s">
        <v>51</v>
      </c>
      <c r="T574" s="1" t="s">
        <v>147</v>
      </c>
      <c r="U574" s="5">
        <f>product_sales_data__1[[#This Row],[TotalPrice]]-product_sales_data__1[[#This Row],[ShippingCost]]</f>
        <v>1591.8700000000001</v>
      </c>
      <c r="V574" s="5">
        <f>product_sales_data__1[[#This Row],[Quantity]]*product_sales_data__1[[#This Row],[UnitPrice]]*product_sales_data__1[[#This Row],[Discount]]</f>
        <v>0</v>
      </c>
    </row>
    <row r="575" spans="1:22" x14ac:dyDescent="0.3">
      <c r="A575" s="1" t="s">
        <v>544</v>
      </c>
      <c r="B575" s="1" t="s">
        <v>54</v>
      </c>
      <c r="C575" s="1" t="s">
        <v>127</v>
      </c>
      <c r="D575">
        <v>8</v>
      </c>
      <c r="E575" s="4">
        <v>236.17</v>
      </c>
      <c r="F575" s="1" t="s">
        <v>36</v>
      </c>
      <c r="G575" s="1" t="s">
        <v>24</v>
      </c>
      <c r="H575">
        <v>0.15</v>
      </c>
      <c r="I575" s="1" t="s">
        <v>56</v>
      </c>
      <c r="J575" s="4">
        <v>1605.96</v>
      </c>
      <c r="K575" s="1" t="s">
        <v>47</v>
      </c>
      <c r="L575" s="1" t="s">
        <v>27</v>
      </c>
      <c r="M575">
        <v>0</v>
      </c>
      <c r="N575" s="1" t="s">
        <v>1695</v>
      </c>
      <c r="O575" s="1" t="s">
        <v>1696</v>
      </c>
      <c r="P575" s="4">
        <v>22.88</v>
      </c>
      <c r="Q575" s="2">
        <v>45605</v>
      </c>
      <c r="R575" s="1" t="s">
        <v>547</v>
      </c>
      <c r="S575" s="1" t="s">
        <v>62</v>
      </c>
      <c r="T575" s="1" t="s">
        <v>43</v>
      </c>
      <c r="U575" s="5">
        <f>product_sales_data__1[[#This Row],[TotalPrice]]-product_sales_data__1[[#This Row],[ShippingCost]]</f>
        <v>1583.08</v>
      </c>
      <c r="V575" s="5">
        <f>product_sales_data__1[[#This Row],[Quantity]]*product_sales_data__1[[#This Row],[UnitPrice]]*product_sales_data__1[[#This Row],[Discount]]</f>
        <v>283.404</v>
      </c>
    </row>
    <row r="576" spans="1:22" x14ac:dyDescent="0.3">
      <c r="A576" s="1" t="s">
        <v>1697</v>
      </c>
      <c r="B576" s="1" t="s">
        <v>54</v>
      </c>
      <c r="C576" s="1" t="s">
        <v>100</v>
      </c>
      <c r="D576">
        <v>3</v>
      </c>
      <c r="E576" s="4">
        <v>304.61</v>
      </c>
      <c r="F576" s="1" t="s">
        <v>23</v>
      </c>
      <c r="G576" s="1" t="s">
        <v>24</v>
      </c>
      <c r="H576">
        <v>0.05</v>
      </c>
      <c r="I576" s="1" t="s">
        <v>94</v>
      </c>
      <c r="J576" s="4">
        <v>868.14</v>
      </c>
      <c r="K576" s="1" t="s">
        <v>47</v>
      </c>
      <c r="L576" s="1" t="s">
        <v>58</v>
      </c>
      <c r="M576">
        <v>0</v>
      </c>
      <c r="N576" s="1" t="s">
        <v>1698</v>
      </c>
      <c r="O576" s="1" t="s">
        <v>1699</v>
      </c>
      <c r="P576" s="4">
        <v>47.14</v>
      </c>
      <c r="Q576" s="2">
        <v>45235</v>
      </c>
      <c r="R576" s="1" t="s">
        <v>705</v>
      </c>
      <c r="S576" s="1" t="s">
        <v>62</v>
      </c>
      <c r="T576" s="1" t="s">
        <v>43</v>
      </c>
      <c r="U576" s="5">
        <f>product_sales_data__1[[#This Row],[TotalPrice]]-product_sales_data__1[[#This Row],[ShippingCost]]</f>
        <v>821</v>
      </c>
      <c r="V576" s="5">
        <f>product_sales_data__1[[#This Row],[Quantity]]*product_sales_data__1[[#This Row],[UnitPrice]]*product_sales_data__1[[#This Row],[Discount]]</f>
        <v>45.691500000000005</v>
      </c>
    </row>
    <row r="577" spans="1:22" x14ac:dyDescent="0.3">
      <c r="A577" s="1" t="s">
        <v>544</v>
      </c>
      <c r="B577" s="1" t="s">
        <v>34</v>
      </c>
      <c r="C577" s="1" t="s">
        <v>109</v>
      </c>
      <c r="D577">
        <v>9</v>
      </c>
      <c r="E577" s="4">
        <v>238.32</v>
      </c>
      <c r="F577" s="1" t="s">
        <v>36</v>
      </c>
      <c r="G577" s="1" t="s">
        <v>37</v>
      </c>
      <c r="H577">
        <v>0</v>
      </c>
      <c r="I577" s="1" t="s">
        <v>78</v>
      </c>
      <c r="J577" s="4">
        <v>2144.88</v>
      </c>
      <c r="K577" s="1" t="s">
        <v>47</v>
      </c>
      <c r="L577" s="1" t="s">
        <v>27</v>
      </c>
      <c r="M577">
        <v>1</v>
      </c>
      <c r="N577" s="1" t="s">
        <v>1700</v>
      </c>
      <c r="O577" s="1" t="s">
        <v>1643</v>
      </c>
      <c r="P577" s="4">
        <v>8.5</v>
      </c>
      <c r="Q577" s="2">
        <v>45605</v>
      </c>
      <c r="R577" s="1" t="s">
        <v>1701</v>
      </c>
      <c r="S577" s="1" t="s">
        <v>42</v>
      </c>
      <c r="T577" s="1" t="s">
        <v>43</v>
      </c>
      <c r="U577" s="5">
        <f>product_sales_data__1[[#This Row],[TotalPrice]]-product_sales_data__1[[#This Row],[ShippingCost]]</f>
        <v>2136.38</v>
      </c>
      <c r="V577" s="5">
        <f>product_sales_data__1[[#This Row],[Quantity]]*product_sales_data__1[[#This Row],[UnitPrice]]*product_sales_data__1[[#This Row],[Discount]]</f>
        <v>0</v>
      </c>
    </row>
    <row r="578" spans="1:22" x14ac:dyDescent="0.3">
      <c r="A578" s="1" t="s">
        <v>1368</v>
      </c>
      <c r="B578" s="1" t="s">
        <v>45</v>
      </c>
      <c r="C578" s="1" t="s">
        <v>35</v>
      </c>
      <c r="D578">
        <v>3</v>
      </c>
      <c r="E578" s="4">
        <v>485.81</v>
      </c>
      <c r="F578" s="1" t="s">
        <v>84</v>
      </c>
      <c r="G578" s="1" t="s">
        <v>24</v>
      </c>
      <c r="H578">
        <v>0.1</v>
      </c>
      <c r="I578" s="1" t="s">
        <v>65</v>
      </c>
      <c r="J578" s="4">
        <v>1311.69</v>
      </c>
      <c r="K578" s="1" t="s">
        <v>38</v>
      </c>
      <c r="L578" s="1" t="s">
        <v>58</v>
      </c>
      <c r="M578">
        <v>0</v>
      </c>
      <c r="N578" s="1" t="s">
        <v>1702</v>
      </c>
      <c r="O578" s="1" t="s">
        <v>1703</v>
      </c>
      <c r="P578" s="4">
        <v>19.46</v>
      </c>
      <c r="Q578" s="2">
        <v>45179</v>
      </c>
      <c r="R578" s="1" t="s">
        <v>224</v>
      </c>
      <c r="S578" s="1" t="s">
        <v>51</v>
      </c>
      <c r="T578" s="1" t="s">
        <v>52</v>
      </c>
      <c r="U578" s="5">
        <f>product_sales_data__1[[#This Row],[TotalPrice]]-product_sales_data__1[[#This Row],[ShippingCost]]</f>
        <v>1292.23</v>
      </c>
      <c r="V578" s="5">
        <f>product_sales_data__1[[#This Row],[Quantity]]*product_sales_data__1[[#This Row],[UnitPrice]]*product_sales_data__1[[#This Row],[Discount]]</f>
        <v>145.74300000000002</v>
      </c>
    </row>
    <row r="579" spans="1:22" x14ac:dyDescent="0.3">
      <c r="A579" s="1" t="s">
        <v>1490</v>
      </c>
      <c r="B579" s="1" t="s">
        <v>70</v>
      </c>
      <c r="C579" s="1" t="s">
        <v>127</v>
      </c>
      <c r="D579">
        <v>2</v>
      </c>
      <c r="E579" s="4">
        <v>373.07</v>
      </c>
      <c r="F579" s="1" t="s">
        <v>84</v>
      </c>
      <c r="G579" s="1" t="s">
        <v>37</v>
      </c>
      <c r="H579">
        <v>0.05</v>
      </c>
      <c r="I579" s="1" t="s">
        <v>78</v>
      </c>
      <c r="J579" s="4">
        <v>708.83</v>
      </c>
      <c r="K579" s="1" t="s">
        <v>101</v>
      </c>
      <c r="L579" s="1" t="s">
        <v>85</v>
      </c>
      <c r="M579">
        <v>0</v>
      </c>
      <c r="N579" s="1" t="s">
        <v>1704</v>
      </c>
      <c r="O579" s="1" t="s">
        <v>1705</v>
      </c>
      <c r="P579" s="4">
        <v>26.9</v>
      </c>
      <c r="Q579" s="2">
        <v>45358</v>
      </c>
      <c r="R579" s="1" t="s">
        <v>217</v>
      </c>
      <c r="S579" s="1" t="s">
        <v>75</v>
      </c>
      <c r="T579" s="1" t="s">
        <v>98</v>
      </c>
      <c r="U579" s="5">
        <f>product_sales_data__1[[#This Row],[TotalPrice]]-product_sales_data__1[[#This Row],[ShippingCost]]</f>
        <v>681.93000000000006</v>
      </c>
      <c r="V579" s="5">
        <f>product_sales_data__1[[#This Row],[Quantity]]*product_sales_data__1[[#This Row],[UnitPrice]]*product_sales_data__1[[#This Row],[Discount]]</f>
        <v>37.307000000000002</v>
      </c>
    </row>
    <row r="580" spans="1:22" x14ac:dyDescent="0.3">
      <c r="A580" s="1" t="s">
        <v>614</v>
      </c>
      <c r="B580" s="1" t="s">
        <v>34</v>
      </c>
      <c r="C580" s="1" t="s">
        <v>35</v>
      </c>
      <c r="D580">
        <v>18</v>
      </c>
      <c r="E580" s="4">
        <v>209.75</v>
      </c>
      <c r="F580" s="1" t="s">
        <v>36</v>
      </c>
      <c r="G580" s="1" t="s">
        <v>24</v>
      </c>
      <c r="H580">
        <v>0.15</v>
      </c>
      <c r="I580" s="1" t="s">
        <v>56</v>
      </c>
      <c r="J580" s="4">
        <v>3209.18</v>
      </c>
      <c r="K580" s="1" t="s">
        <v>38</v>
      </c>
      <c r="L580" s="1" t="s">
        <v>85</v>
      </c>
      <c r="M580">
        <v>0</v>
      </c>
      <c r="N580" s="1" t="s">
        <v>1706</v>
      </c>
      <c r="O580" s="1" t="s">
        <v>1707</v>
      </c>
      <c r="P580" s="4">
        <v>45.93</v>
      </c>
      <c r="Q580" s="2">
        <v>45597</v>
      </c>
      <c r="R580" s="1" t="s">
        <v>1708</v>
      </c>
      <c r="S580" s="1" t="s">
        <v>42</v>
      </c>
      <c r="T580" s="1" t="s">
        <v>43</v>
      </c>
      <c r="U580" s="5">
        <f>product_sales_data__1[[#This Row],[TotalPrice]]-product_sales_data__1[[#This Row],[ShippingCost]]</f>
        <v>3163.25</v>
      </c>
      <c r="V580" s="5">
        <f>product_sales_data__1[[#This Row],[Quantity]]*product_sales_data__1[[#This Row],[UnitPrice]]*product_sales_data__1[[#This Row],[Discount]]</f>
        <v>566.32499999999993</v>
      </c>
    </row>
    <row r="581" spans="1:22" x14ac:dyDescent="0.3">
      <c r="A581" s="1" t="s">
        <v>1113</v>
      </c>
      <c r="B581" s="1" t="s">
        <v>45</v>
      </c>
      <c r="C581" s="1" t="s">
        <v>127</v>
      </c>
      <c r="D581">
        <v>14</v>
      </c>
      <c r="E581" s="4">
        <v>262.67</v>
      </c>
      <c r="F581" s="1" t="s">
        <v>84</v>
      </c>
      <c r="G581" s="1" t="s">
        <v>37</v>
      </c>
      <c r="H581">
        <v>0.05</v>
      </c>
      <c r="I581" s="1" t="s">
        <v>46</v>
      </c>
      <c r="J581" s="4">
        <v>3493.51</v>
      </c>
      <c r="K581" s="1" t="s">
        <v>57</v>
      </c>
      <c r="L581" s="1" t="s">
        <v>58</v>
      </c>
      <c r="M581">
        <v>0</v>
      </c>
      <c r="N581" s="1" t="s">
        <v>1709</v>
      </c>
      <c r="O581" s="1" t="s">
        <v>1710</v>
      </c>
      <c r="P581" s="4">
        <v>24.53</v>
      </c>
      <c r="Q581" s="2">
        <v>45363</v>
      </c>
      <c r="R581" s="1" t="s">
        <v>767</v>
      </c>
      <c r="S581" s="1" t="s">
        <v>51</v>
      </c>
      <c r="T581" s="1" t="s">
        <v>98</v>
      </c>
      <c r="U581" s="5">
        <f>product_sales_data__1[[#This Row],[TotalPrice]]-product_sales_data__1[[#This Row],[ShippingCost]]</f>
        <v>3468.98</v>
      </c>
      <c r="V581" s="5">
        <f>product_sales_data__1[[#This Row],[Quantity]]*product_sales_data__1[[#This Row],[UnitPrice]]*product_sales_data__1[[#This Row],[Discount]]</f>
        <v>183.86900000000003</v>
      </c>
    </row>
    <row r="582" spans="1:22" x14ac:dyDescent="0.3">
      <c r="A582" s="1" t="s">
        <v>639</v>
      </c>
      <c r="B582" s="1" t="s">
        <v>54</v>
      </c>
      <c r="C582" s="1" t="s">
        <v>35</v>
      </c>
      <c r="D582">
        <v>13</v>
      </c>
      <c r="E582" s="4">
        <v>221.39</v>
      </c>
      <c r="F582" s="1" t="s">
        <v>55</v>
      </c>
      <c r="G582" s="1" t="s">
        <v>24</v>
      </c>
      <c r="H582">
        <v>0</v>
      </c>
      <c r="I582" s="1" t="s">
        <v>56</v>
      </c>
      <c r="J582" s="4">
        <v>2878.07</v>
      </c>
      <c r="K582" s="1" t="s">
        <v>38</v>
      </c>
      <c r="L582" s="1" t="s">
        <v>85</v>
      </c>
      <c r="M582">
        <v>1</v>
      </c>
      <c r="N582" s="1" t="s">
        <v>1711</v>
      </c>
      <c r="O582" s="1" t="s">
        <v>1712</v>
      </c>
      <c r="P582" s="4">
        <v>21.05</v>
      </c>
      <c r="Q582" s="2">
        <v>45905</v>
      </c>
      <c r="R582" s="1" t="s">
        <v>1138</v>
      </c>
      <c r="S582" s="1" t="s">
        <v>62</v>
      </c>
      <c r="T582" s="1" t="s">
        <v>52</v>
      </c>
      <c r="U582" s="5">
        <f>product_sales_data__1[[#This Row],[TotalPrice]]-product_sales_data__1[[#This Row],[ShippingCost]]</f>
        <v>2857.02</v>
      </c>
      <c r="V582" s="5">
        <f>product_sales_data__1[[#This Row],[Quantity]]*product_sales_data__1[[#This Row],[UnitPrice]]*product_sales_data__1[[#This Row],[Discount]]</f>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D3835-B3D6-4D42-BEDE-172BE29390E0}">
  <sheetPr>
    <tabColor rgb="FFFFFF00"/>
  </sheetPr>
  <dimension ref="A2:AH268"/>
  <sheetViews>
    <sheetView showGridLines="0" topLeftCell="T1" workbookViewId="0">
      <selection activeCell="F22" sqref="F22"/>
    </sheetView>
  </sheetViews>
  <sheetFormatPr defaultRowHeight="14.4" x14ac:dyDescent="0.3"/>
  <cols>
    <col min="1" max="1" width="9" bestFit="1" customWidth="1"/>
    <col min="2" max="2" width="17.88671875" bestFit="1" customWidth="1"/>
    <col min="3" max="3" width="19.21875" bestFit="1" customWidth="1"/>
    <col min="4" max="4" width="11.77734375" bestFit="1" customWidth="1"/>
    <col min="5" max="5" width="11.109375" bestFit="1" customWidth="1"/>
    <col min="8" max="8" width="12.44140625" bestFit="1" customWidth="1"/>
    <col min="9" max="9" width="10.33203125" bestFit="1" customWidth="1"/>
    <col min="10" max="10" width="4.109375" bestFit="1" customWidth="1"/>
    <col min="11" max="11" width="4.109375" style="9" bestFit="1" customWidth="1"/>
    <col min="12" max="12" width="12.44140625" bestFit="1" customWidth="1"/>
    <col min="13" max="13" width="19.21875" bestFit="1" customWidth="1"/>
    <col min="14" max="14" width="3.6640625" bestFit="1" customWidth="1"/>
    <col min="15" max="15" width="12.44140625" bestFit="1" customWidth="1"/>
    <col min="16" max="16" width="20.5546875" bestFit="1" customWidth="1"/>
    <col min="17" max="17" width="4.21875" bestFit="1" customWidth="1"/>
    <col min="18" max="18" width="12.44140625" bestFit="1" customWidth="1"/>
    <col min="19" max="19" width="11.77734375" bestFit="1" customWidth="1"/>
    <col min="20" max="20" width="4.21875" bestFit="1" customWidth="1"/>
    <col min="21" max="21" width="12.44140625" bestFit="1" customWidth="1"/>
    <col min="22" max="22" width="11.109375" bestFit="1" customWidth="1"/>
    <col min="23" max="24" width="8.33203125" bestFit="1" customWidth="1"/>
    <col min="25" max="25" width="12.44140625" bestFit="1" customWidth="1"/>
    <col min="26" max="26" width="9" bestFit="1" customWidth="1"/>
    <col min="27" max="27" width="10" bestFit="1" customWidth="1"/>
    <col min="28" max="40" width="8.33203125" bestFit="1" customWidth="1"/>
    <col min="41" max="41" width="9.33203125" bestFit="1" customWidth="1"/>
    <col min="42" max="46" width="8.33203125" bestFit="1" customWidth="1"/>
    <col min="47" max="49" width="9.33203125" bestFit="1" customWidth="1"/>
    <col min="50" max="62" width="8.33203125" bestFit="1" customWidth="1"/>
    <col min="63" max="64" width="9.33203125" bestFit="1" customWidth="1"/>
    <col min="65" max="73" width="8.33203125" bestFit="1" customWidth="1"/>
    <col min="74" max="76" width="9.33203125" bestFit="1" customWidth="1"/>
    <col min="77" max="86" width="8.33203125" bestFit="1" customWidth="1"/>
    <col min="87" max="89" width="9.33203125" bestFit="1" customWidth="1"/>
    <col min="90" max="98" width="8.33203125" bestFit="1" customWidth="1"/>
    <col min="99" max="100" width="9.33203125" bestFit="1" customWidth="1"/>
    <col min="101" max="113" width="8.33203125" bestFit="1" customWidth="1"/>
    <col min="114" max="114" width="9.33203125" bestFit="1" customWidth="1"/>
    <col min="115" max="122" width="8.33203125" bestFit="1" customWidth="1"/>
    <col min="123" max="123" width="9.33203125" bestFit="1" customWidth="1"/>
    <col min="124" max="136" width="8.33203125" bestFit="1" customWidth="1"/>
    <col min="137" max="139" width="9.33203125" bestFit="1" customWidth="1"/>
    <col min="140" max="147" width="8.33203125" bestFit="1" customWidth="1"/>
    <col min="148" max="150" width="9.33203125" bestFit="1" customWidth="1"/>
    <col min="151" max="163" width="8.33203125" bestFit="1" customWidth="1"/>
    <col min="164" max="165" width="9.33203125" bestFit="1" customWidth="1"/>
    <col min="166" max="172" width="8.33203125" bestFit="1" customWidth="1"/>
    <col min="173" max="175" width="9.33203125" bestFit="1" customWidth="1"/>
    <col min="176" max="185" width="8.33203125" bestFit="1" customWidth="1"/>
    <col min="186" max="188" width="9.33203125" bestFit="1" customWidth="1"/>
    <col min="189" max="194" width="8.33203125" bestFit="1" customWidth="1"/>
    <col min="195" max="197" width="9.33203125" bestFit="1" customWidth="1"/>
    <col min="198" max="210" width="8.33203125" bestFit="1" customWidth="1"/>
    <col min="211" max="213" width="9.33203125" bestFit="1" customWidth="1"/>
    <col min="214" max="220" width="8.33203125" bestFit="1" customWidth="1"/>
    <col min="221" max="222" width="9.33203125" bestFit="1" customWidth="1"/>
    <col min="223" max="228" width="8.33203125" bestFit="1" customWidth="1"/>
    <col min="229" max="235" width="9.33203125" bestFit="1" customWidth="1"/>
    <col min="236" max="237" width="10.33203125" bestFit="1" customWidth="1"/>
    <col min="238" max="243" width="9.33203125" bestFit="1" customWidth="1"/>
    <col min="244" max="246" width="10.33203125" bestFit="1" customWidth="1"/>
    <col min="247" max="258" width="9.33203125" bestFit="1" customWidth="1"/>
    <col min="259" max="261" width="10.33203125" bestFit="1" customWidth="1"/>
    <col min="262" max="268" width="9.33203125" bestFit="1" customWidth="1"/>
    <col min="269" max="270" width="10.33203125" bestFit="1" customWidth="1"/>
    <col min="271" max="282" width="9.33203125" bestFit="1" customWidth="1"/>
    <col min="283" max="284" width="10.33203125" bestFit="1" customWidth="1"/>
    <col min="285" max="290" width="9.33203125" bestFit="1" customWidth="1"/>
    <col min="291" max="292" width="10.33203125" bestFit="1" customWidth="1"/>
    <col min="293" max="296" width="9.33203125" bestFit="1" customWidth="1"/>
    <col min="297" max="297" width="10.5546875" bestFit="1" customWidth="1"/>
  </cols>
  <sheetData>
    <row r="2" spans="1:34" x14ac:dyDescent="0.3">
      <c r="C2" t="s">
        <v>1725</v>
      </c>
      <c r="H2" t="s">
        <v>1733</v>
      </c>
      <c r="L2" t="s">
        <v>1732</v>
      </c>
      <c r="O2" t="s">
        <v>1731</v>
      </c>
      <c r="R2" t="s">
        <v>1730</v>
      </c>
      <c r="U2" t="s">
        <v>1729</v>
      </c>
    </row>
    <row r="3" spans="1:34" x14ac:dyDescent="0.3">
      <c r="A3" s="9" t="s">
        <v>1715</v>
      </c>
      <c r="B3" s="9" t="s">
        <v>1716</v>
      </c>
      <c r="C3" s="9" t="s">
        <v>1717</v>
      </c>
      <c r="D3" s="9" t="s">
        <v>1718</v>
      </c>
      <c r="E3" s="9" t="s">
        <v>1719</v>
      </c>
      <c r="H3" s="6" t="s">
        <v>1727</v>
      </c>
      <c r="I3" s="5" t="s">
        <v>1715</v>
      </c>
      <c r="L3" s="6" t="s">
        <v>1727</v>
      </c>
      <c r="M3" s="5" t="s">
        <v>1716</v>
      </c>
      <c r="O3" s="6" t="s">
        <v>1727</v>
      </c>
      <c r="P3" s="5" t="s">
        <v>1717</v>
      </c>
      <c r="R3" s="6" t="s">
        <v>1727</v>
      </c>
      <c r="S3" s="3" t="s">
        <v>1718</v>
      </c>
      <c r="U3" s="6" t="s">
        <v>1727</v>
      </c>
      <c r="V3" s="3" t="s">
        <v>1719</v>
      </c>
    </row>
    <row r="4" spans="1:34" x14ac:dyDescent="0.3">
      <c r="A4" s="10">
        <v>1620495.2499999995</v>
      </c>
      <c r="B4" s="10">
        <v>270.6237892451569</v>
      </c>
      <c r="C4" s="10">
        <v>130180.28950000006</v>
      </c>
      <c r="D4" s="1">
        <v>138</v>
      </c>
      <c r="E4" s="1">
        <v>5988</v>
      </c>
      <c r="H4" s="8" t="s">
        <v>187</v>
      </c>
      <c r="I4" s="10">
        <v>115827.00000000003</v>
      </c>
      <c r="L4" s="8" t="s">
        <v>187</v>
      </c>
      <c r="M4" s="5">
        <v>261.46049661399553</v>
      </c>
      <c r="O4" s="8" t="s">
        <v>187</v>
      </c>
      <c r="P4" s="10">
        <v>9109.8310000000001</v>
      </c>
      <c r="R4" s="8" t="s">
        <v>187</v>
      </c>
      <c r="S4" s="3">
        <v>7</v>
      </c>
      <c r="U4" s="8" t="s">
        <v>187</v>
      </c>
      <c r="V4" s="3">
        <v>443</v>
      </c>
      <c r="Y4" s="6" t="s">
        <v>1727</v>
      </c>
      <c r="Z4" s="9" t="s">
        <v>1715</v>
      </c>
      <c r="AA4" s="9" t="s">
        <v>1757</v>
      </c>
      <c r="AD4" s="13" t="s">
        <v>1758</v>
      </c>
      <c r="AE4" s="13" t="s">
        <v>1759</v>
      </c>
      <c r="AF4" s="13" t="s">
        <v>1760</v>
      </c>
      <c r="AG4" s="13" t="s">
        <v>1761</v>
      </c>
      <c r="AH4" s="13" t="s">
        <v>1762</v>
      </c>
    </row>
    <row r="5" spans="1:34" x14ac:dyDescent="0.3">
      <c r="H5" s="8" t="s">
        <v>199</v>
      </c>
      <c r="I5" s="10">
        <v>97212.85</v>
      </c>
      <c r="L5" s="8" t="s">
        <v>199</v>
      </c>
      <c r="M5" s="5">
        <v>259.23426666666666</v>
      </c>
      <c r="O5" s="8" t="s">
        <v>199</v>
      </c>
      <c r="P5" s="10">
        <v>7513.8184999999994</v>
      </c>
      <c r="R5" s="8" t="s">
        <v>199</v>
      </c>
      <c r="S5" s="3">
        <v>12</v>
      </c>
      <c r="U5" s="8" t="s">
        <v>199</v>
      </c>
      <c r="V5" s="3">
        <v>375</v>
      </c>
      <c r="Y5" s="8" t="s">
        <v>35</v>
      </c>
      <c r="Z5" s="10">
        <v>243724.61</v>
      </c>
      <c r="AA5" s="7">
        <v>0.15040131095725215</v>
      </c>
      <c r="AC5" s="8" t="s">
        <v>35</v>
      </c>
      <c r="AD5">
        <v>2</v>
      </c>
      <c r="AE5">
        <v>3</v>
      </c>
      <c r="AF5" s="10">
        <f>VLOOKUP(AC5,$Y$5:$AA$11,2)</f>
        <v>243724.61</v>
      </c>
      <c r="AG5" t="str">
        <f>IF(AF5=MAX($AF$5:$AF$11),AF5,"")</f>
        <v/>
      </c>
      <c r="AH5" s="10">
        <f>IF(AF5=MAX($AF$5:$AF$11),"",AF5)</f>
        <v>243724.61</v>
      </c>
    </row>
    <row r="6" spans="1:34" x14ac:dyDescent="0.3">
      <c r="C6" t="s">
        <v>1726</v>
      </c>
      <c r="H6" s="8" t="s">
        <v>98</v>
      </c>
      <c r="I6" s="10">
        <v>137815.99</v>
      </c>
      <c r="L6" s="8" t="s">
        <v>98</v>
      </c>
      <c r="M6" s="5">
        <v>268.12449416342412</v>
      </c>
      <c r="O6" s="8" t="s">
        <v>98</v>
      </c>
      <c r="P6" s="10">
        <v>11853.527</v>
      </c>
      <c r="R6" s="8" t="s">
        <v>98</v>
      </c>
      <c r="S6" s="3">
        <v>14</v>
      </c>
      <c r="U6" s="8" t="s">
        <v>98</v>
      </c>
      <c r="V6" s="3">
        <v>514</v>
      </c>
      <c r="Y6" s="8" t="s">
        <v>22</v>
      </c>
      <c r="Z6" s="10">
        <v>217960.18</v>
      </c>
      <c r="AA6" s="7">
        <v>0.13450220233598342</v>
      </c>
      <c r="AC6" s="8" t="s">
        <v>22</v>
      </c>
      <c r="AD6">
        <v>4</v>
      </c>
      <c r="AE6">
        <v>9</v>
      </c>
      <c r="AF6" s="10">
        <f t="shared" ref="AF6:AF11" si="0">VLOOKUP(AC6,$Y$5:$AA$11,2)</f>
        <v>217960.18</v>
      </c>
      <c r="AG6" s="9" t="str">
        <f t="shared" ref="AG6:AG11" si="1">IF(AF6=MAX($AF$5:$AF$11),AF6,"")</f>
        <v/>
      </c>
      <c r="AH6" s="10">
        <f t="shared" ref="AH6:AH11" si="2">IF(AF6=MAX($AF$5:$AF$11),"",AF6)</f>
        <v>217960.18</v>
      </c>
    </row>
    <row r="7" spans="1:34" x14ac:dyDescent="0.3">
      <c r="A7" s="9" t="s">
        <v>1720</v>
      </c>
      <c r="B7" s="9" t="s">
        <v>1721</v>
      </c>
      <c r="C7" s="9" t="s">
        <v>1722</v>
      </c>
      <c r="D7" s="9" t="s">
        <v>1723</v>
      </c>
      <c r="E7" s="9" t="s">
        <v>1724</v>
      </c>
      <c r="H7" s="8" t="s">
        <v>147</v>
      </c>
      <c r="I7" s="10">
        <v>123439.34000000001</v>
      </c>
      <c r="L7" s="8" t="s">
        <v>147</v>
      </c>
      <c r="M7" s="5">
        <v>256.6306444906445</v>
      </c>
      <c r="O7" s="8" t="s">
        <v>147</v>
      </c>
      <c r="P7" s="10">
        <v>10138.518</v>
      </c>
      <c r="R7" s="8" t="s">
        <v>147</v>
      </c>
      <c r="S7" s="3">
        <v>7</v>
      </c>
      <c r="U7" s="8" t="s">
        <v>147</v>
      </c>
      <c r="V7" s="3">
        <v>481</v>
      </c>
      <c r="Y7" s="8" t="s">
        <v>100</v>
      </c>
      <c r="Z7" s="10">
        <v>177995.96000000005</v>
      </c>
      <c r="AA7" s="7">
        <v>0.10984047006617273</v>
      </c>
      <c r="AC7" s="8" t="s">
        <v>100</v>
      </c>
      <c r="AD7">
        <v>5</v>
      </c>
      <c r="AE7">
        <v>1</v>
      </c>
      <c r="AF7" s="10">
        <f t="shared" si="0"/>
        <v>177995.96000000005</v>
      </c>
      <c r="AG7" s="9" t="str">
        <f t="shared" si="1"/>
        <v/>
      </c>
      <c r="AH7" s="10">
        <f t="shared" si="2"/>
        <v>177995.96000000005</v>
      </c>
    </row>
    <row r="8" spans="1:34" x14ac:dyDescent="0.3">
      <c r="A8" s="12">
        <v>0.29040648409141107</v>
      </c>
      <c r="B8" s="12">
        <v>-4.6112975921463704E-3</v>
      </c>
      <c r="C8" s="12">
        <v>0.30807471429224487</v>
      </c>
      <c r="D8" s="12">
        <v>0.24324324324324326</v>
      </c>
      <c r="E8" s="12">
        <v>0.29638449880926609</v>
      </c>
      <c r="H8" s="8" t="s">
        <v>63</v>
      </c>
      <c r="I8" s="10">
        <v>187491.91999999995</v>
      </c>
      <c r="L8" s="8" t="s">
        <v>63</v>
      </c>
      <c r="M8" s="5">
        <v>304.86491056910563</v>
      </c>
      <c r="O8" s="8" t="s">
        <v>63</v>
      </c>
      <c r="P8" s="10">
        <v>12672.7845</v>
      </c>
      <c r="R8" s="8" t="s">
        <v>63</v>
      </c>
      <c r="S8" s="3">
        <v>8</v>
      </c>
      <c r="U8" s="8" t="s">
        <v>63</v>
      </c>
      <c r="V8" s="3">
        <v>615</v>
      </c>
      <c r="Y8" s="8" t="s">
        <v>127</v>
      </c>
      <c r="Z8" s="10">
        <v>236635.08</v>
      </c>
      <c r="AA8" s="7">
        <v>0.14602639532574999</v>
      </c>
      <c r="AC8" s="8" t="s">
        <v>127</v>
      </c>
      <c r="AD8">
        <v>1</v>
      </c>
      <c r="AE8">
        <v>6</v>
      </c>
      <c r="AF8" s="10">
        <f t="shared" si="0"/>
        <v>236635.08</v>
      </c>
      <c r="AG8" s="9" t="str">
        <f t="shared" si="1"/>
        <v/>
      </c>
      <c r="AH8" s="10">
        <f t="shared" si="2"/>
        <v>236635.08</v>
      </c>
    </row>
    <row r="9" spans="1:34" x14ac:dyDescent="0.3">
      <c r="H9" s="8" t="s">
        <v>105</v>
      </c>
      <c r="I9" s="10">
        <v>154229.30999999997</v>
      </c>
      <c r="L9" s="8" t="s">
        <v>105</v>
      </c>
      <c r="M9" s="5">
        <v>264.99881443298966</v>
      </c>
      <c r="O9" s="8" t="s">
        <v>105</v>
      </c>
      <c r="P9" s="10">
        <v>14934.978999999998</v>
      </c>
      <c r="R9" s="8" t="s">
        <v>105</v>
      </c>
      <c r="S9" s="3">
        <v>15</v>
      </c>
      <c r="U9" s="8" t="s">
        <v>105</v>
      </c>
      <c r="V9" s="3">
        <v>582</v>
      </c>
      <c r="Y9" s="8" t="s">
        <v>71</v>
      </c>
      <c r="Z9" s="10">
        <v>205375.87000000014</v>
      </c>
      <c r="AA9" s="7">
        <v>0.12673648380024577</v>
      </c>
      <c r="AC9" s="8" t="s">
        <v>71</v>
      </c>
      <c r="AD9">
        <v>7</v>
      </c>
      <c r="AE9">
        <v>2</v>
      </c>
      <c r="AF9" s="10">
        <f t="shared" si="0"/>
        <v>205375.87000000014</v>
      </c>
      <c r="AG9" s="9" t="str">
        <f t="shared" si="1"/>
        <v/>
      </c>
      <c r="AH9" s="10">
        <f t="shared" si="2"/>
        <v>205375.87000000014</v>
      </c>
    </row>
    <row r="10" spans="1:34" x14ac:dyDescent="0.3">
      <c r="A10" s="12">
        <f>A8</f>
        <v>0.29040648409141107</v>
      </c>
      <c r="B10" s="12">
        <f t="shared" ref="B10:E10" si="3">B8</f>
        <v>-4.6112975921463704E-3</v>
      </c>
      <c r="C10" s="12">
        <f t="shared" si="3"/>
        <v>0.30807471429224487</v>
      </c>
      <c r="D10" s="12">
        <f t="shared" si="3"/>
        <v>0.24324324324324326</v>
      </c>
      <c r="E10" s="12">
        <f t="shared" si="3"/>
        <v>0.29638449880926609</v>
      </c>
      <c r="H10" s="8" t="s">
        <v>117</v>
      </c>
      <c r="I10" s="10">
        <v>115548.76999999999</v>
      </c>
      <c r="L10" s="8" t="s">
        <v>117</v>
      </c>
      <c r="M10" s="5">
        <v>296.27889743589742</v>
      </c>
      <c r="O10" s="8" t="s">
        <v>117</v>
      </c>
      <c r="P10" s="10">
        <v>10639.267499999998</v>
      </c>
      <c r="R10" s="8" t="s">
        <v>117</v>
      </c>
      <c r="S10" s="3">
        <v>9</v>
      </c>
      <c r="U10" s="8" t="s">
        <v>117</v>
      </c>
      <c r="V10" s="3">
        <v>390</v>
      </c>
      <c r="Y10" s="8" t="s">
        <v>140</v>
      </c>
      <c r="Z10" s="10">
        <v>248951.75999999995</v>
      </c>
      <c r="AA10" s="7">
        <v>0.15362696064675291</v>
      </c>
      <c r="AC10" s="8" t="s">
        <v>140</v>
      </c>
      <c r="AD10">
        <v>8</v>
      </c>
      <c r="AE10">
        <v>7</v>
      </c>
      <c r="AF10" s="10">
        <f t="shared" si="0"/>
        <v>248951.75999999995</v>
      </c>
      <c r="AG10" s="9" t="str">
        <f t="shared" si="1"/>
        <v/>
      </c>
      <c r="AH10" s="10">
        <f t="shared" si="2"/>
        <v>248951.75999999995</v>
      </c>
    </row>
    <row r="11" spans="1:34" x14ac:dyDescent="0.3">
      <c r="H11" s="8" t="s">
        <v>82</v>
      </c>
      <c r="I11" s="10">
        <v>150923.99</v>
      </c>
      <c r="L11" s="8" t="s">
        <v>82</v>
      </c>
      <c r="M11" s="5">
        <v>237.30187106918237</v>
      </c>
      <c r="O11" s="8" t="s">
        <v>82</v>
      </c>
      <c r="P11" s="10">
        <v>16291.816499999995</v>
      </c>
      <c r="R11" s="8" t="s">
        <v>82</v>
      </c>
      <c r="S11" s="3">
        <v>18</v>
      </c>
      <c r="U11" s="8" t="s">
        <v>82</v>
      </c>
      <c r="V11" s="3">
        <v>636</v>
      </c>
      <c r="Y11" s="8" t="s">
        <v>109</v>
      </c>
      <c r="Z11" s="10">
        <v>289851.7900000001</v>
      </c>
      <c r="AA11" s="7">
        <v>0.17886617686784345</v>
      </c>
      <c r="AC11" s="8" t="s">
        <v>109</v>
      </c>
      <c r="AD11">
        <v>6</v>
      </c>
      <c r="AE11">
        <v>8</v>
      </c>
      <c r="AF11" s="10">
        <f t="shared" si="0"/>
        <v>289851.7900000001</v>
      </c>
      <c r="AG11" s="10">
        <f t="shared" si="1"/>
        <v>289851.7900000001</v>
      </c>
      <c r="AH11" s="10" t="str">
        <f t="shared" si="2"/>
        <v/>
      </c>
    </row>
    <row r="12" spans="1:34" x14ac:dyDescent="0.3">
      <c r="H12" s="8" t="s">
        <v>52</v>
      </c>
      <c r="I12" s="10">
        <v>122744.42000000003</v>
      </c>
      <c r="L12" s="8" t="s">
        <v>52</v>
      </c>
      <c r="M12" s="5">
        <v>263.40004291845497</v>
      </c>
      <c r="O12" s="8" t="s">
        <v>52</v>
      </c>
      <c r="P12" s="10">
        <v>7645.6760000000013</v>
      </c>
      <c r="R12" s="8" t="s">
        <v>52</v>
      </c>
      <c r="S12" s="3">
        <v>8</v>
      </c>
      <c r="U12" s="8" t="s">
        <v>52</v>
      </c>
      <c r="V12" s="3">
        <v>466</v>
      </c>
      <c r="Y12" s="8" t="s">
        <v>1728</v>
      </c>
      <c r="Z12" s="10">
        <v>1620495.2499999995</v>
      </c>
      <c r="AA12" s="7">
        <v>1</v>
      </c>
      <c r="AG12" s="10"/>
    </row>
    <row r="13" spans="1:34" x14ac:dyDescent="0.3">
      <c r="H13" s="8" t="s">
        <v>32</v>
      </c>
      <c r="I13" s="10">
        <v>137758.70999999996</v>
      </c>
      <c r="L13" s="8" t="s">
        <v>32</v>
      </c>
      <c r="M13" s="5">
        <v>289.40905462184867</v>
      </c>
      <c r="O13" s="8" t="s">
        <v>32</v>
      </c>
      <c r="P13" s="10">
        <v>8017.9929999999995</v>
      </c>
      <c r="R13" s="8" t="s">
        <v>32</v>
      </c>
      <c r="S13" s="3">
        <v>10</v>
      </c>
      <c r="U13" s="8" t="s">
        <v>32</v>
      </c>
      <c r="V13" s="3">
        <v>476</v>
      </c>
      <c r="AG13" s="10"/>
    </row>
    <row r="14" spans="1:34" x14ac:dyDescent="0.3">
      <c r="H14" s="8" t="s">
        <v>43</v>
      </c>
      <c r="I14" s="10">
        <v>171602.27</v>
      </c>
      <c r="L14" s="8" t="s">
        <v>43</v>
      </c>
      <c r="M14" s="5">
        <v>261.19066971080667</v>
      </c>
      <c r="O14" s="8" t="s">
        <v>43</v>
      </c>
      <c r="P14" s="10">
        <v>11955.857000000002</v>
      </c>
      <c r="R14" s="8" t="s">
        <v>43</v>
      </c>
      <c r="S14" s="3">
        <v>16</v>
      </c>
      <c r="U14" s="8" t="s">
        <v>43</v>
      </c>
      <c r="V14" s="3">
        <v>657</v>
      </c>
      <c r="AG14" s="10"/>
    </row>
    <row r="15" spans="1:34" x14ac:dyDescent="0.3">
      <c r="H15" s="8" t="s">
        <v>76</v>
      </c>
      <c r="I15" s="10">
        <v>105900.68</v>
      </c>
      <c r="L15" s="8" t="s">
        <v>76</v>
      </c>
      <c r="M15" s="5">
        <v>300.00192634560904</v>
      </c>
      <c r="O15" s="8" t="s">
        <v>76</v>
      </c>
      <c r="P15" s="10">
        <v>9406.2215000000015</v>
      </c>
      <c r="R15" s="8" t="s">
        <v>76</v>
      </c>
      <c r="S15" s="3">
        <v>14</v>
      </c>
      <c r="U15" s="8" t="s">
        <v>76</v>
      </c>
      <c r="V15" s="3">
        <v>353</v>
      </c>
      <c r="Y15" t="str">
        <f>Y5</f>
        <v>Chair</v>
      </c>
      <c r="AG15" s="10"/>
    </row>
    <row r="16" spans="1:34" x14ac:dyDescent="0.3">
      <c r="H16" s="8" t="s">
        <v>1728</v>
      </c>
      <c r="I16" s="10">
        <v>1620495.2499999995</v>
      </c>
      <c r="L16" s="8" t="s">
        <v>1728</v>
      </c>
      <c r="M16" s="5">
        <v>270.6237892451569</v>
      </c>
      <c r="O16" s="8" t="s">
        <v>1728</v>
      </c>
      <c r="P16" s="10">
        <v>130180.28950000006</v>
      </c>
      <c r="R16" s="8" t="s">
        <v>1728</v>
      </c>
      <c r="S16" s="3">
        <v>138</v>
      </c>
      <c r="U16" s="8" t="s">
        <v>1728</v>
      </c>
      <c r="V16" s="3">
        <v>5988</v>
      </c>
      <c r="Y16" s="9" t="str">
        <f t="shared" ref="Y16:Y21" si="4">Y6</f>
        <v>Desk</v>
      </c>
      <c r="AG16" s="10"/>
    </row>
    <row r="17" spans="8:33" x14ac:dyDescent="0.3">
      <c r="Y17" s="9" t="str">
        <f t="shared" si="4"/>
        <v>Laptop</v>
      </c>
      <c r="AG17" s="10"/>
    </row>
    <row r="18" spans="8:33" x14ac:dyDescent="0.3">
      <c r="Y18" s="9" t="str">
        <f t="shared" si="4"/>
        <v>Monitor</v>
      </c>
    </row>
    <row r="19" spans="8:33" x14ac:dyDescent="0.3">
      <c r="H19" s="8" t="s">
        <v>1763</v>
      </c>
      <c r="L19" s="8" t="s">
        <v>1766</v>
      </c>
      <c r="O19" s="8" t="s">
        <v>1767</v>
      </c>
      <c r="Y19" s="9" t="str">
        <f t="shared" si="4"/>
        <v>Phone</v>
      </c>
    </row>
    <row r="20" spans="8:33" x14ac:dyDescent="0.3">
      <c r="H20" s="6" t="s">
        <v>1727</v>
      </c>
      <c r="I20" s="5" t="s">
        <v>1715</v>
      </c>
      <c r="L20" s="6" t="s">
        <v>1727</v>
      </c>
      <c r="M20" s="5" t="s">
        <v>1715</v>
      </c>
      <c r="O20" s="6" t="s">
        <v>1727</v>
      </c>
      <c r="P20" s="5" t="s">
        <v>1715</v>
      </c>
      <c r="R20" t="s">
        <v>1760</v>
      </c>
      <c r="S20" s="10">
        <f>A4</f>
        <v>1620495.2499999995</v>
      </c>
      <c r="Y20" s="9" t="str">
        <f>Y10</f>
        <v>Printer</v>
      </c>
    </row>
    <row r="21" spans="8:33" x14ac:dyDescent="0.3">
      <c r="H21" s="8" t="s">
        <v>37</v>
      </c>
      <c r="I21" s="7">
        <v>0.52267751479061764</v>
      </c>
      <c r="J21" s="7">
        <f>MAX(I21:I22)</f>
        <v>0.52267751479061764</v>
      </c>
      <c r="K21" s="7" t="str">
        <f>_xlfn.XLOOKUP(J21,I21:I22,H21:H22,"",0)</f>
        <v>Retail</v>
      </c>
      <c r="L21" s="8" t="s">
        <v>45</v>
      </c>
      <c r="M21" s="10">
        <v>340256.08</v>
      </c>
      <c r="O21" s="8" t="s">
        <v>25</v>
      </c>
      <c r="P21" s="10">
        <v>316004.03999999998</v>
      </c>
      <c r="R21" t="s">
        <v>1771</v>
      </c>
      <c r="S21" s="10">
        <f>B4</f>
        <v>270.6237892451569</v>
      </c>
      <c r="Y21" s="9" t="str">
        <f t="shared" si="4"/>
        <v>Tablet</v>
      </c>
    </row>
    <row r="22" spans="8:33" x14ac:dyDescent="0.3">
      <c r="H22" s="8" t="s">
        <v>24</v>
      </c>
      <c r="I22" s="7">
        <v>0.47732248520938286</v>
      </c>
      <c r="L22" s="8" t="s">
        <v>70</v>
      </c>
      <c r="M22" s="10">
        <v>349884.78000000009</v>
      </c>
      <c r="O22" s="8" t="s">
        <v>94</v>
      </c>
      <c r="P22" s="10">
        <v>265496.41000000009</v>
      </c>
      <c r="R22" t="s">
        <v>1717</v>
      </c>
      <c r="S22" s="10">
        <f>C4</f>
        <v>130180.28950000006</v>
      </c>
    </row>
    <row r="23" spans="8:33" x14ac:dyDescent="0.3">
      <c r="H23" s="8" t="s">
        <v>1728</v>
      </c>
      <c r="I23" s="7">
        <v>1</v>
      </c>
      <c r="L23" s="8" t="s">
        <v>21</v>
      </c>
      <c r="M23" s="10">
        <v>368533.50999999995</v>
      </c>
      <c r="O23" s="8" t="s">
        <v>46</v>
      </c>
      <c r="P23" s="10">
        <v>216470.54000000004</v>
      </c>
      <c r="R23" t="s">
        <v>1718</v>
      </c>
      <c r="S23">
        <f>D4</f>
        <v>138</v>
      </c>
    </row>
    <row r="24" spans="8:33" x14ac:dyDescent="0.3">
      <c r="L24" s="8" t="s">
        <v>34</v>
      </c>
      <c r="M24" s="10">
        <v>274445.12000000011</v>
      </c>
      <c r="O24" s="8" t="s">
        <v>78</v>
      </c>
      <c r="P24" s="10">
        <v>255374.44000000006</v>
      </c>
      <c r="R24" t="s">
        <v>1719</v>
      </c>
      <c r="S24">
        <f>E4</f>
        <v>5988</v>
      </c>
    </row>
    <row r="25" spans="8:33" x14ac:dyDescent="0.3">
      <c r="L25" s="8" t="s">
        <v>54</v>
      </c>
      <c r="M25" s="10">
        <v>287375.76</v>
      </c>
      <c r="O25" s="8" t="s">
        <v>65</v>
      </c>
      <c r="P25" s="10">
        <v>317211.53999999992</v>
      </c>
    </row>
    <row r="26" spans="8:33" x14ac:dyDescent="0.3">
      <c r="H26" s="8" t="s">
        <v>1765</v>
      </c>
      <c r="L26" s="8" t="s">
        <v>1728</v>
      </c>
      <c r="M26" s="10">
        <v>1620495.2499999995</v>
      </c>
      <c r="O26" s="8" t="s">
        <v>56</v>
      </c>
      <c r="P26" s="10">
        <v>249938.28</v>
      </c>
    </row>
    <row r="27" spans="8:33" x14ac:dyDescent="0.3">
      <c r="H27" s="6" t="s">
        <v>1727</v>
      </c>
      <c r="I27" s="5" t="s">
        <v>1715</v>
      </c>
      <c r="O27" s="8" t="s">
        <v>1728</v>
      </c>
      <c r="P27" s="10">
        <v>1620495.2499999995</v>
      </c>
    </row>
    <row r="28" spans="8:33" x14ac:dyDescent="0.3">
      <c r="H28" s="8" t="s">
        <v>47</v>
      </c>
      <c r="I28" s="10">
        <v>374687.01000000007</v>
      </c>
      <c r="L28" s="8" t="s">
        <v>1768</v>
      </c>
    </row>
    <row r="29" spans="8:33" x14ac:dyDescent="0.3">
      <c r="H29" s="8" t="s">
        <v>26</v>
      </c>
      <c r="I29" s="10">
        <v>357579.45</v>
      </c>
      <c r="L29" s="6" t="s">
        <v>1727</v>
      </c>
      <c r="M29" s="5" t="s">
        <v>1715</v>
      </c>
    </row>
    <row r="30" spans="8:33" x14ac:dyDescent="0.3">
      <c r="H30" s="8" t="s">
        <v>101</v>
      </c>
      <c r="I30" s="10">
        <v>320292.57999999996</v>
      </c>
      <c r="L30" s="8" t="s">
        <v>31</v>
      </c>
      <c r="M30" s="10">
        <v>368533.50999999995</v>
      </c>
    </row>
    <row r="31" spans="8:33" x14ac:dyDescent="0.3">
      <c r="H31" s="8" t="s">
        <v>57</v>
      </c>
      <c r="I31" s="10">
        <v>286864.21000000002</v>
      </c>
      <c r="L31" s="8" t="s">
        <v>75</v>
      </c>
      <c r="M31" s="10">
        <v>349884.78000000009</v>
      </c>
    </row>
    <row r="32" spans="8:33" x14ac:dyDescent="0.3">
      <c r="H32" s="8" t="s">
        <v>38</v>
      </c>
      <c r="I32" s="10">
        <v>281071.99999999994</v>
      </c>
      <c r="L32" s="8" t="s">
        <v>51</v>
      </c>
      <c r="M32" s="10">
        <v>340256.08</v>
      </c>
    </row>
    <row r="33" spans="8:13" x14ac:dyDescent="0.3">
      <c r="H33" s="8" t="s">
        <v>1728</v>
      </c>
      <c r="I33" s="10">
        <v>1620495.2499999995</v>
      </c>
      <c r="L33" s="8" t="s">
        <v>62</v>
      </c>
      <c r="M33" s="10">
        <v>287375.76</v>
      </c>
    </row>
    <row r="34" spans="8:13" x14ac:dyDescent="0.3">
      <c r="L34" s="8" t="s">
        <v>42</v>
      </c>
      <c r="M34" s="10">
        <v>274445.12000000011</v>
      </c>
    </row>
    <row r="35" spans="8:13" x14ac:dyDescent="0.3">
      <c r="L35" s="8" t="s">
        <v>1728</v>
      </c>
      <c r="M35" s="10">
        <v>1620495.2499999995</v>
      </c>
    </row>
    <row r="36" spans="8:13" x14ac:dyDescent="0.3">
      <c r="H36" s="8" t="s">
        <v>1772</v>
      </c>
    </row>
    <row r="37" spans="8:13" x14ac:dyDescent="0.3">
      <c r="H37" s="6" t="s">
        <v>1727</v>
      </c>
    </row>
    <row r="38" spans="8:13" x14ac:dyDescent="0.3">
      <c r="H38" s="8" t="s">
        <v>84</v>
      </c>
    </row>
    <row r="39" spans="8:13" x14ac:dyDescent="0.3">
      <c r="H39" s="8" t="s">
        <v>23</v>
      </c>
    </row>
    <row r="40" spans="8:13" x14ac:dyDescent="0.3">
      <c r="H40" s="8" t="s">
        <v>36</v>
      </c>
    </row>
    <row r="41" spans="8:13" x14ac:dyDescent="0.3">
      <c r="H41" s="8" t="s">
        <v>55</v>
      </c>
    </row>
    <row r="42" spans="8:13" x14ac:dyDescent="0.3">
      <c r="H42" s="8" t="s">
        <v>1728</v>
      </c>
    </row>
    <row r="44" spans="8:13" x14ac:dyDescent="0.3">
      <c r="H44" s="6" t="s">
        <v>1727</v>
      </c>
      <c r="K44"/>
    </row>
    <row r="45" spans="8:13" x14ac:dyDescent="0.3">
      <c r="H45" s="8" t="s">
        <v>1773</v>
      </c>
      <c r="K45"/>
    </row>
    <row r="46" spans="8:13" x14ac:dyDescent="0.3">
      <c r="H46" s="8" t="s">
        <v>1774</v>
      </c>
      <c r="K46"/>
    </row>
    <row r="47" spans="8:13" x14ac:dyDescent="0.3">
      <c r="H47" s="8" t="s">
        <v>1775</v>
      </c>
      <c r="K47"/>
    </row>
    <row r="48" spans="8:13" x14ac:dyDescent="0.3">
      <c r="H48" s="8" t="s">
        <v>1728</v>
      </c>
      <c r="K48"/>
    </row>
    <row r="49" spans="11:11" x14ac:dyDescent="0.3">
      <c r="K49"/>
    </row>
    <row r="50" spans="11:11" x14ac:dyDescent="0.3">
      <c r="K50"/>
    </row>
    <row r="51" spans="11:11" x14ac:dyDescent="0.3">
      <c r="K51"/>
    </row>
    <row r="52" spans="11:11" x14ac:dyDescent="0.3">
      <c r="K52"/>
    </row>
    <row r="53" spans="11:11" x14ac:dyDescent="0.3">
      <c r="K53"/>
    </row>
    <row r="268" spans="4:4" x14ac:dyDescent="0.3">
      <c r="D268" t="e" vm="1">
        <v>#VALUE!</v>
      </c>
    </row>
  </sheetData>
  <pageMargins left="0.7" right="0.7" top="0.75" bottom="0.75" header="0.3" footer="0.3"/>
  <drawing r:id="rId16"/>
  <extLst>
    <ext xmlns:x15="http://schemas.microsoft.com/office/spreadsheetml/2010/11/main" uri="{7E03D99C-DC04-49d9-9315-930204A7B6E9}">
      <x15:timelineRefs>
        <x15:timelineRef r:id="rId17"/>
      </x15:timelineRef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9584-2513-48D8-8E61-9A37672A61B9}">
  <sheetPr>
    <tabColor theme="9" tint="0.39997558519241921"/>
  </sheetPr>
  <dimension ref="J5:S12"/>
  <sheetViews>
    <sheetView showGridLines="0" showRowColHeaders="0" tabSelected="1" zoomScaleNormal="100" workbookViewId="0">
      <selection activeCell="V4" sqref="V4"/>
    </sheetView>
  </sheetViews>
  <sheetFormatPr defaultRowHeight="14.4" x14ac:dyDescent="0.3"/>
  <cols>
    <col min="1" max="16384" width="8.88671875" style="14"/>
  </cols>
  <sheetData>
    <row r="5" spans="10:19" x14ac:dyDescent="0.3">
      <c r="S5" s="14" t="s">
        <v>1770</v>
      </c>
    </row>
    <row r="12" spans="10:19" x14ac:dyDescent="0.3">
      <c r="J12" s="14" t="s">
        <v>1769</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185DE8-986B-4D1F-950C-A169D3500A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Sheet4</vt:lpstr>
      <vt:lpstr>product-sales-data (1)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Kolawole</dc:creator>
  <cp:lastModifiedBy>Emmanuel Kolawole</cp:lastModifiedBy>
  <dcterms:created xsi:type="dcterms:W3CDTF">2026-03-01T05:28:39Z</dcterms:created>
  <dcterms:modified xsi:type="dcterms:W3CDTF">2026-03-03T04:27:44Z</dcterms:modified>
</cp:coreProperties>
</file>