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7D85A9F6-5891-47B4-96E1-A46DD54BBD21}" xr6:coauthVersionLast="47" xr6:coauthVersionMax="47" xr10:uidLastSave="{00000000-0000-0000-0000-000000000000}"/>
  <bookViews>
    <workbookView xWindow="-108" yWindow="-108" windowWidth="23256" windowHeight="12456" activeTab="3" xr2:uid="{BCE64C4F-A7B2-411A-A9BF-D7BB2C6F11BB}"/>
  </bookViews>
  <sheets>
    <sheet name="Data" sheetId="1" r:id="rId1"/>
    <sheet name="Analysis" sheetId="2" r:id="rId2"/>
    <sheet name="Dashboard" sheetId="3" r:id="rId3"/>
    <sheet name="Dashboard (2)" sheetId="4" r:id="rId4"/>
  </sheets>
  <definedNames>
    <definedName name="_xlchart.v5.0" hidden="1">Analysis!$K$68</definedName>
    <definedName name="_xlchart.v5.1" hidden="1">Analysis!$K$69:$K$73</definedName>
    <definedName name="_xlchart.v5.2" hidden="1">Analysis!$L$68</definedName>
    <definedName name="_xlchart.v5.3" hidden="1">Analysis!$L$69:$L$73</definedName>
    <definedName name="_xlchart.v5.4" hidden="1">Analysis!$K$68</definedName>
    <definedName name="_xlchart.v5.5" hidden="1">Analysis!$K$69:$K$73</definedName>
    <definedName name="_xlchart.v5.6" hidden="1">Analysis!$L$68</definedName>
    <definedName name="_xlchart.v5.7" hidden="1">Analysis!$L$69:$L$73</definedName>
    <definedName name="Customers">Analysis!$G$6</definedName>
    <definedName name="HIGHESTREGION">Analysis!$L$51</definedName>
    <definedName name="MAXREGION">Analysis!$M$51</definedName>
    <definedName name="Profit">Analysis!$G$5</definedName>
    <definedName name="Sales">Analysis!$G$4</definedName>
    <definedName name="Slicer_Quarter">#N/A</definedName>
    <definedName name="Target">Analysis!$G$7</definedName>
  </definedNames>
  <calcPr calcId="191029"/>
  <pivotCaches>
    <pivotCache cacheId="33"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9" i="2" l="1" a="1"/>
  <c r="K69" i="2" s="1"/>
  <c r="L51" i="2"/>
  <c r="M51"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2" i="1"/>
  <c r="G18" i="2"/>
  <c r="G15" i="2"/>
  <c r="G12" i="2"/>
  <c r="G7" i="2"/>
  <c r="G6" i="2"/>
  <c r="G5" i="2"/>
  <c r="G4" i="2"/>
  <c r="G21" i="2" l="1"/>
  <c r="G22" i="2" s="1"/>
  <c r="G13" i="2"/>
  <c r="G16" i="2"/>
  <c r="G19"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<sst xmlns="http://schemas.openxmlformats.org/spreadsheetml/2006/main" count="286" uniqueCount="71">
  <si>
    <t>Date</t>
  </si>
  <si>
    <t>Region</t>
  </si>
  <si>
    <t>Sales</t>
  </si>
  <si>
    <t>Profit</t>
  </si>
  <si>
    <t>Target Sales</t>
  </si>
  <si>
    <t>No of Customers</t>
  </si>
  <si>
    <t>Sales Completion Rate</t>
  </si>
  <si>
    <t>Profit Completion Rate</t>
  </si>
  <si>
    <t>Customer Completion Rate</t>
  </si>
  <si>
    <t>Country</t>
  </si>
  <si>
    <t>Customer Satisfaction</t>
  </si>
  <si>
    <t>Score</t>
  </si>
  <si>
    <t>East</t>
  </si>
  <si>
    <t>Argentina</t>
  </si>
  <si>
    <t>Speed</t>
  </si>
  <si>
    <t>West</t>
  </si>
  <si>
    <t>Colombia</t>
  </si>
  <si>
    <t>Quality</t>
  </si>
  <si>
    <t>South</t>
  </si>
  <si>
    <t>Brazil</t>
  </si>
  <si>
    <t>Hygiene</t>
  </si>
  <si>
    <t>Ecuador</t>
  </si>
  <si>
    <t>Peru</t>
  </si>
  <si>
    <t>Service</t>
  </si>
  <si>
    <t>North</t>
  </si>
  <si>
    <t>Availability</t>
  </si>
  <si>
    <t>Months</t>
  </si>
  <si>
    <t>Quarter</t>
  </si>
  <si>
    <t>Number</t>
  </si>
  <si>
    <t>Sum of Sales</t>
  </si>
  <si>
    <t>Sum of Target Sales</t>
  </si>
  <si>
    <t>Sum of Profit</t>
  </si>
  <si>
    <t>Sum of No of Customers</t>
  </si>
  <si>
    <t>Count of No of Customers</t>
  </si>
  <si>
    <t>KPI</t>
  </si>
  <si>
    <t>SALES</t>
  </si>
  <si>
    <t>CUSTOMERS</t>
  </si>
  <si>
    <t>TARGET</t>
  </si>
  <si>
    <t>Row Labels</t>
  </si>
  <si>
    <t>Grand Total</t>
  </si>
  <si>
    <t>Average of Customer Completion Rate</t>
  </si>
  <si>
    <t>Average of Profit Completion Rate</t>
  </si>
  <si>
    <t>Average of Sales Completion Rate</t>
  </si>
  <si>
    <t>COMPLETION RATE</t>
  </si>
  <si>
    <t>SALES CR</t>
  </si>
  <si>
    <t>PROFIT CR</t>
  </si>
  <si>
    <t>CUSTOMER CR</t>
  </si>
  <si>
    <t>TARGET CR</t>
  </si>
  <si>
    <t>SALES VS TARGET</t>
  </si>
  <si>
    <t>Jan</t>
  </si>
  <si>
    <t>Feb</t>
  </si>
  <si>
    <t>Mar</t>
  </si>
  <si>
    <t>Apr</t>
  </si>
  <si>
    <t>May</t>
  </si>
  <si>
    <t>Jun</t>
  </si>
  <si>
    <t>Jul</t>
  </si>
  <si>
    <t>Aug</t>
  </si>
  <si>
    <t>Sep</t>
  </si>
  <si>
    <t>Oct</t>
  </si>
  <si>
    <t>Nov</t>
  </si>
  <si>
    <t>Dec</t>
  </si>
  <si>
    <t>CUSTOMERS BY MONTH</t>
  </si>
  <si>
    <t>SALES BY REGION</t>
  </si>
  <si>
    <t>Sum of Score</t>
  </si>
  <si>
    <t>CUSTOMER EXPERIENCE</t>
  </si>
  <si>
    <t>SALES BY COUNTRY</t>
  </si>
  <si>
    <t>Average of Number</t>
  </si>
  <si>
    <t>PROFIT</t>
  </si>
  <si>
    <t>Sale</t>
  </si>
  <si>
    <t xml:space="preserve"> Target Sales</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</si>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</sst>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7" formatCode="_([$$-409]* #,##0_);_([$$-409]* \(#,##0\);_([$$-409]* &quot;-&quot;??_);_(@_)"/>
    <numFmt numFmtId="170" formatCode="_(&quot;$&quot;* #,##0_);_(&quot;$&quot;* \(#,##0\);_(&quot;$&quot;* &quot;-&quot;??_);_(@_)"/>
    <numFmt numFmtId="178" formatCode="&quot;$&quot;0,\ &quot;K&quot;"/>
  </numFmts>
  <fonts count="2" x14ac:knownFonts="1">
    <font>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CCCBC8"/>
        <bgColor indexed="64"/>
      </patternFill>
    </fill>
    <fill>
      <patternFill patternType="solid">
        <fgColor rgb="FFC9D6DF"/>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applyNumberFormat="1"/>
    <xf numFmtId="167" fontId="0" fillId="0" borderId="0" xfId="0" applyNumberFormat="1"/>
    <xf numFmtId="0" fontId="0" fillId="0" borderId="0" xfId="0" pivotButton="1"/>
    <xf numFmtId="0" fontId="0" fillId="0" borderId="0" xfId="0" applyAlignment="1">
      <alignment horizontal="left"/>
    </xf>
    <xf numFmtId="9" fontId="0" fillId="0" borderId="0" xfId="1" applyFont="1"/>
    <xf numFmtId="44" fontId="0" fillId="0" borderId="0" xfId="0" applyNumberFormat="1"/>
    <xf numFmtId="170" fontId="0" fillId="0" borderId="0" xfId="0" applyNumberFormat="1"/>
    <xf numFmtId="10" fontId="0" fillId="0" borderId="0" xfId="0" applyNumberFormat="1"/>
    <xf numFmtId="9" fontId="0" fillId="0" borderId="0" xfId="0" applyNumberFormat="1"/>
    <xf numFmtId="0" fontId="0" fillId="2" borderId="0" xfId="0" applyFill="1"/>
    <xf numFmtId="178" fontId="0" fillId="0" borderId="0" xfId="0" applyNumberFormat="1"/>
    <xf numFmtId="0" fontId="0" fillId="3" borderId="0" xfId="0" applyFill="1"/>
  </cellXfs>
  <cellStyles count="2">
    <cellStyle name="Normal" xfId="0" builtinId="0"/>
    <cellStyle name="Percent" xfId="1" builtinId="5"/>
  </cellStyles>
  <dxfs count="151">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numFmt numFmtId="170" formatCode="_(&quot;$&quot;* #,##0_);_(&quot;$&quot;* \(#,##0\);_(&quot;$&quot;* &quot;-&quot;??_);_(@_)"/>
    </dxf>
    <dxf>
      <numFmt numFmtId="13" formatCode="0%"/>
    </dxf>
    <dxf>
      <numFmt numFmtId="34" formatCode="_(&quot;$&quot;* #,##0.00_);_(&quot;$&quot;* \(#,##0.00\);_(&quot;$&quot;* &quot;-&quot;??_);_(@_)"/>
    </dxf>
    <dxf>
      <numFmt numFmtId="170" formatCode="_(&quot;$&quot;* #,##0_);_(&quot;$&quot;* \(#,##0\);_(&quot;$&quot;* &quot;-&quot;??_);_(@_)"/>
    </dxf>
    <dxf>
      <numFmt numFmtId="170" formatCode="_(&quot;$&quot;* #,##0_);_(&quot;$&quot;* \(#,##0\);_(&quot;$&quot;* &quot;-&quot;??_);_(@_)"/>
    </dxf>
    <dxf>
      <numFmt numFmtId="32" formatCode="_(&quot;$&quot;* #,##0_);_(&quot;$&quot;* \(#,##0\);_(&quot;$&quot;* &quot;-&quot;_);_(@_)"/>
    </dxf>
    <dxf>
      <numFmt numFmtId="178" formatCode="&quot;$&quot;0,\ &quot;K&quot;"/>
    </dxf>
    <dxf>
      <numFmt numFmtId="167" formatCode="_([$$-409]* #,##0_);_([$$-409]* \(#,##0\);_([$$-409]* &quot;-&quot;??_);_(@_)"/>
    </dxf>
    <dxf>
      <numFmt numFmtId="167" formatCode="_([$$-409]* #,##0_);_([$$-409]* \(#,##0\);_([$$-409]* &quot;-&quot;??_);_(@_)"/>
    </dxf>
    <dxf>
      <numFmt numFmtId="167" formatCode="_([$$-409]* #,##0_);_([$$-409]* \(#,##0\);_([$$-409]* &quot;-&quot;??_);_(@_)"/>
    </dxf>
    <dxf>
      <font>
        <b/>
        <color theme="1"/>
      </font>
      <border>
        <bottom style="thin">
          <color theme="0" tint="-0.34998626667073579"/>
        </bottom>
        <vertical/>
        <horizontal/>
      </border>
    </dxf>
    <dxf>
      <font>
        <color theme="1"/>
      </font>
      <border diagonalUp="0" diagonalDown="0">
        <left/>
        <right/>
        <top/>
        <bottom/>
        <vertical/>
        <horizontal/>
      </border>
    </dxf>
    <dxf>
      <font>
        <b/>
        <color theme="1"/>
      </font>
      <border diagonalUp="0" diagonalDown="0">
        <left/>
        <right/>
        <top/>
        <bottom/>
        <vertical/>
        <horizontal/>
      </border>
    </dxf>
    <dxf>
      <font>
        <color theme="1"/>
      </font>
      <border diagonalUp="0" diagonalDown="0">
        <left/>
        <right/>
        <top/>
        <bottom/>
        <vertical/>
        <horizontal/>
      </border>
    </dxf>
    <dxf>
      <font>
        <b/>
        <color theme="1"/>
      </font>
      <border>
        <bottom style="thin">
          <color theme="0" tint="-0.34998626667073579"/>
        </bottom>
        <vertical/>
        <horizontal/>
      </border>
    </dxf>
    <dxf>
      <font>
        <color theme="1"/>
      </font>
      <border diagonalUp="0" diagonalDown="0">
        <left/>
        <right/>
        <top/>
        <bottom/>
        <vertical/>
        <horizontal/>
      </border>
    </dxf>
    <dxf>
      <font>
        <b/>
        <color theme="1"/>
      </font>
      <border>
        <bottom style="thin">
          <color theme="0" tint="-0.34998626667073579"/>
        </bottom>
        <vertical/>
        <horizontal/>
      </border>
    </dxf>
    <dxf>
      <font>
        <color theme="1"/>
      </font>
      <border diagonalUp="0" diagonalDown="0">
        <left/>
        <right/>
        <top/>
        <bottom/>
        <vertical/>
        <horizontal/>
      </border>
    </dxf>
    <dxf>
      <numFmt numFmtId="178" formatCode="&quot;$&quot;0,\ &quot;K&quot;"/>
    </dxf>
    <dxf>
      <numFmt numFmtId="32" formatCode="_(&quot;$&quot;* #,##0_);_(&quot;$&quot;* \(#,##0\);_(&quot;$&quot;* &quot;-&quot;_);_(@_)"/>
    </dxf>
    <dxf>
      <numFmt numFmtId="170" formatCode="_(&quot;$&quot;* #,##0_);_(&quot;$&quot;* \(#,##0\);_(&quot;$&quot;* &quot;-&quot;??_);_(@_)"/>
    </dxf>
    <dxf>
      <numFmt numFmtId="13" formatCode="0%"/>
    </dxf>
    <dxf>
      <numFmt numFmtId="170" formatCode="_(&quot;$&quot;* #,##0_);_(&quot;$&quot;* \(#,##0\);_(&quot;$&quot;* &quot;-&quot;??_);_(@_)"/>
    </dxf>
    <dxf>
      <numFmt numFmtId="170" formatCode="_(&quot;$&quot;* #,##0_);_(&quot;$&quot;* \(#,##0\);_(&quot;$&quot;* &quot;-&quot;??_);_(@_)"/>
    </dxf>
    <dxf>
      <numFmt numFmtId="34" formatCode="_(&quot;$&quot;* #,##0.00_);_(&quot;$&quot;* \(#,##0.00\);_(&quot;$&quot;* &quot;-&quot;??_);_(@_)"/>
    </dxf>
    <dxf>
      <numFmt numFmtId="167" formatCode="_([$$-409]* #,##0_);_([$$-409]* \(#,##0\);_([$$-409]* &quot;-&quot;??_);_(@_)"/>
    </dxf>
    <dxf>
      <numFmt numFmtId="167" formatCode="_([$$-409]* #,##0_);_([$$-409]* \(#,##0\);_([$$-409]* &quot;-&quot;??_);_(@_)"/>
    </dxf>
    <dxf>
      <numFmt numFmtId="167" formatCode="_([$$-409]* #,##0_);_([$$-409]* \(#,##0\);_([$$-409]* &quot;-&quot;??_);_(@_)"/>
    </dxf>
    <dxf>
      <numFmt numFmtId="19" formatCode="m/d/yyyy"/>
    </dxf>
    <dxf>
      <numFmt numFmtId="19" formatCode="m/d/yyyy"/>
    </dxf>
    <dxf>
      <numFmt numFmtId="19" formatCode="m/d/yyyy"/>
    </dxf>
  </dxfs>
  <tableStyles count="4" defaultTableStyle="TableStyleMedium2" defaultPivotStyle="PivotStyleLight16">
    <tableStyle name="SlicerStyleOther1 2" pivot="0" table="0" count="10" xr9:uid="{5332EE6E-BA6F-4F90-A31E-982B3A542D23}">
      <tableStyleElement type="wholeTable" dxfId="131"/>
      <tableStyleElement type="headerRow" dxfId="130"/>
    </tableStyle>
    <tableStyle name="SlicerStyleOther1 3" pivot="0" table="0" count="10" xr9:uid="{0590196E-1409-4571-8665-997E44898527}">
      <tableStyleElement type="wholeTable" dxfId="137"/>
      <tableStyleElement type="headerRow" dxfId="136"/>
    </tableStyle>
    <tableStyle name="SlicerStyleOther1 4" pivot="0" table="0" count="10" xr9:uid="{C24B07A1-B458-4438-A8B7-7C412D4ACD42}">
      <tableStyleElement type="wholeTable" dxfId="135"/>
      <tableStyleElement type="headerRow" dxfId="134"/>
    </tableStyle>
    <tableStyle name="SlicerStyleOther1 5" pivot="0" table="0" count="10" xr9:uid="{870242AF-D000-4F82-B8FE-FE749ACF7401}">
      <tableStyleElement type="wholeTable" dxfId="133"/>
      <tableStyleElement type="headerRow" dxfId="132"/>
    </tableStyle>
  </tableStyles>
  <colors>
    <mruColors>
      <color rgb="FFBFC7D1"/>
      <color rgb="FF1D1C1C"/>
      <color rgb="FFF0F5F9"/>
      <color rgb="FFC9D6DF"/>
      <color rgb="FFCCCBC8"/>
      <color rgb="FFDDE1E7"/>
      <color rgb="FFB6CCD8"/>
      <color rgb="FFBFC7D2"/>
      <color rgb="FFF9F9F9"/>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1"/>
          </font>
          <fill>
            <patternFill patternType="none">
              <fgColor indexed="64"/>
              <bgColor auto="1"/>
            </patternFill>
          </fill>
          <border diagonalUp="0" diagonalDown="0">
            <left/>
            <right/>
            <top/>
            <bottom/>
            <vertical/>
            <horizontal/>
          </border>
        </dxf>
        <dxf>
          <font>
            <sz val="9"/>
            <color rgb="FF000000"/>
          </font>
          <fill>
            <patternFill patternType="solid">
              <fgColor theme="0" tint="-0.249977111117893"/>
              <bgColor rgb="FFDDE1E7"/>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1"/>
          </font>
          <fill>
            <patternFill patternType="none">
              <fgColor indexed="64"/>
              <bgColor auto="1"/>
            </patternFill>
          </fill>
          <border diagonalUp="0" diagonalDown="0">
            <left/>
            <right/>
            <top/>
            <bottom/>
            <vertical/>
            <horizontal/>
          </border>
        </dxf>
        <dxf>
          <font>
            <sz val="9"/>
            <color rgb="FF000000"/>
          </font>
          <fill>
            <patternFill patternType="solid">
              <fgColor theme="0" tint="-0.249977111117893"/>
              <bgColor rgb="FFDDE1E7"/>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rgb="FF000000"/>
          </font>
          <fill>
            <patternFill patternType="solid">
              <fgColor theme="0" tint="-0.249977111117893"/>
              <bgColor rgb="FFDDE1E7"/>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rgb="FF000000"/>
          </font>
          <fill>
            <patternFill patternType="solid">
              <fgColor theme="0" tint="-0.249977111117893"/>
              <bgColor theme="0" tint="-0.249977111117893"/>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sz val="9"/>
            <color rgb="FF000000"/>
          </font>
          <fill>
            <patternFill patternType="solid">
              <fgColor theme="0" tint="-0.249977111117893"/>
              <bgColor theme="2" tint="-9.9948118533890809E-2"/>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Other1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Other1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Other1 5">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D1C1C"/>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3-6D5B-4C53-ABD0-6401091F4CD8}"/>
                </c:ext>
              </c:extLst>
            </c:dLbl>
            <c:dLbl>
              <c:idx val="1"/>
              <c:layout>
                <c:manualLayout>
                  <c:x val="0.3422751199456055"/>
                  <c:y val="-0.152777555005023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5B-4C53-ABD0-6401091F4CD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val>
            <c:numRef>
              <c:f>Analysis!$F$12:$G$12</c:f>
              <c:numCache>
                <c:formatCode>0%</c:formatCode>
                <c:ptCount val="2"/>
                <c:pt idx="0" formatCode="General">
                  <c:v>0</c:v>
                </c:pt>
                <c:pt idx="1">
                  <c:v>0.85555555555555574</c:v>
                </c:pt>
              </c:numCache>
            </c:numRef>
          </c:val>
          <c:extLst>
            <c:ext xmlns:c16="http://schemas.microsoft.com/office/drawing/2014/chart" uri="{C3380CC4-5D6E-409C-BE32-E72D297353CC}">
              <c16:uniqueId val="{00000001-6D5B-4C53-ABD0-6401091F4CD8}"/>
            </c:ext>
          </c:extLst>
        </c:ser>
        <c:ser>
          <c:idx val="1"/>
          <c:order val="1"/>
          <c:spPr>
            <a:solidFill>
              <a:srgbClr val="B6CCD8"/>
            </a:solidFill>
            <a:ln>
              <a:noFill/>
            </a:ln>
            <a:effectLst/>
          </c:spPr>
          <c:invertIfNegative val="0"/>
          <c:val>
            <c:numRef>
              <c:f>Analysis!$F$13:$G$13</c:f>
              <c:numCache>
                <c:formatCode>0%</c:formatCode>
                <c:ptCount val="2"/>
                <c:pt idx="1">
                  <c:v>0.14444444444444426</c:v>
                </c:pt>
              </c:numCache>
            </c:numRef>
          </c:val>
          <c:extLst>
            <c:ext xmlns:c16="http://schemas.microsoft.com/office/drawing/2014/chart" uri="{C3380CC4-5D6E-409C-BE32-E72D297353CC}">
              <c16:uniqueId val="{00000002-6D5B-4C53-ABD0-6401091F4CD8}"/>
            </c:ext>
          </c:extLst>
        </c:ser>
        <c:dLbls>
          <c:dLblPos val="ctr"/>
          <c:showLegendKey val="0"/>
          <c:showVal val="0"/>
          <c:showCatName val="0"/>
          <c:showSerName val="0"/>
          <c:showPercent val="0"/>
          <c:showBubbleSize val="0"/>
        </c:dLbls>
        <c:gapWidth val="150"/>
        <c:overlap val="100"/>
        <c:axId val="512026512"/>
        <c:axId val="512004912"/>
      </c:barChart>
      <c:catAx>
        <c:axId val="512026512"/>
        <c:scaling>
          <c:orientation val="minMax"/>
        </c:scaling>
        <c:delete val="1"/>
        <c:axPos val="l"/>
        <c:majorTickMark val="out"/>
        <c:minorTickMark val="none"/>
        <c:tickLblPos val="nextTo"/>
        <c:crossAx val="512004912"/>
        <c:crosses val="autoZero"/>
        <c:auto val="1"/>
        <c:lblAlgn val="ctr"/>
        <c:lblOffset val="100"/>
        <c:noMultiLvlLbl val="0"/>
      </c:catAx>
      <c:valAx>
        <c:axId val="512004912"/>
        <c:scaling>
          <c:orientation val="minMax"/>
        </c:scaling>
        <c:delete val="1"/>
        <c:axPos val="b"/>
        <c:numFmt formatCode="0%" sourceLinked="1"/>
        <c:majorTickMark val="out"/>
        <c:minorTickMark val="none"/>
        <c:tickLblPos val="nextTo"/>
        <c:crossAx val="51202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799993196854679"/>
          <c:w val="0.77951670377499793"/>
          <c:h val="0.24964330731130244"/>
        </c:manualLayout>
      </c:layout>
      <c:barChart>
        <c:barDir val="bar"/>
        <c:grouping val="percentStacked"/>
        <c:varyColors val="0"/>
        <c:ser>
          <c:idx val="0"/>
          <c:order val="0"/>
          <c:tx>
            <c:strRef>
              <c:f>Analysis!$F$15</c:f>
              <c:strCache>
                <c:ptCount val="1"/>
                <c:pt idx="0">
                  <c:v>PROFIT CR</c:v>
                </c:pt>
              </c:strCache>
            </c:strRef>
          </c:tx>
          <c:spPr>
            <a:solidFill>
              <a:srgbClr val="1D1C1C"/>
            </a:solidFill>
            <a:ln>
              <a:noFill/>
            </a:ln>
            <a:effectLst/>
          </c:spPr>
          <c:invertIfNegative val="0"/>
          <c:dLbls>
            <c:dLbl>
              <c:idx val="0"/>
              <c:layout>
                <c:manualLayout>
                  <c:x val="0.38031845680173909"/>
                  <c:y val="1.1763492039788138E-3"/>
                </c:manualLayout>
              </c:layout>
              <c:spPr>
                <a:noFill/>
                <a:ln>
                  <a:noFill/>
                </a:ln>
                <a:effectLst/>
              </c:spPr>
              <c:txPr>
                <a:bodyPr rot="0" spcFirstLastPara="1" vertOverflow="ellipsis" vert="horz" wrap="square" lIns="38100" tIns="19050" rIns="38100" bIns="19050" anchor="t" anchorCtr="1">
                  <a:noAutofit/>
                </a:bodyPr>
                <a:lstStyle/>
                <a:p>
                  <a:pPr>
                    <a:defRPr lang="en-US"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438267201472317"/>
                      <c:h val="0.98158252430944148"/>
                    </c:manualLayout>
                  </c15:layout>
                </c:ext>
                <c:ext xmlns:c16="http://schemas.microsoft.com/office/drawing/2014/chart" uri="{C3380CC4-5D6E-409C-BE32-E72D297353CC}">
                  <c16:uniqueId val="{00000002-D154-4E20-B872-6CDBD497F1C0}"/>
                </c:ext>
              </c:extLst>
            </c:dLbl>
            <c:spPr>
              <a:noFill/>
              <a:ln>
                <a:noFill/>
              </a:ln>
              <a:effectLst/>
            </c:spPr>
            <c:txPr>
              <a:bodyPr rot="0" spcFirstLastPara="1" vertOverflow="ellipsis" vert="horz" wrap="square" lIns="38100" tIns="19050" rIns="38100" bIns="19050" anchor="t"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Analysis!$G$15</c:f>
              <c:numCache>
                <c:formatCode>0%</c:formatCode>
                <c:ptCount val="1"/>
                <c:pt idx="0">
                  <c:v>0.85492063492063519</c:v>
                </c:pt>
              </c:numCache>
            </c:numRef>
          </c:val>
          <c:extLst>
            <c:ext xmlns:c16="http://schemas.microsoft.com/office/drawing/2014/chart" uri="{C3380CC4-5D6E-409C-BE32-E72D297353CC}">
              <c16:uniqueId val="{00000000-D154-4E20-B872-6CDBD497F1C0}"/>
            </c:ext>
          </c:extLst>
        </c:ser>
        <c:ser>
          <c:idx val="1"/>
          <c:order val="1"/>
          <c:tx>
            <c:strRef>
              <c:f>Analysis!$F$16</c:f>
              <c:strCache>
                <c:ptCount val="1"/>
              </c:strCache>
            </c:strRef>
          </c:tx>
          <c:spPr>
            <a:solidFill>
              <a:srgbClr val="B6CCD8"/>
            </a:solidFill>
            <a:ln>
              <a:noFill/>
            </a:ln>
            <a:effectLst/>
          </c:spPr>
          <c:invertIfNegative val="0"/>
          <c:val>
            <c:numRef>
              <c:f>Analysis!$G$16</c:f>
              <c:numCache>
                <c:formatCode>0%</c:formatCode>
                <c:ptCount val="1"/>
                <c:pt idx="0">
                  <c:v>0.14507936507936481</c:v>
                </c:pt>
              </c:numCache>
            </c:numRef>
          </c:val>
          <c:extLst>
            <c:ext xmlns:c16="http://schemas.microsoft.com/office/drawing/2014/chart" uri="{C3380CC4-5D6E-409C-BE32-E72D297353CC}">
              <c16:uniqueId val="{00000001-D154-4E20-B872-6CDBD497F1C0}"/>
            </c:ext>
          </c:extLst>
        </c:ser>
        <c:dLbls>
          <c:showLegendKey val="0"/>
          <c:showVal val="0"/>
          <c:showCatName val="0"/>
          <c:showSerName val="0"/>
          <c:showPercent val="0"/>
          <c:showBubbleSize val="0"/>
        </c:dLbls>
        <c:gapWidth val="150"/>
        <c:overlap val="100"/>
        <c:axId val="553091888"/>
        <c:axId val="553070768"/>
      </c:barChart>
      <c:catAx>
        <c:axId val="553091888"/>
        <c:scaling>
          <c:orientation val="minMax"/>
        </c:scaling>
        <c:delete val="1"/>
        <c:axPos val="l"/>
        <c:numFmt formatCode="General" sourceLinked="1"/>
        <c:majorTickMark val="none"/>
        <c:minorTickMark val="none"/>
        <c:tickLblPos val="nextTo"/>
        <c:crossAx val="553070768"/>
        <c:crosses val="autoZero"/>
        <c:auto val="1"/>
        <c:lblAlgn val="ctr"/>
        <c:lblOffset val="100"/>
        <c:noMultiLvlLbl val="0"/>
      </c:catAx>
      <c:valAx>
        <c:axId val="553070768"/>
        <c:scaling>
          <c:orientation val="minMax"/>
          <c:min val="0"/>
        </c:scaling>
        <c:delete val="1"/>
        <c:axPos val="b"/>
        <c:numFmt formatCode="0%" sourceLinked="1"/>
        <c:majorTickMark val="none"/>
        <c:minorTickMark val="none"/>
        <c:tickLblPos val="nextTo"/>
        <c:crossAx val="553091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D1C1C"/>
            </a:solidFill>
            <a:ln>
              <a:noFill/>
            </a:ln>
            <a:effectLst/>
          </c:spPr>
          <c:invertIfNegative val="0"/>
          <c:dLbls>
            <c:dLbl>
              <c:idx val="1"/>
              <c:layout>
                <c:manualLayout>
                  <c:x val="0.29605713268675687"/>
                  <c:y val="-0.15168505776108607"/>
                </c:manualLayout>
              </c:layout>
              <c:tx>
                <c:rich>
                  <a:bodyPr/>
                  <a:lstStyle/>
                  <a:p>
                    <a:fld id="{619A6B55-2DFD-4AE1-9B25-E13F66BC1125}"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AF0-4AC9-B314-2E2298A773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0"/>
              </c:ext>
            </c:extLst>
          </c:dLbls>
          <c:val>
            <c:numRef>
              <c:f>Analysis!$F$18:$G$18</c:f>
              <c:numCache>
                <c:formatCode>0%</c:formatCode>
                <c:ptCount val="2"/>
                <c:pt idx="0" formatCode="General">
                  <c:v>0</c:v>
                </c:pt>
                <c:pt idx="1">
                  <c:v>0.8447619047619046</c:v>
                </c:pt>
              </c:numCache>
            </c:numRef>
          </c:val>
          <c:extLst>
            <c:ext xmlns:c16="http://schemas.microsoft.com/office/drawing/2014/chart" uri="{C3380CC4-5D6E-409C-BE32-E72D297353CC}">
              <c16:uniqueId val="{00000000-FAF0-4AC9-B314-2E2298A77326}"/>
            </c:ext>
          </c:extLst>
        </c:ser>
        <c:ser>
          <c:idx val="1"/>
          <c:order val="1"/>
          <c:spPr>
            <a:solidFill>
              <a:srgbClr val="B6CCD8"/>
            </a:solidFill>
            <a:ln>
              <a:noFill/>
            </a:ln>
            <a:effectLst/>
          </c:spPr>
          <c:invertIfNegative val="0"/>
          <c:val>
            <c:numRef>
              <c:f>Analysis!$F$19:$G$19</c:f>
              <c:numCache>
                <c:formatCode>0%</c:formatCode>
                <c:ptCount val="2"/>
                <c:pt idx="1">
                  <c:v>0.1552380952380954</c:v>
                </c:pt>
              </c:numCache>
            </c:numRef>
          </c:val>
          <c:extLst>
            <c:ext xmlns:c16="http://schemas.microsoft.com/office/drawing/2014/chart" uri="{C3380CC4-5D6E-409C-BE32-E72D297353CC}">
              <c16:uniqueId val="{00000001-FAF0-4AC9-B314-2E2298A77326}"/>
            </c:ext>
          </c:extLst>
        </c:ser>
        <c:dLbls>
          <c:showLegendKey val="0"/>
          <c:showVal val="0"/>
          <c:showCatName val="0"/>
          <c:showSerName val="0"/>
          <c:showPercent val="0"/>
          <c:showBubbleSize val="0"/>
        </c:dLbls>
        <c:gapWidth val="150"/>
        <c:overlap val="100"/>
        <c:axId val="385575408"/>
        <c:axId val="425328736"/>
      </c:barChart>
      <c:catAx>
        <c:axId val="385575408"/>
        <c:scaling>
          <c:orientation val="minMax"/>
        </c:scaling>
        <c:delete val="1"/>
        <c:axPos val="l"/>
        <c:majorTickMark val="none"/>
        <c:minorTickMark val="none"/>
        <c:tickLblPos val="nextTo"/>
        <c:crossAx val="425328736"/>
        <c:crosses val="autoZero"/>
        <c:auto val="1"/>
        <c:lblAlgn val="ctr"/>
        <c:lblOffset val="100"/>
        <c:noMultiLvlLbl val="0"/>
      </c:catAx>
      <c:valAx>
        <c:axId val="425328736"/>
        <c:scaling>
          <c:orientation val="minMax"/>
        </c:scaling>
        <c:delete val="1"/>
        <c:axPos val="b"/>
        <c:numFmt formatCode="0%" sourceLinked="1"/>
        <c:majorTickMark val="none"/>
        <c:minorTickMark val="none"/>
        <c:tickLblPos val="nextTo"/>
        <c:crossAx val="38557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D1C1C"/>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8B1F-4F5C-A3ED-976C5A7BFD37}"/>
                </c:ext>
              </c:extLst>
            </c:dLbl>
            <c:dLbl>
              <c:idx val="1"/>
              <c:layout>
                <c:manualLayout>
                  <c:x val="0.35586114590789769"/>
                  <c:y val="-0.13513513513513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1F-4F5C-A3ED-976C5A7BFD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Analysis!$F$21:$G$21</c:f>
              <c:numCache>
                <c:formatCode>0%</c:formatCode>
                <c:ptCount val="2"/>
                <c:pt idx="0" formatCode="General">
                  <c:v>0</c:v>
                </c:pt>
                <c:pt idx="1">
                  <c:v>0.94228707956334989</c:v>
                </c:pt>
              </c:numCache>
            </c:numRef>
          </c:val>
          <c:extLst>
            <c:ext xmlns:c16="http://schemas.microsoft.com/office/drawing/2014/chart" uri="{C3380CC4-5D6E-409C-BE32-E72D297353CC}">
              <c16:uniqueId val="{00000002-8B1F-4F5C-A3ED-976C5A7BFD37}"/>
            </c:ext>
          </c:extLst>
        </c:ser>
        <c:ser>
          <c:idx val="1"/>
          <c:order val="1"/>
          <c:spPr>
            <a:solidFill>
              <a:srgbClr val="B6CCD8"/>
            </a:solidFill>
            <a:ln>
              <a:noFill/>
            </a:ln>
            <a:effectLst/>
          </c:spPr>
          <c:invertIfNegative val="0"/>
          <c:val>
            <c:numRef>
              <c:f>Analysis!$F$22:$G$22</c:f>
              <c:numCache>
                <c:formatCode>0%</c:formatCode>
                <c:ptCount val="2"/>
                <c:pt idx="1">
                  <c:v>5.7712920436650106E-2</c:v>
                </c:pt>
              </c:numCache>
            </c:numRef>
          </c:val>
          <c:extLst>
            <c:ext xmlns:c16="http://schemas.microsoft.com/office/drawing/2014/chart" uri="{C3380CC4-5D6E-409C-BE32-E72D297353CC}">
              <c16:uniqueId val="{00000003-8B1F-4F5C-A3ED-976C5A7BFD37}"/>
            </c:ext>
          </c:extLst>
        </c:ser>
        <c:dLbls>
          <c:showLegendKey val="0"/>
          <c:showVal val="0"/>
          <c:showCatName val="0"/>
          <c:showSerName val="0"/>
          <c:showPercent val="0"/>
          <c:showBubbleSize val="0"/>
        </c:dLbls>
        <c:gapWidth val="150"/>
        <c:overlap val="100"/>
        <c:axId val="723574224"/>
        <c:axId val="723580464"/>
      </c:barChart>
      <c:catAx>
        <c:axId val="723574224"/>
        <c:scaling>
          <c:orientation val="minMax"/>
        </c:scaling>
        <c:delete val="1"/>
        <c:axPos val="l"/>
        <c:majorTickMark val="none"/>
        <c:minorTickMark val="none"/>
        <c:tickLblPos val="nextTo"/>
        <c:crossAx val="723580464"/>
        <c:crosses val="autoZero"/>
        <c:auto val="1"/>
        <c:lblAlgn val="ctr"/>
        <c:lblOffset val="100"/>
        <c:noMultiLvlLbl val="0"/>
      </c:catAx>
      <c:valAx>
        <c:axId val="723580464"/>
        <c:scaling>
          <c:orientation val="minMax"/>
        </c:scaling>
        <c:delete val="1"/>
        <c:axPos val="b"/>
        <c:numFmt formatCode="0%" sourceLinked="1"/>
        <c:majorTickMark val="none"/>
        <c:minorTickMark val="none"/>
        <c:tickLblPos val="nextTo"/>
        <c:crossAx val="72357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data.xlsx]Analysis!PivotTable5</c:name>
    <c:fmtId val="2"/>
  </c:pivotSource>
  <c:chart>
    <c:autoTitleDeleted val="0"/>
    <c:pivotFmts>
      <c:pivotFmt>
        <c:idx val="0"/>
        <c:spPr>
          <a:solidFill>
            <a:schemeClr val="accent1"/>
          </a:solidFill>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9781277340333"/>
          <c:y val="0.30583362184493923"/>
          <c:w val="0.83997117360199236"/>
          <c:h val="0.52300583262792932"/>
        </c:manualLayout>
      </c:layout>
      <c:lineChart>
        <c:grouping val="standard"/>
        <c:varyColors val="0"/>
        <c:ser>
          <c:idx val="0"/>
          <c:order val="0"/>
          <c:tx>
            <c:strRef>
              <c:f>Analysis!$J$13</c:f>
              <c:strCache>
                <c:ptCount val="1"/>
                <c:pt idx="0">
                  <c:v>Sale</c:v>
                </c:pt>
              </c:strCache>
            </c:strRef>
          </c:tx>
          <c:spPr>
            <a:ln w="28575" cap="rnd">
              <a:solidFill>
                <a:srgbClr val="1D1C1C"/>
              </a:solidFill>
              <a:round/>
            </a:ln>
            <a:effectLst/>
          </c:spPr>
          <c:marker>
            <c:symbol val="none"/>
          </c:marker>
          <c:cat>
            <c:strRef>
              <c:f>Analysis!$I$14:$I$26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Analysis!$J$14:$J$26</c:f>
              <c:numCache>
                <c:formatCode>"$"0,\ "K"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smooth val="1"/>
          <c:extLst>
            <c:ext xmlns:c16="http://schemas.microsoft.com/office/drawing/2014/chart" uri="{C3380CC4-5D6E-409C-BE32-E72D297353CC}">
              <c16:uniqueId val="{00000000-4AA8-4B6A-A4BE-B91439446B5E}"/>
            </c:ext>
          </c:extLst>
        </c:ser>
        <c:ser>
          <c:idx val="1"/>
          <c:order val="1"/>
          <c:tx>
            <c:strRef>
              <c:f>Analysis!$K$13</c:f>
              <c:strCache>
                <c:ptCount val="1"/>
                <c:pt idx="0">
                  <c:v> Target Sales</c:v>
                </c:pt>
              </c:strCache>
            </c:strRef>
          </c:tx>
          <c:spPr>
            <a:ln w="28575" cap="rnd">
              <a:solidFill>
                <a:srgbClr val="B6CCD8">
                  <a:alpha val="98000"/>
                </a:srgbClr>
              </a:solidFill>
              <a:round/>
            </a:ln>
            <a:effectLst/>
          </c:spPr>
          <c:marker>
            <c:symbol val="none"/>
          </c:marker>
          <c:cat>
            <c:strRef>
              <c:f>Analysis!$I$14:$I$26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Analysis!$K$14:$K$26</c:f>
              <c:numCache>
                <c:formatCode>"$"0,\ "K"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smooth val="1"/>
          <c:extLst>
            <c:ext xmlns:c16="http://schemas.microsoft.com/office/drawing/2014/chart" uri="{C3380CC4-5D6E-409C-BE32-E72D297353CC}">
              <c16:uniqueId val="{00000001-4AA8-4B6A-A4BE-B91439446B5E}"/>
            </c:ext>
          </c:extLst>
        </c:ser>
        <c:dLbls>
          <c:showLegendKey val="0"/>
          <c:showVal val="0"/>
          <c:showCatName val="0"/>
          <c:showSerName val="0"/>
          <c:showPercent val="0"/>
          <c:showBubbleSize val="0"/>
        </c:dLbls>
        <c:smooth val="0"/>
        <c:axId val="512006832"/>
        <c:axId val="512009232"/>
      </c:lineChart>
      <c:catAx>
        <c:axId val="512006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512009232"/>
        <c:crosses val="autoZero"/>
        <c:auto val="1"/>
        <c:lblAlgn val="ctr"/>
        <c:lblOffset val="100"/>
        <c:noMultiLvlLbl val="0"/>
      </c:catAx>
      <c:valAx>
        <c:axId val="512009232"/>
        <c:scaling>
          <c:orientation val="minMax"/>
          <c:max val="30000"/>
        </c:scaling>
        <c:delete val="0"/>
        <c:axPos val="l"/>
        <c:numFmt formatCode="&quot;$&quot;0,\ &quot;K&quot;"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512006832"/>
        <c:crosses val="autoZero"/>
        <c:crossBetween val="between"/>
      </c:valAx>
      <c:spPr>
        <a:noFill/>
        <a:ln>
          <a:noFill/>
        </a:ln>
        <a:effectLst/>
      </c:spPr>
    </c:plotArea>
    <c:legend>
      <c:legendPos val="t"/>
      <c:layout>
        <c:manualLayout>
          <c:xMode val="edge"/>
          <c:yMode val="edge"/>
          <c:x val="0.49900838201419717"/>
          <c:y val="0.14726515845499136"/>
          <c:w val="0.4952973938131881"/>
          <c:h val="0.1143947136943344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data.xlsx]Analysis!PivotTable6</c:name>
    <c:fmtId val="4"/>
  </c:pivotSource>
  <c:chart>
    <c:autoTitleDeleted val="0"/>
    <c:pivotFmts>
      <c:pivotFmt>
        <c:idx val="0"/>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C7D2"/>
          </a:solidFill>
          <a:ln>
            <a:noFill/>
          </a:ln>
          <a:effectLst/>
        </c:spPr>
      </c:pivotFmt>
      <c:pivotFmt>
        <c:idx val="3"/>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0454382788539E-3"/>
          <c:y val="0.12181616832779624"/>
          <c:w val="0.91770572758121705"/>
          <c:h val="0.62216757788997301"/>
        </c:manualLayout>
      </c:layout>
      <c:barChart>
        <c:barDir val="col"/>
        <c:grouping val="stacked"/>
        <c:varyColors val="0"/>
        <c:ser>
          <c:idx val="0"/>
          <c:order val="0"/>
          <c:tx>
            <c:strRef>
              <c:f>Analysis!$J$31</c:f>
              <c:strCache>
                <c:ptCount val="1"/>
                <c:pt idx="0">
                  <c:v>Sum of No of Customers</c:v>
                </c:pt>
              </c:strCache>
            </c:strRef>
          </c:tx>
          <c:spPr>
            <a:solidFill>
              <a:srgbClr val="BFC7D2"/>
            </a:solidFill>
            <a:ln>
              <a:noFill/>
            </a:ln>
            <a:effectLst/>
          </c:spPr>
          <c:invertIfNegative val="0"/>
          <c:cat>
            <c:strRef>
              <c:f>Analysis!$I$32:$I$44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Analysis!$J$32:$J$44</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extLst>
            <c:ext xmlns:c16="http://schemas.microsoft.com/office/drawing/2014/chart" uri="{C3380CC4-5D6E-409C-BE32-E72D297353CC}">
              <c16:uniqueId val="{00000000-0EAB-4493-BCD9-F42DA8A8DBCC}"/>
            </c:ext>
          </c:extLst>
        </c:ser>
        <c:ser>
          <c:idx val="1"/>
          <c:order val="1"/>
          <c:tx>
            <c:strRef>
              <c:f>Analysis!$K$31</c:f>
              <c:strCache>
                <c:ptCount val="1"/>
                <c:pt idx="0">
                  <c:v>Average of Number</c:v>
                </c:pt>
              </c:strCache>
            </c:strRef>
          </c:tx>
          <c:spPr>
            <a:blipFill>
              <a:blip xmlns:r="http://schemas.openxmlformats.org/officeDocument/2006/relationships" r:embed="rId3"/>
              <a:stretch>
                <a:fillRect/>
              </a:stretch>
            </a:blipFill>
            <a:ln>
              <a:noFill/>
            </a:ln>
            <a:effectLst/>
          </c:spPr>
          <c:invertIfNegative val="0"/>
          <c:cat>
            <c:strRef>
              <c:f>Analysis!$I$32:$I$44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Analysis!$K$32:$K$44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extLst>
            <c:ext xmlns:c16="http://schemas.microsoft.com/office/drawing/2014/chart" uri="{C3380CC4-5D6E-409C-BE32-E72D297353CC}">
              <c16:uniqueId val="{00000001-0EAB-4493-BCD9-F42DA8A8DBCC}"/>
            </c:ext>
          </c:extLst>
        </c:ser>
        <c:dLbls>
          <c:showLegendKey val="0"/>
          <c:showVal val="0"/>
          <c:showCatName val="0"/>
          <c:showSerName val="0"/>
          <c:showPercent val="0"/>
          <c:showBubbleSize val="0"/>
        </c:dLbls>
        <c:gapWidth val="139"/>
        <c:overlap val="100"/>
        <c:axId val="425328736"/>
        <c:axId val="425332096"/>
      </c:barChart>
      <c:catAx>
        <c:axId val="4253287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32096"/>
        <c:crosses val="autoZero"/>
        <c:auto val="1"/>
        <c:lblAlgn val="ctr"/>
        <c:lblOffset val="100"/>
        <c:noMultiLvlLbl val="0"/>
      </c:catAx>
      <c:valAx>
        <c:axId val="425332096"/>
        <c:scaling>
          <c:orientation val="minMax"/>
        </c:scaling>
        <c:delete val="1"/>
        <c:axPos val="l"/>
        <c:numFmt formatCode="General" sourceLinked="1"/>
        <c:majorTickMark val="none"/>
        <c:minorTickMark val="none"/>
        <c:tickLblPos val="nextTo"/>
        <c:crossAx val="42532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data.xlsx]Analysis!PivotTable7</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C7D2"/>
          </a:solidFill>
          <a:ln w="19050">
            <a:noFill/>
          </a:ln>
          <a:effectLst/>
        </c:spPr>
      </c:pivotFmt>
      <c:pivotFmt>
        <c:idx val="2"/>
        <c:spPr>
          <a:solidFill>
            <a:schemeClr val="bg1">
              <a:lumMod val="75000"/>
            </a:schemeClr>
          </a:solidFill>
          <a:ln w="19050">
            <a:noFill/>
          </a:ln>
          <a:effectLst/>
        </c:spPr>
      </c:pivotFmt>
      <c:pivotFmt>
        <c:idx val="3"/>
        <c:spPr>
          <a:solidFill>
            <a:srgbClr val="DDE1E7"/>
          </a:solidFill>
          <a:ln w="19050">
            <a:noFill/>
          </a:ln>
          <a:effectLst/>
        </c:spPr>
      </c:pivotFmt>
      <c:pivotFmt>
        <c:idx val="4"/>
        <c:spPr>
          <a:solidFill>
            <a:srgbClr val="1D1C1C"/>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FC7D2"/>
          </a:solidFill>
          <a:ln w="19050">
            <a:noFill/>
          </a:ln>
          <a:effectLst/>
        </c:spPr>
      </c:pivotFmt>
      <c:pivotFmt>
        <c:idx val="7"/>
        <c:spPr>
          <a:solidFill>
            <a:schemeClr val="bg1">
              <a:lumMod val="75000"/>
            </a:schemeClr>
          </a:solidFill>
          <a:ln w="19050">
            <a:noFill/>
          </a:ln>
          <a:effectLst/>
        </c:spPr>
      </c:pivotFmt>
      <c:pivotFmt>
        <c:idx val="8"/>
        <c:spPr>
          <a:solidFill>
            <a:srgbClr val="DDE1E7"/>
          </a:solidFill>
          <a:ln w="19050">
            <a:noFill/>
          </a:ln>
          <a:effectLst/>
        </c:spPr>
      </c:pivotFmt>
      <c:pivotFmt>
        <c:idx val="9"/>
        <c:spPr>
          <a:solidFill>
            <a:srgbClr val="1D1C1C"/>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FC7D2"/>
          </a:solidFill>
          <a:ln w="19050">
            <a:noFill/>
          </a:ln>
          <a:effectLst/>
        </c:spPr>
      </c:pivotFmt>
      <c:pivotFmt>
        <c:idx val="12"/>
        <c:spPr>
          <a:solidFill>
            <a:schemeClr val="bg1">
              <a:lumMod val="75000"/>
            </a:schemeClr>
          </a:solidFill>
          <a:ln w="19050">
            <a:noFill/>
          </a:ln>
          <a:effectLst/>
        </c:spPr>
      </c:pivotFmt>
      <c:pivotFmt>
        <c:idx val="13"/>
        <c:spPr>
          <a:solidFill>
            <a:srgbClr val="DDE1E7"/>
          </a:solidFill>
          <a:ln w="19050">
            <a:noFill/>
          </a:ln>
          <a:effectLst/>
        </c:spPr>
      </c:pivotFmt>
      <c:pivotFmt>
        <c:idx val="14"/>
        <c:spPr>
          <a:solidFill>
            <a:srgbClr val="1D1C1C"/>
          </a:solidFill>
          <a:ln w="19050">
            <a:noFill/>
          </a:ln>
          <a:effectLst/>
        </c:spPr>
      </c:pivotFmt>
    </c:pivotFmts>
    <c:plotArea>
      <c:layout/>
      <c:doughnutChart>
        <c:varyColors val="1"/>
        <c:ser>
          <c:idx val="0"/>
          <c:order val="0"/>
          <c:tx>
            <c:strRef>
              <c:f>Analysis!$J$50</c:f>
              <c:strCache>
                <c:ptCount val="1"/>
                <c:pt idx="0">
                  <c:v>Total</c:v>
                </c:pt>
              </c:strCache>
            </c:strRef>
          </c:tx>
          <c:spPr>
            <a:ln>
              <a:noFill/>
            </a:ln>
          </c:spPr>
          <c:dPt>
            <c:idx val="0"/>
            <c:bubble3D val="0"/>
            <c:spPr>
              <a:solidFill>
                <a:srgbClr val="BFC7D2"/>
              </a:solidFill>
              <a:ln w="19050">
                <a:noFill/>
              </a:ln>
              <a:effectLst/>
            </c:spPr>
            <c:extLst>
              <c:ext xmlns:c16="http://schemas.microsoft.com/office/drawing/2014/chart" uri="{C3380CC4-5D6E-409C-BE32-E72D297353CC}">
                <c16:uniqueId val="{00000001-9A45-4D31-9D1E-3CDFC659EE16}"/>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9A45-4D31-9D1E-3CDFC659EE16}"/>
              </c:ext>
            </c:extLst>
          </c:dPt>
          <c:dPt>
            <c:idx val="2"/>
            <c:bubble3D val="0"/>
            <c:spPr>
              <a:solidFill>
                <a:srgbClr val="DDE1E7"/>
              </a:solidFill>
              <a:ln w="19050">
                <a:noFill/>
              </a:ln>
              <a:effectLst/>
            </c:spPr>
            <c:extLst>
              <c:ext xmlns:c16="http://schemas.microsoft.com/office/drawing/2014/chart" uri="{C3380CC4-5D6E-409C-BE32-E72D297353CC}">
                <c16:uniqueId val="{00000005-9A45-4D31-9D1E-3CDFC659EE16}"/>
              </c:ext>
            </c:extLst>
          </c:dPt>
          <c:dPt>
            <c:idx val="3"/>
            <c:bubble3D val="0"/>
            <c:spPr>
              <a:solidFill>
                <a:srgbClr val="1D1C1C"/>
              </a:solidFill>
              <a:ln w="19050">
                <a:noFill/>
              </a:ln>
              <a:effectLst/>
            </c:spPr>
            <c:extLst>
              <c:ext xmlns:c16="http://schemas.microsoft.com/office/drawing/2014/chart" uri="{C3380CC4-5D6E-409C-BE32-E72D297353CC}">
                <c16:uniqueId val="{00000007-9A45-4D31-9D1E-3CDFC659EE16}"/>
              </c:ext>
            </c:extLst>
          </c:dPt>
          <c:cat>
            <c:strRef>
              <c:f>Analysis!$I$51:$I$55</c:f>
              <c:strCache>
                <c:ptCount val="4"/>
                <c:pt idx="0">
                  <c:v>East</c:v>
                </c:pt>
                <c:pt idx="1">
                  <c:v>North</c:v>
                </c:pt>
                <c:pt idx="2">
                  <c:v>South</c:v>
                </c:pt>
                <c:pt idx="3">
                  <c:v>West</c:v>
                </c:pt>
              </c:strCache>
            </c:strRef>
          </c:cat>
          <c:val>
            <c:numRef>
              <c:f>Analysis!$J$51:$J$55</c:f>
              <c:numCache>
                <c:formatCode>0%</c:formatCode>
                <c:ptCount val="4"/>
                <c:pt idx="0">
                  <c:v>0.31802670293147606</c:v>
                </c:pt>
                <c:pt idx="1">
                  <c:v>0.14565870832035893</c:v>
                </c:pt>
                <c:pt idx="2">
                  <c:v>0.29303321661656956</c:v>
                </c:pt>
                <c:pt idx="3">
                  <c:v>0.24328137213159551</c:v>
                </c:pt>
              </c:numCache>
            </c:numRef>
          </c:val>
          <c:extLst>
            <c:ext xmlns:c16="http://schemas.microsoft.com/office/drawing/2014/chart" uri="{C3380CC4-5D6E-409C-BE32-E72D297353CC}">
              <c16:uniqueId val="{00000008-9A45-4D31-9D1E-3CDFC659EE16}"/>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data.xlsx]Analysis!PivotTable8</c:name>
    <c:fmtId val="3"/>
  </c:pivotSource>
  <c:chart>
    <c:autoTitleDeleted val="1"/>
    <c:pivotFmts>
      <c:pivotFmt>
        <c:idx val="0"/>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C7D2"/>
          </a:solidFill>
          <a:ln>
            <a:noFill/>
          </a:ln>
          <a:effectLst/>
        </c:spPr>
        <c:marker>
          <c:symbol val="none"/>
        </c:marker>
        <c:dLbl>
          <c:idx val="0"/>
          <c:numFmt formatCode="General" sourceLinked="0"/>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Analysis!$J$58</c:f>
              <c:strCache>
                <c:ptCount val="1"/>
                <c:pt idx="0">
                  <c:v>Total</c:v>
                </c:pt>
              </c:strCache>
            </c:strRef>
          </c:tx>
          <c:spPr>
            <a:solidFill>
              <a:srgbClr val="BFC7D2"/>
            </a:solidFill>
            <a:ln>
              <a:noFill/>
            </a:ln>
            <a:effectLst/>
          </c:spPr>
          <c:invertIfNegative val="0"/>
          <c:dLbls>
            <c:numFmt formatCode="General" sourceLinked="0"/>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Analysis!$I$59:$I$64</c:f>
              <c:strCache>
                <c:ptCount val="5"/>
                <c:pt idx="0">
                  <c:v>Availability</c:v>
                </c:pt>
                <c:pt idx="1">
                  <c:v>Hygiene</c:v>
                </c:pt>
                <c:pt idx="2">
                  <c:v>Service</c:v>
                </c:pt>
                <c:pt idx="3">
                  <c:v>Quality</c:v>
                </c:pt>
                <c:pt idx="4">
                  <c:v>Speed</c:v>
                </c:pt>
              </c:strCache>
            </c:strRef>
          </c:cat>
          <c:val>
            <c:numRef>
              <c:f>Analysis!$J$59:$J$64</c:f>
              <c:numCache>
                <c:formatCode>General</c:formatCode>
                <c:ptCount val="5"/>
                <c:pt idx="0">
                  <c:v>41</c:v>
                </c:pt>
                <c:pt idx="1">
                  <c:v>59</c:v>
                </c:pt>
                <c:pt idx="2">
                  <c:v>66</c:v>
                </c:pt>
                <c:pt idx="3">
                  <c:v>74</c:v>
                </c:pt>
                <c:pt idx="4">
                  <c:v>96</c:v>
                </c:pt>
              </c:numCache>
            </c:numRef>
          </c:val>
          <c:extLst>
            <c:ext xmlns:c16="http://schemas.microsoft.com/office/drawing/2014/chart" uri="{C3380CC4-5D6E-409C-BE32-E72D297353CC}">
              <c16:uniqueId val="{00000000-0FAB-48FF-B1DC-424DE1824D5B}"/>
            </c:ext>
          </c:extLst>
        </c:ser>
        <c:dLbls>
          <c:showLegendKey val="0"/>
          <c:showVal val="0"/>
          <c:showCatName val="0"/>
          <c:showSerName val="0"/>
          <c:showPercent val="0"/>
          <c:showBubbleSize val="0"/>
        </c:dLbls>
        <c:gapWidth val="55"/>
        <c:axId val="553083728"/>
        <c:axId val="553091888"/>
      </c:barChart>
      <c:catAx>
        <c:axId val="553083728"/>
        <c:scaling>
          <c:orientation val="minMax"/>
        </c:scaling>
        <c:delete val="0"/>
        <c:axPos val="l"/>
        <c:numFmt formatCode="General" sourceLinked="1"/>
        <c:majorTickMark val="out"/>
        <c:minorTickMark val="none"/>
        <c:tickLblPos val="high"/>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91888"/>
        <c:crosses val="autoZero"/>
        <c:auto val="1"/>
        <c:lblAlgn val="ctr"/>
        <c:lblOffset val="100"/>
        <c:noMultiLvlLbl val="0"/>
      </c:catAx>
      <c:valAx>
        <c:axId val="553091888"/>
        <c:scaling>
          <c:orientation val="minMax"/>
        </c:scaling>
        <c:delete val="1"/>
        <c:axPos val="b"/>
        <c:numFmt formatCode="General" sourceLinked="1"/>
        <c:majorTickMark val="out"/>
        <c:minorTickMark val="none"/>
        <c:tickLblPos val="nextTo"/>
        <c:crossAx val="55308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D1C1C"/>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DF28-41E4-8C03-EC8559235F3E}"/>
                </c:ext>
              </c:extLst>
            </c:dLbl>
            <c:dLbl>
              <c:idx val="1"/>
              <c:layout>
                <c:manualLayout>
                  <c:x val="0.3422751199456055"/>
                  <c:y val="-0.152777555005023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F28-41E4-8C03-EC8559235F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val>
            <c:numRef>
              <c:f>Analysis!$F$12:$G$12</c:f>
              <c:numCache>
                <c:formatCode>0%</c:formatCode>
                <c:ptCount val="2"/>
                <c:pt idx="0" formatCode="General">
                  <c:v>0</c:v>
                </c:pt>
                <c:pt idx="1">
                  <c:v>0.85555555555555574</c:v>
                </c:pt>
              </c:numCache>
            </c:numRef>
          </c:val>
          <c:extLst>
            <c:ext xmlns:c16="http://schemas.microsoft.com/office/drawing/2014/chart" uri="{C3380CC4-5D6E-409C-BE32-E72D297353CC}">
              <c16:uniqueId val="{00000002-DF28-41E4-8C03-EC8559235F3E}"/>
            </c:ext>
          </c:extLst>
        </c:ser>
        <c:ser>
          <c:idx val="1"/>
          <c:order val="1"/>
          <c:spPr>
            <a:solidFill>
              <a:srgbClr val="B6CCD8"/>
            </a:solidFill>
            <a:ln>
              <a:noFill/>
            </a:ln>
            <a:effectLst/>
          </c:spPr>
          <c:invertIfNegative val="0"/>
          <c:val>
            <c:numRef>
              <c:f>Analysis!$F$13:$G$13</c:f>
              <c:numCache>
                <c:formatCode>0%</c:formatCode>
                <c:ptCount val="2"/>
                <c:pt idx="1">
                  <c:v>0.14444444444444426</c:v>
                </c:pt>
              </c:numCache>
            </c:numRef>
          </c:val>
          <c:extLst>
            <c:ext xmlns:c16="http://schemas.microsoft.com/office/drawing/2014/chart" uri="{C3380CC4-5D6E-409C-BE32-E72D297353CC}">
              <c16:uniqueId val="{00000003-DF28-41E4-8C03-EC8559235F3E}"/>
            </c:ext>
          </c:extLst>
        </c:ser>
        <c:dLbls>
          <c:showLegendKey val="0"/>
          <c:showVal val="0"/>
          <c:showCatName val="0"/>
          <c:showSerName val="0"/>
          <c:showPercent val="0"/>
          <c:showBubbleSize val="0"/>
        </c:dLbls>
        <c:gapWidth val="150"/>
        <c:overlap val="100"/>
        <c:axId val="512026512"/>
        <c:axId val="512004912"/>
      </c:barChart>
      <c:catAx>
        <c:axId val="512026512"/>
        <c:scaling>
          <c:orientation val="minMax"/>
        </c:scaling>
        <c:delete val="1"/>
        <c:axPos val="l"/>
        <c:majorTickMark val="out"/>
        <c:minorTickMark val="none"/>
        <c:tickLblPos val="nextTo"/>
        <c:crossAx val="512004912"/>
        <c:crosses val="autoZero"/>
        <c:auto val="1"/>
        <c:lblAlgn val="ctr"/>
        <c:lblOffset val="100"/>
        <c:noMultiLvlLbl val="0"/>
      </c:catAx>
      <c:valAx>
        <c:axId val="512004912"/>
        <c:scaling>
          <c:orientation val="minMax"/>
        </c:scaling>
        <c:delete val="1"/>
        <c:axPos val="b"/>
        <c:numFmt formatCode="0%" sourceLinked="1"/>
        <c:majorTickMark val="out"/>
        <c:minorTickMark val="none"/>
        <c:tickLblPos val="nextTo"/>
        <c:crossAx val="512026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799993196854679"/>
          <c:w val="0.77951670377499793"/>
          <c:h val="0.24964330731130244"/>
        </c:manualLayout>
      </c:layout>
      <c:barChart>
        <c:barDir val="bar"/>
        <c:grouping val="percentStacked"/>
        <c:varyColors val="0"/>
        <c:ser>
          <c:idx val="0"/>
          <c:order val="0"/>
          <c:tx>
            <c:strRef>
              <c:f>Analysis!$F$15</c:f>
              <c:strCache>
                <c:ptCount val="1"/>
                <c:pt idx="0">
                  <c:v>PROFIT CR</c:v>
                </c:pt>
              </c:strCache>
            </c:strRef>
          </c:tx>
          <c:spPr>
            <a:solidFill>
              <a:srgbClr val="1D1C1C"/>
            </a:solidFill>
            <a:ln>
              <a:noFill/>
            </a:ln>
            <a:effectLst/>
          </c:spPr>
          <c:invertIfNegative val="0"/>
          <c:dLbls>
            <c:dLbl>
              <c:idx val="0"/>
              <c:layout>
                <c:manualLayout>
                  <c:x val="0.38031845680173909"/>
                  <c:y val="1.1763492039788138E-3"/>
                </c:manualLayout>
              </c:layout>
              <c:spPr>
                <a:noFill/>
                <a:ln>
                  <a:noFill/>
                </a:ln>
                <a:effectLst/>
              </c:spPr>
              <c:txPr>
                <a:bodyPr rot="0" spcFirstLastPara="1" vertOverflow="ellipsis" vert="horz" wrap="square" lIns="38100" tIns="19050" rIns="38100" bIns="19050" anchor="t" anchorCtr="1">
                  <a:noAutofit/>
                </a:bodyPr>
                <a:lstStyle/>
                <a:p>
                  <a:pPr>
                    <a:defRPr lang="en-US"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8438267201472317"/>
                      <c:h val="0.98158252430944148"/>
                    </c:manualLayout>
                  </c15:layout>
                </c:ext>
                <c:ext xmlns:c16="http://schemas.microsoft.com/office/drawing/2014/chart" uri="{C3380CC4-5D6E-409C-BE32-E72D297353CC}">
                  <c16:uniqueId val="{00000000-8CC9-4069-A72A-E76CDA564431}"/>
                </c:ext>
              </c:extLst>
            </c:dLbl>
            <c:spPr>
              <a:noFill/>
              <a:ln>
                <a:noFill/>
              </a:ln>
              <a:effectLst/>
            </c:spPr>
            <c:txPr>
              <a:bodyPr rot="0" spcFirstLastPara="1" vertOverflow="ellipsis" vert="horz" wrap="square" lIns="38100" tIns="19050" rIns="38100" bIns="19050" anchor="t"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Analysis!$G$15</c:f>
              <c:numCache>
                <c:formatCode>0%</c:formatCode>
                <c:ptCount val="1"/>
                <c:pt idx="0">
                  <c:v>0.85492063492063519</c:v>
                </c:pt>
              </c:numCache>
            </c:numRef>
          </c:val>
          <c:extLst>
            <c:ext xmlns:c16="http://schemas.microsoft.com/office/drawing/2014/chart" uri="{C3380CC4-5D6E-409C-BE32-E72D297353CC}">
              <c16:uniqueId val="{00000001-8CC9-4069-A72A-E76CDA564431}"/>
            </c:ext>
          </c:extLst>
        </c:ser>
        <c:ser>
          <c:idx val="1"/>
          <c:order val="1"/>
          <c:tx>
            <c:strRef>
              <c:f>Analysis!$F$16</c:f>
              <c:strCache>
                <c:ptCount val="1"/>
              </c:strCache>
            </c:strRef>
          </c:tx>
          <c:spPr>
            <a:solidFill>
              <a:srgbClr val="B6CCD8"/>
            </a:solidFill>
            <a:ln>
              <a:noFill/>
            </a:ln>
            <a:effectLst/>
          </c:spPr>
          <c:invertIfNegative val="0"/>
          <c:val>
            <c:numRef>
              <c:f>Analysis!$G$16</c:f>
              <c:numCache>
                <c:formatCode>0%</c:formatCode>
                <c:ptCount val="1"/>
                <c:pt idx="0">
                  <c:v>0.14507936507936481</c:v>
                </c:pt>
              </c:numCache>
            </c:numRef>
          </c:val>
          <c:extLst>
            <c:ext xmlns:c16="http://schemas.microsoft.com/office/drawing/2014/chart" uri="{C3380CC4-5D6E-409C-BE32-E72D297353CC}">
              <c16:uniqueId val="{00000002-8CC9-4069-A72A-E76CDA564431}"/>
            </c:ext>
          </c:extLst>
        </c:ser>
        <c:dLbls>
          <c:showLegendKey val="0"/>
          <c:showVal val="0"/>
          <c:showCatName val="0"/>
          <c:showSerName val="0"/>
          <c:showPercent val="0"/>
          <c:showBubbleSize val="0"/>
        </c:dLbls>
        <c:gapWidth val="150"/>
        <c:overlap val="100"/>
        <c:axId val="553091888"/>
        <c:axId val="553070768"/>
      </c:barChart>
      <c:catAx>
        <c:axId val="553091888"/>
        <c:scaling>
          <c:orientation val="minMax"/>
        </c:scaling>
        <c:delete val="1"/>
        <c:axPos val="l"/>
        <c:numFmt formatCode="General" sourceLinked="1"/>
        <c:majorTickMark val="none"/>
        <c:minorTickMark val="none"/>
        <c:tickLblPos val="nextTo"/>
        <c:crossAx val="553070768"/>
        <c:crosses val="autoZero"/>
        <c:auto val="1"/>
        <c:lblAlgn val="ctr"/>
        <c:lblOffset val="100"/>
        <c:noMultiLvlLbl val="0"/>
      </c:catAx>
      <c:valAx>
        <c:axId val="553070768"/>
        <c:scaling>
          <c:orientation val="minMax"/>
          <c:min val="0"/>
        </c:scaling>
        <c:delete val="1"/>
        <c:axPos val="b"/>
        <c:numFmt formatCode="0%" sourceLinked="1"/>
        <c:majorTickMark val="none"/>
        <c:minorTickMark val="none"/>
        <c:tickLblPos val="nextTo"/>
        <c:crossAx val="553091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D1C1C"/>
            </a:solidFill>
            <a:ln>
              <a:noFill/>
            </a:ln>
            <a:effectLst/>
          </c:spPr>
          <c:invertIfNegative val="0"/>
          <c:dLbls>
            <c:dLbl>
              <c:idx val="1"/>
              <c:layout>
                <c:manualLayout>
                  <c:x val="0.29605713268675687"/>
                  <c:y val="-0.15168505776108607"/>
                </c:manualLayout>
              </c:layout>
              <c:tx>
                <c:rich>
                  <a:bodyPr/>
                  <a:lstStyle/>
                  <a:p>
                    <a:fld id="{619A6B55-2DFD-4AE1-9B25-E13F66BC1125}"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A00F-4959-AD5C-E5ED8806DC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0"/>
              </c:ext>
            </c:extLst>
          </c:dLbls>
          <c:val>
            <c:numRef>
              <c:f>Analysis!$F$18:$G$18</c:f>
              <c:numCache>
                <c:formatCode>0%</c:formatCode>
                <c:ptCount val="2"/>
                <c:pt idx="0" formatCode="General">
                  <c:v>0</c:v>
                </c:pt>
                <c:pt idx="1">
                  <c:v>0.8447619047619046</c:v>
                </c:pt>
              </c:numCache>
            </c:numRef>
          </c:val>
          <c:extLst>
            <c:ext xmlns:c16="http://schemas.microsoft.com/office/drawing/2014/chart" uri="{C3380CC4-5D6E-409C-BE32-E72D297353CC}">
              <c16:uniqueId val="{00000001-A00F-4959-AD5C-E5ED8806DC4A}"/>
            </c:ext>
          </c:extLst>
        </c:ser>
        <c:ser>
          <c:idx val="1"/>
          <c:order val="1"/>
          <c:spPr>
            <a:solidFill>
              <a:srgbClr val="B6CCD8"/>
            </a:solidFill>
            <a:ln>
              <a:noFill/>
            </a:ln>
            <a:effectLst/>
          </c:spPr>
          <c:invertIfNegative val="0"/>
          <c:val>
            <c:numRef>
              <c:f>Analysis!$F$19:$G$19</c:f>
              <c:numCache>
                <c:formatCode>0%</c:formatCode>
                <c:ptCount val="2"/>
                <c:pt idx="1">
                  <c:v>0.1552380952380954</c:v>
                </c:pt>
              </c:numCache>
            </c:numRef>
          </c:val>
          <c:extLst>
            <c:ext xmlns:c16="http://schemas.microsoft.com/office/drawing/2014/chart" uri="{C3380CC4-5D6E-409C-BE32-E72D297353CC}">
              <c16:uniqueId val="{00000002-A00F-4959-AD5C-E5ED8806DC4A}"/>
            </c:ext>
          </c:extLst>
        </c:ser>
        <c:dLbls>
          <c:showLegendKey val="0"/>
          <c:showVal val="0"/>
          <c:showCatName val="0"/>
          <c:showSerName val="0"/>
          <c:showPercent val="0"/>
          <c:showBubbleSize val="0"/>
        </c:dLbls>
        <c:gapWidth val="150"/>
        <c:overlap val="100"/>
        <c:axId val="385575408"/>
        <c:axId val="425328736"/>
      </c:barChart>
      <c:catAx>
        <c:axId val="385575408"/>
        <c:scaling>
          <c:orientation val="minMax"/>
        </c:scaling>
        <c:delete val="1"/>
        <c:axPos val="l"/>
        <c:majorTickMark val="none"/>
        <c:minorTickMark val="none"/>
        <c:tickLblPos val="nextTo"/>
        <c:crossAx val="425328736"/>
        <c:crosses val="autoZero"/>
        <c:auto val="1"/>
        <c:lblAlgn val="ctr"/>
        <c:lblOffset val="100"/>
        <c:noMultiLvlLbl val="0"/>
      </c:catAx>
      <c:valAx>
        <c:axId val="425328736"/>
        <c:scaling>
          <c:orientation val="minMax"/>
        </c:scaling>
        <c:delete val="1"/>
        <c:axPos val="b"/>
        <c:numFmt formatCode="0%" sourceLinked="1"/>
        <c:majorTickMark val="none"/>
        <c:minorTickMark val="none"/>
        <c:tickLblPos val="nextTo"/>
        <c:crossAx val="385575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D1C1C"/>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35DB-4B58-8D16-4E86D024E36E}"/>
                </c:ext>
              </c:extLst>
            </c:dLbl>
            <c:dLbl>
              <c:idx val="1"/>
              <c:layout>
                <c:manualLayout>
                  <c:x val="0.35586114590789769"/>
                  <c:y val="-0.13513513513513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DB-4B58-8D16-4E86D024E3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Analysis!$F$21:$G$21</c:f>
              <c:numCache>
                <c:formatCode>0%</c:formatCode>
                <c:ptCount val="2"/>
                <c:pt idx="0" formatCode="General">
                  <c:v>0</c:v>
                </c:pt>
                <c:pt idx="1">
                  <c:v>0.94228707956334989</c:v>
                </c:pt>
              </c:numCache>
            </c:numRef>
          </c:val>
          <c:extLst>
            <c:ext xmlns:c16="http://schemas.microsoft.com/office/drawing/2014/chart" uri="{C3380CC4-5D6E-409C-BE32-E72D297353CC}">
              <c16:uniqueId val="{00000002-35DB-4B58-8D16-4E86D024E36E}"/>
            </c:ext>
          </c:extLst>
        </c:ser>
        <c:ser>
          <c:idx val="1"/>
          <c:order val="1"/>
          <c:spPr>
            <a:solidFill>
              <a:srgbClr val="B6CCD8"/>
            </a:solidFill>
            <a:ln>
              <a:noFill/>
            </a:ln>
            <a:effectLst/>
          </c:spPr>
          <c:invertIfNegative val="0"/>
          <c:val>
            <c:numRef>
              <c:f>Analysis!$F$22:$G$22</c:f>
              <c:numCache>
                <c:formatCode>0%</c:formatCode>
                <c:ptCount val="2"/>
                <c:pt idx="1">
                  <c:v>5.7712920436650106E-2</c:v>
                </c:pt>
              </c:numCache>
            </c:numRef>
          </c:val>
          <c:extLst>
            <c:ext xmlns:c16="http://schemas.microsoft.com/office/drawing/2014/chart" uri="{C3380CC4-5D6E-409C-BE32-E72D297353CC}">
              <c16:uniqueId val="{00000003-35DB-4B58-8D16-4E86D024E36E}"/>
            </c:ext>
          </c:extLst>
        </c:ser>
        <c:dLbls>
          <c:showLegendKey val="0"/>
          <c:showVal val="0"/>
          <c:showCatName val="0"/>
          <c:showSerName val="0"/>
          <c:showPercent val="0"/>
          <c:showBubbleSize val="0"/>
        </c:dLbls>
        <c:gapWidth val="150"/>
        <c:overlap val="100"/>
        <c:axId val="723574224"/>
        <c:axId val="723580464"/>
      </c:barChart>
      <c:catAx>
        <c:axId val="723574224"/>
        <c:scaling>
          <c:orientation val="minMax"/>
        </c:scaling>
        <c:delete val="1"/>
        <c:axPos val="l"/>
        <c:majorTickMark val="none"/>
        <c:minorTickMark val="none"/>
        <c:tickLblPos val="nextTo"/>
        <c:crossAx val="723580464"/>
        <c:crosses val="autoZero"/>
        <c:auto val="1"/>
        <c:lblAlgn val="ctr"/>
        <c:lblOffset val="100"/>
        <c:noMultiLvlLbl val="0"/>
      </c:catAx>
      <c:valAx>
        <c:axId val="723580464"/>
        <c:scaling>
          <c:orientation val="minMax"/>
        </c:scaling>
        <c:delete val="1"/>
        <c:axPos val="b"/>
        <c:numFmt formatCode="0%" sourceLinked="1"/>
        <c:majorTickMark val="none"/>
        <c:minorTickMark val="none"/>
        <c:tickLblPos val="nextTo"/>
        <c:crossAx val="72357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data.xlsx]Analysis!PivotTable5</c:name>
    <c:fmtId val="4"/>
  </c:pivotSource>
  <c:chart>
    <c:autoTitleDeleted val="0"/>
    <c:pivotFmts>
      <c:pivotFmt>
        <c:idx val="0"/>
        <c:spPr>
          <a:solidFill>
            <a:schemeClr val="accent1"/>
          </a:solidFill>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1D1C1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6CCD8">
                <a:alpha val="98000"/>
              </a:srgb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99781277340333"/>
          <c:y val="0.30583362184493923"/>
          <c:w val="0.83997117360199236"/>
          <c:h val="0.52300583262792932"/>
        </c:manualLayout>
      </c:layout>
      <c:lineChart>
        <c:grouping val="standard"/>
        <c:varyColors val="0"/>
        <c:ser>
          <c:idx val="0"/>
          <c:order val="0"/>
          <c:tx>
            <c:strRef>
              <c:f>Analysis!$J$13</c:f>
              <c:strCache>
                <c:ptCount val="1"/>
                <c:pt idx="0">
                  <c:v>Sale</c:v>
                </c:pt>
              </c:strCache>
            </c:strRef>
          </c:tx>
          <c:spPr>
            <a:ln w="28575" cap="rnd">
              <a:solidFill>
                <a:srgbClr val="1D1C1C"/>
              </a:solidFill>
              <a:round/>
            </a:ln>
            <a:effectLst/>
          </c:spPr>
          <c:marker>
            <c:symbol val="none"/>
          </c:marker>
          <c:cat>
            <c:strRef>
              <c:f>Analysis!$I$14:$I$26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Analysis!$J$14:$J$26</c:f>
              <c:numCache>
                <c:formatCode>"$"0,\ "K"</c:formatCode>
                <c:ptCount val="12"/>
                <c:pt idx="0">
                  <c:v>12900</c:v>
                </c:pt>
                <c:pt idx="1">
                  <c:v>11256</c:v>
                </c:pt>
                <c:pt idx="2">
                  <c:v>11700</c:v>
                </c:pt>
                <c:pt idx="3">
                  <c:v>10400</c:v>
                </c:pt>
                <c:pt idx="4">
                  <c:v>12995</c:v>
                </c:pt>
                <c:pt idx="5">
                  <c:v>13450</c:v>
                </c:pt>
                <c:pt idx="6">
                  <c:v>11000</c:v>
                </c:pt>
                <c:pt idx="7">
                  <c:v>17050</c:v>
                </c:pt>
                <c:pt idx="8">
                  <c:v>3600</c:v>
                </c:pt>
                <c:pt idx="9">
                  <c:v>26729</c:v>
                </c:pt>
                <c:pt idx="10">
                  <c:v>22481</c:v>
                </c:pt>
                <c:pt idx="11">
                  <c:v>3800</c:v>
                </c:pt>
              </c:numCache>
            </c:numRef>
          </c:val>
          <c:smooth val="1"/>
          <c:extLst>
            <c:ext xmlns:c16="http://schemas.microsoft.com/office/drawing/2014/chart" uri="{C3380CC4-5D6E-409C-BE32-E72D297353CC}">
              <c16:uniqueId val="{00000000-2599-4B78-AE4F-5FD5EFA4E526}"/>
            </c:ext>
          </c:extLst>
        </c:ser>
        <c:ser>
          <c:idx val="1"/>
          <c:order val="1"/>
          <c:tx>
            <c:strRef>
              <c:f>Analysis!$K$13</c:f>
              <c:strCache>
                <c:ptCount val="1"/>
                <c:pt idx="0">
                  <c:v> Target Sales</c:v>
                </c:pt>
              </c:strCache>
            </c:strRef>
          </c:tx>
          <c:spPr>
            <a:ln w="28575" cap="rnd">
              <a:solidFill>
                <a:srgbClr val="B6CCD8">
                  <a:alpha val="98000"/>
                </a:srgbClr>
              </a:solidFill>
              <a:round/>
            </a:ln>
            <a:effectLst/>
          </c:spPr>
          <c:marker>
            <c:symbol val="none"/>
          </c:marker>
          <c:cat>
            <c:strRef>
              <c:f>Analysis!$I$14:$I$26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Analysis!$K$14:$K$26</c:f>
              <c:numCache>
                <c:formatCode>"$"0,\ "K"</c:formatCode>
                <c:ptCount val="12"/>
                <c:pt idx="0">
                  <c:v>6000.0000000000009</c:v>
                </c:pt>
                <c:pt idx="1">
                  <c:v>24285.28571428571</c:v>
                </c:pt>
                <c:pt idx="2">
                  <c:v>9714.2857142857156</c:v>
                </c:pt>
                <c:pt idx="3">
                  <c:v>13571.428571428569</c:v>
                </c:pt>
                <c:pt idx="4">
                  <c:v>12571.285714285716</c:v>
                </c:pt>
                <c:pt idx="5">
                  <c:v>12999.999999999998</c:v>
                </c:pt>
                <c:pt idx="6">
                  <c:v>20142.85714285713</c:v>
                </c:pt>
                <c:pt idx="7">
                  <c:v>3428.5714285714316</c:v>
                </c:pt>
                <c:pt idx="8">
                  <c:v>9571.428571428567</c:v>
                </c:pt>
                <c:pt idx="9">
                  <c:v>30142.428571428576</c:v>
                </c:pt>
                <c:pt idx="10">
                  <c:v>20857.142857142862</c:v>
                </c:pt>
                <c:pt idx="11">
                  <c:v>3714.2857142857147</c:v>
                </c:pt>
              </c:numCache>
            </c:numRef>
          </c:val>
          <c:smooth val="1"/>
          <c:extLst>
            <c:ext xmlns:c16="http://schemas.microsoft.com/office/drawing/2014/chart" uri="{C3380CC4-5D6E-409C-BE32-E72D297353CC}">
              <c16:uniqueId val="{00000001-2599-4B78-AE4F-5FD5EFA4E526}"/>
            </c:ext>
          </c:extLst>
        </c:ser>
        <c:dLbls>
          <c:showLegendKey val="0"/>
          <c:showVal val="0"/>
          <c:showCatName val="0"/>
          <c:showSerName val="0"/>
          <c:showPercent val="0"/>
          <c:showBubbleSize val="0"/>
        </c:dLbls>
        <c:smooth val="0"/>
        <c:axId val="512006832"/>
        <c:axId val="512009232"/>
      </c:lineChart>
      <c:catAx>
        <c:axId val="512006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512009232"/>
        <c:crosses val="autoZero"/>
        <c:auto val="1"/>
        <c:lblAlgn val="ctr"/>
        <c:lblOffset val="100"/>
        <c:noMultiLvlLbl val="0"/>
      </c:catAx>
      <c:valAx>
        <c:axId val="512009232"/>
        <c:scaling>
          <c:orientation val="minMax"/>
          <c:max val="30000"/>
        </c:scaling>
        <c:delete val="0"/>
        <c:axPos val="l"/>
        <c:numFmt formatCode="&quot;$&quot;0,\ &quot;K&quot;"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512006832"/>
        <c:crosses val="autoZero"/>
        <c:crossBetween val="between"/>
      </c:valAx>
      <c:spPr>
        <a:noFill/>
        <a:ln>
          <a:noFill/>
        </a:ln>
        <a:effectLst/>
      </c:spPr>
    </c:plotArea>
    <c:legend>
      <c:legendPos val="t"/>
      <c:layout>
        <c:manualLayout>
          <c:xMode val="edge"/>
          <c:yMode val="edge"/>
          <c:x val="0.49900838201419717"/>
          <c:y val="0.14726515845499136"/>
          <c:w val="0.4952973938131881"/>
          <c:h val="0.1143947136943344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data.xlsx]Analysis!PivotTable6</c:name>
    <c:fmtId val="6"/>
  </c:pivotSource>
  <c:chart>
    <c:autoTitleDeleted val="0"/>
    <c:pivotFmts>
      <c:pivotFmt>
        <c:idx val="0"/>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C7D2"/>
          </a:solidFill>
          <a:ln>
            <a:noFill/>
          </a:ln>
          <a:effectLst/>
        </c:spPr>
      </c:pivotFmt>
      <c:pivotFmt>
        <c:idx val="3"/>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0454382788539E-3"/>
          <c:y val="0.12181616832779624"/>
          <c:w val="0.91770572758121705"/>
          <c:h val="0.62216757788997301"/>
        </c:manualLayout>
      </c:layout>
      <c:barChart>
        <c:barDir val="col"/>
        <c:grouping val="stacked"/>
        <c:varyColors val="0"/>
        <c:ser>
          <c:idx val="0"/>
          <c:order val="0"/>
          <c:tx>
            <c:strRef>
              <c:f>Analysis!$J$31</c:f>
              <c:strCache>
                <c:ptCount val="1"/>
                <c:pt idx="0">
                  <c:v>Sum of No of Customers</c:v>
                </c:pt>
              </c:strCache>
            </c:strRef>
          </c:tx>
          <c:spPr>
            <a:solidFill>
              <a:srgbClr val="BFC7D2"/>
            </a:solidFill>
            <a:ln>
              <a:noFill/>
            </a:ln>
            <a:effectLst/>
          </c:spPr>
          <c:invertIfNegative val="0"/>
          <c:cat>
            <c:strRef>
              <c:f>Analysis!$I$32:$I$44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Analysis!$J$32:$J$44</c:f>
              <c:numCache>
                <c:formatCode>General</c:formatCode>
                <c:ptCount val="12"/>
                <c:pt idx="0">
                  <c:v>1435</c:v>
                </c:pt>
                <c:pt idx="1">
                  <c:v>185</c:v>
                </c:pt>
                <c:pt idx="2">
                  <c:v>688</c:v>
                </c:pt>
                <c:pt idx="3">
                  <c:v>810</c:v>
                </c:pt>
                <c:pt idx="4">
                  <c:v>850</c:v>
                </c:pt>
                <c:pt idx="5">
                  <c:v>991</c:v>
                </c:pt>
                <c:pt idx="6">
                  <c:v>300</c:v>
                </c:pt>
                <c:pt idx="7">
                  <c:v>646</c:v>
                </c:pt>
                <c:pt idx="8">
                  <c:v>190</c:v>
                </c:pt>
                <c:pt idx="9">
                  <c:v>1450</c:v>
                </c:pt>
                <c:pt idx="10">
                  <c:v>1497</c:v>
                </c:pt>
                <c:pt idx="11">
                  <c:v>318</c:v>
                </c:pt>
              </c:numCache>
            </c:numRef>
          </c:val>
          <c:extLst>
            <c:ext xmlns:c16="http://schemas.microsoft.com/office/drawing/2014/chart" uri="{C3380CC4-5D6E-409C-BE32-E72D297353CC}">
              <c16:uniqueId val="{00000000-17B0-42A6-8EF8-4B53F5478889}"/>
            </c:ext>
          </c:extLst>
        </c:ser>
        <c:ser>
          <c:idx val="1"/>
          <c:order val="1"/>
          <c:tx>
            <c:strRef>
              <c:f>Analysis!$K$31</c:f>
              <c:strCache>
                <c:ptCount val="1"/>
                <c:pt idx="0">
                  <c:v>Average of Number</c:v>
                </c:pt>
              </c:strCache>
            </c:strRef>
          </c:tx>
          <c:spPr>
            <a:blipFill>
              <a:blip xmlns:r="http://schemas.openxmlformats.org/officeDocument/2006/relationships" r:embed="rId3"/>
              <a:stretch>
                <a:fillRect/>
              </a:stretch>
            </a:blipFill>
            <a:ln>
              <a:noFill/>
            </a:ln>
            <a:effectLst/>
          </c:spPr>
          <c:invertIfNegative val="0"/>
          <c:cat>
            <c:strRef>
              <c:f>Analysis!$I$32:$I$44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Analysis!$K$32:$K$44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extLst>
            <c:ext xmlns:c16="http://schemas.microsoft.com/office/drawing/2014/chart" uri="{C3380CC4-5D6E-409C-BE32-E72D297353CC}">
              <c16:uniqueId val="{00000001-17B0-42A6-8EF8-4B53F5478889}"/>
            </c:ext>
          </c:extLst>
        </c:ser>
        <c:dLbls>
          <c:showLegendKey val="0"/>
          <c:showVal val="0"/>
          <c:showCatName val="0"/>
          <c:showSerName val="0"/>
          <c:showPercent val="0"/>
          <c:showBubbleSize val="0"/>
        </c:dLbls>
        <c:gapWidth val="139"/>
        <c:overlap val="100"/>
        <c:axId val="425328736"/>
        <c:axId val="425332096"/>
      </c:barChart>
      <c:catAx>
        <c:axId val="4253287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32096"/>
        <c:crosses val="autoZero"/>
        <c:auto val="1"/>
        <c:lblAlgn val="ctr"/>
        <c:lblOffset val="100"/>
        <c:noMultiLvlLbl val="0"/>
      </c:catAx>
      <c:valAx>
        <c:axId val="425332096"/>
        <c:scaling>
          <c:orientation val="minMax"/>
        </c:scaling>
        <c:delete val="1"/>
        <c:axPos val="l"/>
        <c:numFmt formatCode="General" sourceLinked="1"/>
        <c:majorTickMark val="none"/>
        <c:minorTickMark val="none"/>
        <c:tickLblPos val="nextTo"/>
        <c:crossAx val="425328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data.xlsx]Analysis!PivotTable7</c:name>
    <c:fmtId val="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C7D2"/>
          </a:solidFill>
          <a:ln w="19050">
            <a:noFill/>
          </a:ln>
          <a:effectLst/>
        </c:spPr>
      </c:pivotFmt>
      <c:pivotFmt>
        <c:idx val="2"/>
        <c:spPr>
          <a:solidFill>
            <a:schemeClr val="bg1">
              <a:lumMod val="75000"/>
            </a:schemeClr>
          </a:solidFill>
          <a:ln w="19050">
            <a:noFill/>
          </a:ln>
          <a:effectLst/>
        </c:spPr>
      </c:pivotFmt>
      <c:pivotFmt>
        <c:idx val="3"/>
        <c:spPr>
          <a:solidFill>
            <a:srgbClr val="DDE1E7"/>
          </a:solidFill>
          <a:ln w="19050">
            <a:noFill/>
          </a:ln>
          <a:effectLst/>
        </c:spPr>
      </c:pivotFmt>
      <c:pivotFmt>
        <c:idx val="4"/>
        <c:spPr>
          <a:solidFill>
            <a:srgbClr val="1D1C1C"/>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FC7D2"/>
          </a:solidFill>
          <a:ln w="19050">
            <a:noFill/>
          </a:ln>
          <a:effectLst/>
        </c:spPr>
      </c:pivotFmt>
      <c:pivotFmt>
        <c:idx val="7"/>
        <c:spPr>
          <a:solidFill>
            <a:schemeClr val="bg1">
              <a:lumMod val="75000"/>
            </a:schemeClr>
          </a:solidFill>
          <a:ln w="19050">
            <a:noFill/>
          </a:ln>
          <a:effectLst/>
        </c:spPr>
      </c:pivotFmt>
      <c:pivotFmt>
        <c:idx val="8"/>
        <c:spPr>
          <a:solidFill>
            <a:srgbClr val="DDE1E7"/>
          </a:solidFill>
          <a:ln w="19050">
            <a:noFill/>
          </a:ln>
          <a:effectLst/>
        </c:spPr>
      </c:pivotFmt>
      <c:pivotFmt>
        <c:idx val="9"/>
        <c:spPr>
          <a:solidFill>
            <a:srgbClr val="1D1C1C"/>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BFC7D2"/>
          </a:solidFill>
          <a:ln w="19050">
            <a:noFill/>
          </a:ln>
          <a:effectLst/>
        </c:spPr>
      </c:pivotFmt>
      <c:pivotFmt>
        <c:idx val="12"/>
        <c:spPr>
          <a:solidFill>
            <a:schemeClr val="bg1">
              <a:lumMod val="75000"/>
            </a:schemeClr>
          </a:solidFill>
          <a:ln w="19050">
            <a:noFill/>
          </a:ln>
          <a:effectLst/>
        </c:spPr>
      </c:pivotFmt>
      <c:pivotFmt>
        <c:idx val="13"/>
        <c:spPr>
          <a:solidFill>
            <a:srgbClr val="DDE1E7"/>
          </a:solidFill>
          <a:ln w="19050">
            <a:noFill/>
          </a:ln>
          <a:effectLst/>
        </c:spPr>
      </c:pivotFmt>
      <c:pivotFmt>
        <c:idx val="14"/>
        <c:spPr>
          <a:solidFill>
            <a:srgbClr val="1D1C1C"/>
          </a:solidFill>
          <a:ln w="19050">
            <a:noFill/>
          </a:ln>
          <a:effectLst/>
        </c:spPr>
      </c:pivotFmt>
      <c:pivotFmt>
        <c:idx val="1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BFC7D2"/>
          </a:solidFill>
          <a:ln w="19050">
            <a:noFill/>
          </a:ln>
          <a:effectLst/>
        </c:spPr>
      </c:pivotFmt>
      <c:pivotFmt>
        <c:idx val="17"/>
        <c:spPr>
          <a:solidFill>
            <a:schemeClr val="bg1">
              <a:lumMod val="75000"/>
            </a:schemeClr>
          </a:solidFill>
          <a:ln w="19050">
            <a:noFill/>
          </a:ln>
          <a:effectLst/>
        </c:spPr>
      </c:pivotFmt>
      <c:pivotFmt>
        <c:idx val="18"/>
        <c:spPr>
          <a:solidFill>
            <a:srgbClr val="DDE1E7"/>
          </a:solidFill>
          <a:ln w="19050">
            <a:noFill/>
          </a:ln>
          <a:effectLst/>
        </c:spPr>
      </c:pivotFmt>
      <c:pivotFmt>
        <c:idx val="19"/>
        <c:spPr>
          <a:solidFill>
            <a:srgbClr val="1D1C1C"/>
          </a:solidFill>
          <a:ln w="19050">
            <a:no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BFC7D2"/>
          </a:solidFill>
          <a:ln w="19050">
            <a:noFill/>
          </a:ln>
          <a:effectLst/>
        </c:spPr>
      </c:pivotFmt>
      <c:pivotFmt>
        <c:idx val="22"/>
        <c:spPr>
          <a:solidFill>
            <a:schemeClr val="bg1">
              <a:lumMod val="75000"/>
            </a:schemeClr>
          </a:solidFill>
          <a:ln w="19050">
            <a:noFill/>
          </a:ln>
          <a:effectLst/>
        </c:spPr>
      </c:pivotFmt>
      <c:pivotFmt>
        <c:idx val="23"/>
        <c:spPr>
          <a:solidFill>
            <a:srgbClr val="DDE1E7"/>
          </a:solidFill>
          <a:ln w="19050">
            <a:noFill/>
          </a:ln>
          <a:effectLst/>
        </c:spPr>
      </c:pivotFmt>
      <c:pivotFmt>
        <c:idx val="24"/>
        <c:spPr>
          <a:solidFill>
            <a:srgbClr val="1D1C1C"/>
          </a:solidFill>
          <a:ln w="19050">
            <a:noFill/>
          </a:ln>
          <a:effectLst/>
        </c:spPr>
      </c:pivotFmt>
    </c:pivotFmts>
    <c:plotArea>
      <c:layout/>
      <c:doughnutChart>
        <c:varyColors val="1"/>
        <c:ser>
          <c:idx val="0"/>
          <c:order val="0"/>
          <c:tx>
            <c:strRef>
              <c:f>Analysis!$J$50</c:f>
              <c:strCache>
                <c:ptCount val="1"/>
                <c:pt idx="0">
                  <c:v>Total</c:v>
                </c:pt>
              </c:strCache>
            </c:strRef>
          </c:tx>
          <c:spPr>
            <a:ln>
              <a:noFill/>
            </a:ln>
          </c:spPr>
          <c:dPt>
            <c:idx val="0"/>
            <c:bubble3D val="0"/>
            <c:spPr>
              <a:solidFill>
                <a:srgbClr val="BFC7D2"/>
              </a:solidFill>
              <a:ln w="19050">
                <a:noFill/>
              </a:ln>
              <a:effectLst/>
            </c:spPr>
            <c:extLst>
              <c:ext xmlns:c16="http://schemas.microsoft.com/office/drawing/2014/chart" uri="{C3380CC4-5D6E-409C-BE32-E72D297353CC}">
                <c16:uniqueId val="{00000001-1331-4D2E-A1A5-ABAB6999C46A}"/>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3-1331-4D2E-A1A5-ABAB6999C46A}"/>
              </c:ext>
            </c:extLst>
          </c:dPt>
          <c:dPt>
            <c:idx val="2"/>
            <c:bubble3D val="0"/>
            <c:spPr>
              <a:solidFill>
                <a:srgbClr val="DDE1E7"/>
              </a:solidFill>
              <a:ln w="19050">
                <a:noFill/>
              </a:ln>
              <a:effectLst/>
            </c:spPr>
            <c:extLst>
              <c:ext xmlns:c16="http://schemas.microsoft.com/office/drawing/2014/chart" uri="{C3380CC4-5D6E-409C-BE32-E72D297353CC}">
                <c16:uniqueId val="{00000005-1331-4D2E-A1A5-ABAB6999C46A}"/>
              </c:ext>
            </c:extLst>
          </c:dPt>
          <c:dPt>
            <c:idx val="3"/>
            <c:bubble3D val="0"/>
            <c:spPr>
              <a:solidFill>
                <a:srgbClr val="1D1C1C"/>
              </a:solidFill>
              <a:ln w="19050">
                <a:noFill/>
              </a:ln>
              <a:effectLst/>
            </c:spPr>
            <c:extLst>
              <c:ext xmlns:c16="http://schemas.microsoft.com/office/drawing/2014/chart" uri="{C3380CC4-5D6E-409C-BE32-E72D297353CC}">
                <c16:uniqueId val="{00000007-1331-4D2E-A1A5-ABAB6999C46A}"/>
              </c:ext>
            </c:extLst>
          </c:dPt>
          <c:cat>
            <c:strRef>
              <c:f>Analysis!$I$51:$I$55</c:f>
              <c:strCache>
                <c:ptCount val="4"/>
                <c:pt idx="0">
                  <c:v>East</c:v>
                </c:pt>
                <c:pt idx="1">
                  <c:v>North</c:v>
                </c:pt>
                <c:pt idx="2">
                  <c:v>South</c:v>
                </c:pt>
                <c:pt idx="3">
                  <c:v>West</c:v>
                </c:pt>
              </c:strCache>
            </c:strRef>
          </c:cat>
          <c:val>
            <c:numRef>
              <c:f>Analysis!$J$51:$J$55</c:f>
              <c:numCache>
                <c:formatCode>0%</c:formatCode>
                <c:ptCount val="4"/>
                <c:pt idx="0">
                  <c:v>0.31802670293147606</c:v>
                </c:pt>
                <c:pt idx="1">
                  <c:v>0.14565870832035893</c:v>
                </c:pt>
                <c:pt idx="2">
                  <c:v>0.29303321661656956</c:v>
                </c:pt>
                <c:pt idx="3">
                  <c:v>0.24328137213159551</c:v>
                </c:pt>
              </c:numCache>
            </c:numRef>
          </c:val>
          <c:extLst>
            <c:ext xmlns:c16="http://schemas.microsoft.com/office/drawing/2014/chart" uri="{C3380CC4-5D6E-409C-BE32-E72D297353CC}">
              <c16:uniqueId val="{00000008-1331-4D2E-A1A5-ABAB6999C46A}"/>
            </c:ext>
          </c:extLst>
        </c:ser>
        <c:dLbls>
          <c:showLegendKey val="0"/>
          <c:showVal val="0"/>
          <c:showCatName val="0"/>
          <c:showSerName val="0"/>
          <c:showPercent val="0"/>
          <c:showBubbleSize val="0"/>
          <c:showLeaderLines val="1"/>
        </c:dLbls>
        <c:firstSliceAng val="0"/>
        <c:holeSize val="8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 data.xlsx]Analysis!PivotTable8</c:name>
    <c:fmtId val="5"/>
  </c:pivotSource>
  <c:chart>
    <c:autoTitleDeleted val="1"/>
    <c:pivotFmts>
      <c:pivotFmt>
        <c:idx val="0"/>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FC7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FC7D2"/>
          </a:solidFill>
          <a:ln>
            <a:noFill/>
          </a:ln>
          <a:effectLst/>
        </c:spPr>
        <c:marker>
          <c:symbol val="none"/>
        </c:marker>
        <c:dLbl>
          <c:idx val="0"/>
          <c:numFmt formatCode="General" sourceLinked="0"/>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FC7D2"/>
          </a:solidFill>
          <a:ln>
            <a:noFill/>
          </a:ln>
          <a:effectLst/>
        </c:spPr>
        <c:marker>
          <c:symbol val="none"/>
        </c:marker>
        <c:dLbl>
          <c:idx val="0"/>
          <c:numFmt formatCode="General" sourceLinked="0"/>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FC7D2"/>
          </a:solidFill>
          <a:ln>
            <a:noFill/>
          </a:ln>
          <a:effectLst/>
        </c:spPr>
        <c:marker>
          <c:symbol val="none"/>
        </c:marker>
        <c:dLbl>
          <c:idx val="0"/>
          <c:numFmt formatCode="General" sourceLinked="0"/>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Analysis!$J$58</c:f>
              <c:strCache>
                <c:ptCount val="1"/>
                <c:pt idx="0">
                  <c:v>Total</c:v>
                </c:pt>
              </c:strCache>
            </c:strRef>
          </c:tx>
          <c:spPr>
            <a:solidFill>
              <a:srgbClr val="BFC7D2"/>
            </a:solidFill>
            <a:ln>
              <a:noFill/>
            </a:ln>
            <a:effectLst/>
          </c:spPr>
          <c:invertIfNegative val="0"/>
          <c:dLbls>
            <c:numFmt formatCode="General" sourceLinked="0"/>
            <c:spPr>
              <a:noFill/>
              <a:ln>
                <a:noFill/>
              </a:ln>
              <a:effectLst>
                <a:outerShdw blurRad="50800" dist="50800" dir="5400000" sx="1000" sy="1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Analysis!$I$59:$I$64</c:f>
              <c:strCache>
                <c:ptCount val="5"/>
                <c:pt idx="0">
                  <c:v>Availability</c:v>
                </c:pt>
                <c:pt idx="1">
                  <c:v>Hygiene</c:v>
                </c:pt>
                <c:pt idx="2">
                  <c:v>Service</c:v>
                </c:pt>
                <c:pt idx="3">
                  <c:v>Quality</c:v>
                </c:pt>
                <c:pt idx="4">
                  <c:v>Speed</c:v>
                </c:pt>
              </c:strCache>
            </c:strRef>
          </c:cat>
          <c:val>
            <c:numRef>
              <c:f>Analysis!$J$59:$J$64</c:f>
              <c:numCache>
                <c:formatCode>General</c:formatCode>
                <c:ptCount val="5"/>
                <c:pt idx="0">
                  <c:v>41</c:v>
                </c:pt>
                <c:pt idx="1">
                  <c:v>59</c:v>
                </c:pt>
                <c:pt idx="2">
                  <c:v>66</c:v>
                </c:pt>
                <c:pt idx="3">
                  <c:v>74</c:v>
                </c:pt>
                <c:pt idx="4">
                  <c:v>96</c:v>
                </c:pt>
              </c:numCache>
            </c:numRef>
          </c:val>
          <c:extLst>
            <c:ext xmlns:c16="http://schemas.microsoft.com/office/drawing/2014/chart" uri="{C3380CC4-5D6E-409C-BE32-E72D297353CC}">
              <c16:uniqueId val="{00000000-6372-4349-8513-997B50048D6B}"/>
            </c:ext>
          </c:extLst>
        </c:ser>
        <c:dLbls>
          <c:showLegendKey val="0"/>
          <c:showVal val="0"/>
          <c:showCatName val="0"/>
          <c:showSerName val="0"/>
          <c:showPercent val="0"/>
          <c:showBubbleSize val="0"/>
        </c:dLbls>
        <c:gapWidth val="55"/>
        <c:axId val="553083728"/>
        <c:axId val="553091888"/>
      </c:barChart>
      <c:catAx>
        <c:axId val="553083728"/>
        <c:scaling>
          <c:orientation val="minMax"/>
        </c:scaling>
        <c:delete val="0"/>
        <c:axPos val="l"/>
        <c:numFmt formatCode="General" sourceLinked="1"/>
        <c:majorTickMark val="out"/>
        <c:minorTickMark val="none"/>
        <c:tickLblPos val="high"/>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091888"/>
        <c:crosses val="autoZero"/>
        <c:auto val="1"/>
        <c:lblAlgn val="ctr"/>
        <c:lblOffset val="100"/>
        <c:noMultiLvlLbl val="0"/>
      </c:catAx>
      <c:valAx>
        <c:axId val="553091888"/>
        <c:scaling>
          <c:orientation val="minMax"/>
        </c:scaling>
        <c:delete val="1"/>
        <c:axPos val="b"/>
        <c:numFmt formatCode="General" sourceLinked="1"/>
        <c:majorTickMark val="out"/>
        <c:minorTickMark val="none"/>
        <c:tickLblPos val="nextTo"/>
        <c:crossAx val="553083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85CA3134-2CF2-436D-9704-AD427A7097A7}">
          <cx:spPr>
            <a:solidFill>
              <a:schemeClr val="bg2"/>
            </a:solidFill>
          </cx:spPr>
          <cx:dataLabels>
            <cx:visibility seriesName="0" categoryName="1" value="0"/>
            <cx:separator>, </cx:separator>
          </cx:dataLabels>
          <cx:dataId val="0"/>
          <cx:layoutPr>
            <cx:regionLabelLayout val="none"/>
            <cx:geography cultureLanguage="en-US" cultureRegion="US" attribution="Powered by Bing">
              <cx:geoCache provider="{E9337A44-BEBE-4D9F-B70C-5C5E7DAFC167}">
                <cx:binary>zFxpj9xIjv0rDX9euUNxx2BmgZWUddpu3277i+C23boVCt3Sr98ne7qnUpVTOTUYYNeA+6isTGYw
yEfykdRfv8x/+VJ++9z+NFdl3f3ly/y3J2nfN3/5+efuS/qt+tw9rbIvre3s7/3TL7b62f7+e/bl
289f289TVic/U+Lzn7+kn9v+2/zkv/+KT0u+2Wf2y+c+s/Wr4Vu7vP7WDWXfPfDayZd++mKHut/e
nuCT/vbkf9rkW91n9ecnP23/7pe3S/Ptb0+OfuvJTz/vP+ue3J9KfLV++Ir3eow/NUZyo31ivv9R
T34qbZ388brE61JRLXxJvv9hfwh/8bnCB/xL3+n7N/r89Wv7ret++vu/j956dISjV7LOhj+0ENrt
C//P6+8n/PlYy//9190PcObdT+5cxF5B517a38PLb+3whxb+A1cgn2qJOzCa/9Aw4cdXoMRTwoUW
VIofV4TXf9z/jys493VOa//Hu3aK//HDvc5fHv7vdR60n9es/OPg/wGt++Qp+/6H0GN1C/aUfr8I
9XeLx+t31X3+m5xW+B/v26n8jx/vlR78PzD00Ja2+i37D+INf7rBjC8NYOQuzCj61BCtfcb1DyeQ
x0r/V77JabX/4507xf/jhb3qw1/+7+398GX4/NW2f2jhP2HwsHejpFR7eDFPmZRAIPrD7In/h9Af
8PIvfJPTmv/zjTvF//nzvd4P4X9C7/8c9/8MhNHn/vPhewS9A/0Pv/r9iIjru7c+FIh/gMb11789
YYCQP8Py9gkPAMofv//tc9cjPlP9VHMluZaUSCK4NE9+mr59f0mxp0YzQrkwypcKEeTJT7Vt+/Rv
T8RTKo1QRmvFDPGZRFTv7LC95DH2VAnf9wlR0hBOjfozaXlpyyWx9Z+a+Pv//1QP1Uub1X2HT37y
U/Pjt7YvKqRvmDaQzxVlvuYGxtN8+fwaeRF+2f8v5iV1TpN2CZzoSxauSKzay2Goub1JVpH3F3c0
8y+J45wBJnxNGfd9inPdFdd4Kh6Kns+BX3SL+DqXhb+WQR1nHn+TcNOuXx6WB9/YHY8LwpXGCYXm
YtPjXXkkq4t2Kd0cOI/Ur3vF5FuXyfzyMVIk01Ccpj6ck0qlyOahd6WM62oSMtRdoKk3RkvfjKFi
vP8Rln9kQid0Bwi9c5a/S2EUH+9rODvVx1Js3DWxZlUXxHVuDvHgiaCt5/JTMq8uygrjvXjsqQSB
lRGN/FhzWOKxvNJflTCzboOhNfwi09N8kZajHzxeChNKKe3DRwTZncofdJa3JG6DnKf0A8lcdd03
8xo9LOW+7gRhRggFa4cdaLja3RtqXUnSXpk2mAueqjA1sx2CohViCKxZbBf4bkrfPizz2LW2+xI+
EYJqouGwdMtT7so0NXNNNS5tYF1Nb4jnRDR2Rf6cDFqeOd4JUYAYOJQRTFG5Nw3aVMRWQwFR5dgE
o6nXiyYbmrDLq/Lm4VOd0CTKDc6pghoVIOj4VKKRtfbqqg3GrMuvhyyXVxI48YxbZn6ZWquuHpa3
+c4/AOq7Fu/KU+RY3tLb1coR8traX5uryo8b75CPMjsj55QKBfWNLyiOh2z+WE5c6XXJrHCBKV06
hnm+5kvUZ8P6iSWjOyPslBKFkho5EyNa6O31O6hrXCt1ly8uSBZaRMPY0heplHEouF4iOWv+I9L+
U+g4eTjNlKTwMyHlzpVHPsS6z6gL/HLggTA5PWQ9VUGSrckZfz4lShLOFLzZF4ruAorvCVF4M3HB
0pIy6mkpX3T5SgNTJe0ZB9vAe28ad0XtHGxcVdN2Pk4lVvtLmqrkUheLe6+QpT6beOHet3r49fHW
eFfkPUVm3jwVPhSZkirkbSwusq5PzrjzKZuXPpdaCs6I2NtiZ5q0Xb20DZrMDC8L2+Shp2v2I+39
p0ZxUgqMHc4suVB651mxiLlLjXKB7aosYLOVF9lo5ZnYeMrUpWYc2Y9vlDE7Ka1RWZs56QKvNUyG
2pTFTSmr+Peq6dK3BnjVn3GukxaoJeDQ4BM530nMvbRsM8lc0CMxuyzH4aPg/DfqqDo83hgU4YRu
kUtTtX2RO14sBUmTSQAy0thT4VR1OuKl359xKH/zmGMzlwB2rplB8o9AskPc1NPZUIq6DRxrWdDV
bArFmuaHpmmSy3qyLGikuIzjorhkop+8wI31EKyEp2dQ5L7BSLiOJJSCTdqSnuPzmqwi4zgiyvh1
X8pXdcfT7jplQ9WduUF/c6P9kZlErkOZFsLfpx5zl+jUn20bpFla3JCSjhfONeytHdvnifTmm7Zr
7KEtrB8wyA/npUhD3EHv9+Z6WDx3JhW6jzQGwRUeaZCuE8F2bj8tyI+8cXZBQ/TEgikxlQxoPyUs
mkhCmyBrR/m6G/pqPnP793UOyVQjumvD7qdHC2VzNfiIFDOzOmxtXoQrG+ozN3vyfHek7ExsGRuz
Jg6gPaX+GA1JScPJxd5lxZNgMR9tPrnosb6Dc+GCoTipwF3usFurqWbIKF3AFt2Gnpl5OPK+PqO9
++ADKZIhh5UMBKjYxdna0rjoVO+CIjHytdWLO7Ciyy/JUOa/9Vm7Xjx8qlN6hMluxJOAn+wRIS4s
SDCBiCTziTfR6LR3S2OShFpX3XM6LqaP5gRZ4JlznpO7O6ccktk5y11QVnV7m0/WXjfpsD7PB6+9
HbTgISly/wz8nVLulm0SRpDAc7aDv7nRlSvbGsrNfPFr7w3zcKBmzC+n2pAmSGuv//CwerdPPIYF
s1W+jKEEQljc54IDS6ZadIkLxrirI+lcG7EqHwOvnh+fdiKVRgYjmSBECrHziIKvazFJ3gTLNJQH
UqzDxdyLxyfTRnAfCQkSQbqxA8eIWi+dtZwuTeCpZrpkBa+CIleviCtEULbkjHWewJIjaZsV3YlX
U0JlN0ugFcnK2A9ZpgoZxrRdlzOWoe/fk1JCkc06OPiL7fU7guDHWZmmaxOUI+luUu1Vl7auyI2t
hD40So5v58nziqBapnR6vCsYstEiyK9RkLPdIVUx67XoEf1XrzdvSifoLz6hQ9hQ4a5tK9c8aNJY
nDnxCcs0oN8QIaiSsJtdgEBNInvmT0hF/XgIGmbKoPHzNMjI6D0eq9Ht+Z5dg/VDeDxWrm66peNJ
g4QqteOtHNxwXbFe3GTc0Ks+Vn0alK4bzqj1xJWC4gDvgEQErQy6i/1t6uiKnhvwepA0Ccos09GU
2e5GWDa8mLnNg1qbLnTZmJ0Rfc9st6ArOaM+pwgZYnejIp7qxjkgSpLrJqCkZhfgYsbnj8QWSAH7
YLaaDOnWHlvaeGbttMJm16z3bdAN+RqhxC2vWKPqZw/LOnUioAvST63A5fi7DLXgGc9E0zdBYeq5
CdzgrZ9Gj5bqjKncs8rtTJyBlNdgBtB+OjaVbM0bPZGhgVUWS9Q1C78l5VBdu3nozmDLKVEK9k+Y
3AKt2onqp7i2tqogyiVdANrDi5p1+ZhaspxJDk8pD7kQXMAXxPhqBy6u0mk206YJWk6yQ+sh102n
1B0efUVbmEFohPKIUrsytktUalyWAcLEOgdEdmngbKUff0FIqDc+DzI03bOvi580NO9iG0xiRHIJ
oDrYWeevYpesHx8+0IkLYmApBUfEARctdgilaOVSLymagLshvuiLvgsLNuYhKJHbhyWduKAjSdvr
d9C/touL1yVvAiPH91rV7FDTuDljb1tkPEoFDJIOVJTAP+AuuORjIX4/u8r6ng18ackzl8/uTcUm
e20SwdfATvN8+fCpfHpKok+pYZz7kLqz8NWVeTk5SOSJgQKdn0ZzXRdhbEZaBqmI06t6HpPDkglz
WRNHf/cW76YTdXORsql4/fDXOaVkXKQUoNKJD+7++PxJXVaDjmE5yoxr5DVefgBF8O3xQpSQlCuB
6hNIcixEumnNukbYYM5amoXLlMs+6ohp5Bk/OHWbynDQRtQAP8xmvHdMJuZFTdgC46zzeg7zlMmA
TN6FL8aruveWM9JO6U5LtD604lLBzY+lDXMn52q0TaB6Ed8W4+KuG6Bo9HjlaRAeHDkQ8sg9sa1K
1bIlASLmXdU+s0NaHWbBsjN07ImzQG0oooCIuKi95oraeoXJ0i1PVemLcjI89DORPpYqQqOJgIEA
bKC20Wy7vzv3o9fR673N9ouMVc+rZaZRE9f6DObeZzo2MWhECYVeCiq37bB3xFRytYJUygb5EGfP
vEWzC9+VN3YSJpBkfKEn8brxSHxwqYpvwXffSNM0Z+LLdvs7ZIF/+wxtArAtep8IrI4Mpk9KJAJy
pP6hn9OufslnQcZnYpgmFs6TKbPrdjT0HE17wg1QDaDpR5kUSLN2buDZVJChMjZYqpwVYUrkEk1N
9ozxhIdDF+Ofj7ZRBB8KDnrrLfv7qD1QNVcrAYrwNM2CqWPtharWc56wfe1jjfq4UjBksCAhzb4c
AOeczK3Ctco0S8JSK3u91Ku65rFJz5jQfQ1ClGZIE1F/ULIvqICVkrQCGrSFyLxosaXTAVlT/53p
mPiaTtUUn/HzDff3p4PnbUwj4IujHXtktGnhxJw4ZoOmrryIGyfeu2Faf3ODKiPfr+lvoEHm2yZl
9qpqaffp4Su8b64+A4FCUekgkwSqHYuvakeScRpsQMo2iUqpvpat+iRqEFTO1FUw8HNZ5X3I2SSi
aEU3DSwr23lpN2V5Rn1ng9qjKFrdMFzBVeozN3mv4DA+5+Bv4Qh0iz27NI/mPRPc9jZoc69dQ11n
2a9uXSoetU3MX7piXLOg0Ck4I1WW3bkYccJmBZFIZ5EDgj3aN6rbtVFFrUYbeGXsLkRSLH1oYj99
a7uW5Wfc8ATwoVWCUlmB9d/Qb3dYRr2CTz2B48vuJXCxeOvHpohG3pZ+xLtUvClYhVJ5jqeuv6Bx
HKvA6zr3Lm153Zypt05oHv1YDANopNfbdMKxRdGy69vVTQB7l8Jdx6H/bZLI52sym6Bc4uJ5p9/7
LkkfHcqgBLTRwZxhMEDInV2RypTCNbBksfDShn0Ss/XSjH7WnVH3qbtF4YVhB4Zy0ufb63fDTF3n
MUYcbJB0Q/xuXHKmDotv4ts+44O6fNg/TwkzoK3AQBqCvztt9pzS1OsLG6xg1m8a3w4vplp50Sjt
9PZhUSfAT24iCBqKCs0+dnwuP+ZiUTXOpXIVf817f3mnezVeFnVZXqGhmX54WN6Jo4Gjx3jLNtyI
AdRdGVtyL6uGxQLXrdKRl6KB2bYJOup4z+OvTKPljJCIo4Et3tlGJqsm6frcBmbhbRLweRhitP1q
du3TGlzgwwc7gakaORXfUI5shOOxIvO5lmUyeHXgV1Uexjbt8sBzaPyFse7o135pR3LpEGvOVE6n
5IJuhEj2fZhkZytDP/klZQpypxoMzjxk/AVd0Ghs6yx9N1lun+kx9c4kdyeuEQMKSAEUki/8x84d
RjXyqvcSQF0PliCu4eVN4WyoVCfPQMsJC9XAOYEJILDGmH46VuzKpkGNU2WDuFvXsBxWernIUV8N
bZxHU514Z4iWU0dDWb21T8AXo1g8lucmlbhZmxotTi6vqbfSqEqEfb3qrDxjoZsF7tIAjSwKvQaF
uS0EyGNRXDraJ0tcByTJyhe8BX2Uc5FePGyZJ6Ug7goq0A003wPJHegiVVNUUgBNXF66g4uJvk29
dHo0F+ZrNDGQiYLEFVRtpfAdKV2K1ptcGkgpxaxCTLaVyxXP0VeLFqGJOwORp6wCDNVWxyCp4Hqn
OkJW2Q4ZcMvr+zdjv76qrJsCiXwqUC53Zy7qlLRtVnWbl+TI23Y22NRdLlkD524Xl9zUWcsuuiJR
12Sem9t1WoczpztxZUBkMNGGKMgUO5QsFG2mGdNnwTQ2DfqyKaFjlFg/PpdFnDB2iNiIMXC0nJjt
i9y5tbnhftpn8ON5HFUVVZgdiFRhdRZkWdy+edgQT2gRSkRrEkMKGAjeC4tnf677RNeBNKmoI3wd
96VuuYiD2AORC+afp49HR0RssKXISTASuQ/bq9XVnM60DvIxi8PCSyJO4wxMrfAOPG7nYJ79KXr4
mKd0iqRabBT0xjNtarij07TPvabyOHLMrryh6CYeyoolQcHpOYL9nKQtNtyRJBuMhWEqqA6aoc/G
a0B1Xx7qpRibMCsaXOXDBzsRaozaGqNbboKYsjtY1be6TDu/Dvp57S/XRXgvVxmbyInOHbzZLDfK
ZfGHf0Oo3GAF7oBqaSe0rczkZ5rVQTdBiRlGQd5Vi3yXyrq9INKxi6lL+RmZJ8ozAD+yaqz5YGyB
7/Ta6dV2OWvrAJWSHyRpfWOaufywxGmOXSFWfRIVaSPhkfaaTnN1Bmzu59JbVwgQiowaA7575yfc
qpmVWR0MavZfDbRegjJtk89e7Ibnq/biQxe77rnXdGci333U2cwVnoI8GoTCPhzVPTdZD34yiCkG
h9DSSA45y+mrhy/0Pgqg6lTgITFWBh5tH19HVQ9ZRlMQNvGQfkrWdEyjHotY9QWPZ/upH0Ty+WGJ
9xW61bmg1JREDBR73En7yktJiwyi6rNqClxWi5dmWIskaNFWuRCsFoGqEzIGcRPn56YWTkn/nsX7
gqstzz520tGzJPM50lDSNGkZKQ+OCe7eplNopjLzg6yO1ylqZtIUVyCL/W8Pn/4+SDDEEAyEoy3B
KJjSY/kSHQmkyQAJOhfsGn8/Fw2fLmmq9cWjJYEiBTOEVs53gv1YEmoHatYSUbKOjaqjetXTEpgC
Pf0LOYolPQNH972UwY4wMLuNuwEYdortcq/I575DOKGl+4oAEhVTXkR+EYOB62t7mVSL+9hMqrnM
F8bfP3zY+84C6aDSNZJv5YMQ2x12kLIYOkjH5Fh+6zeSBCKv6aNdcpOi0ehHtwcjprtEAB6iMaU9
IUOcPHOTL/zFqGfv+t84iqab12PaE0shx0fpMOvnYSoNipzW5iWG0uMFTWgynpsFO+H5ILcpqEpl
MDq4byehfyqqqR7qIMHuW2QcZuqNXyXXmPebb7TuvUenpBg4I1uzQ2Fl4d5EWJfQxbrtijwvZ4dy
1OULAd7rUCUzf/mwCk/ZIiYvyQ/CEnPpxyqs8oyg3loQ89XUXZPc8RBkQhXRZSqvm64lNw799lei
zZuPqUqbM65wAmOQxkGlYJ0wEL+fDRZlMWL0A8l3PCceDRwYxZdclwo85qzat5R6YgwEz9xbniVL
e+bw9/MCZFjYldjaxprL/cSU9dYGLeUSfbXVko+4jEwGNYUzhkOalB1GHYvideLN4t8AHAjGfAEu
GbCz5/77LOtcMqIIWHzXhR6+4fWo1/RXXw3Fmdx15+7wPIOJHl+hAACGI7M7vuB4TOvK8CWLyNSJ
yNdld+nbMT+DoHtS7+9iNPCMMDj9vlbD/lJFMsayKEePojflEI3J6h0syb3QyY68QD+xvimY9zKe
4/nCodv5Kh76R5rzva+xQwTekKlHcptFWdtWwSxUe4nEcLq0qmJRYdaDlawP4M0g3jDMeHjYmXYR
67t0DPhhYsUHkwoG51jXrc1slqshi3SSDDfCyeVAkmG8sNl4rs1w6lrvitr8+m4GvTK1iGrMosGY
7NCzUkd07uyZa90B3/cDYeEaV4psDoXP9vodKd6YFiLN8jSKs1ZNNwRTsHHYLU3RXrMlN+SNavr4
kdncJhST9PBGLDNhAVPvkli2cNcKa5JoitPkucB4U7QxV2eS1RNHU+DzKNYgsI+j9qnygGWR2APB
FJl50dXt4JesuOpZpegV9sI67ACpBoj/sIHsAOf70dC63Ca1IBvFyLE+baziNFt4FlUzyWM0gJsh
W0O1dpPfBsWsZhP2Oh2ny2Rw6LY/LPyeyaCfD9vHXASG7YG1u5Dcjr3iXlzzULg+uSJtvIQSg69n
pOwQnUuw6IQijUKblqEXvJMylBkWWCz1wyRbkjFcWGl/yd1sDp6cvUO3IFpXdVNfMLomZ+D8nvtB
tEbzGfNwFO0UvoM6k1sSF3nFQp/Y1H9JRTO691nfU48HmHHp+jPdqFPy4Bff991RN+8biunKSxp7
DQ2Xgo9BOa06wn5hGYphbaOH7+6EKHD3BhQ+Bpzgh7ujNdjoaguM1IQxqo5D7Oo1mhGXAWmuPXOB
u4xgu0BMQaDFjr9KIDgd22heSOfPw4RTdcTepnHdXHrxWoXUU8nrfkSPP56GPMyrmT2bmJjOXOI9
v9zEozWCpA6TO7DUY/HUMwY5cEpDGKm+9NaeBly2IKaJx5AfWPLqYc3e9wqGDAtqhfEgX/R3QNok
cxHnMWCNlgW/Ksp6PLgs7c8o9f6pjqTQnVcUhhnPFSwO0dFXYaKlDcsZk3d+al6NIxNncOaUOLCz
23A2FilwvmMlihrcaaZlEgHESJ1fNLxdsjRMRcnKIdA1X2h9WPoy4xeP1ybDJiDGYDFACQLrWHAK
qhEz/NQLmbbyY1qgjWm7R44D4ZKwVouhaDA66ADB44+FlHYpU6kJDxcc56Mhto7QxWjOMHD3DQML
EESCgUMlg1x8p8N8HONkyk0eUYquj9CZPXhZ5l8/VmGQsnFEaImCmNpTU51lU9poL48aTpGZYeX1
IiPdOXu4Dx8SkIgSFyua6LjK7fU7cRxUfbwwp/PIGxcbpClBeJv8/GqO0ax/+ED3Qtw20YSciqF4
wbLQPsS1dtuyzbIiclgV+7IWQ/VWiMRduFzMUaetd5OARD1j76fOh0kIhv7t9ryG/SxJu0LBiYMW
8yx1aBljlL2jtQpmz5/OePIpUfAoxBfUK+BFdmYhynTMsPqFDs7K+l+a1FahHbX/kWPA8NHOtG3v
YQYJjPpG6+3snKwuW5pBF1EzrfbSdOXvLZPnRg/u3xfsAe0IzP1vYXOPtx3zsaKOzVYYoFreDXZd
o9Xj6TPsvXbPSdqUz+vVa8/1xu4717HUHU7EcrFY2YqziPnjejU2WX9pu5FePWyL93MRNDXBoCFs
YgUd/c1jsxfzkhXOQ1Hi6SF7WRXDGixqrsOKN/TWT/O4CrIpZlc87ePPD4s+dUAEMVS2FDkQBq2P
Rc9r13jePKMeknKO5ECLZ0VPzjFJJ6WA1EZ3H2wvFtaOpYh8wMRTLLJI0XG8YI0tMEPmn+N175s8
ahoAIdse0YBe3K6osopUtd+neUSGNR4u7dR09GLN26K6chXt+zOQuJn1neYijgFxWEjBkxpQRaGa
PD7UmNTcuZXnUbw6fpkUbn1Vi6yM8nbjqswwmjNmcsIFwPphBGfjzZEe7+4q7Tn3RjXlkVbINvre
R89KeVZfoVDpL0bMlT8bVddVh4dN5IRagccYuoFUiZi5u7ze25IvN+ZRguBzIep8vY6zAZSuRTF/
bmn+hFKR/Eu05OB4qKp2SjU1WZRJXB51fZ9YrJ8h9QsxfaBlmEnTpVcFt1n1aFgG0ShBYyHA4XkU
epfLcTVNXTcMVVSjGRqCW4rfyqlnVyuz45eHlXnCE9C4gpuDKEY7dz9B1Q8KXYB0rCLM0atw9EcR
lqv5+u8IARMNngOrYPtymPhNgnm+voowAD0d0pqQqJ7MeiaC3rML0CcIY+j7gbPZBl2P7X9G8Ybm
Ym4j7Ja7VyVo94h07XSZLr788PCB7gEk7F1sDTFkiVjn2U+31W3dbsPVLsqtYG9jTGbF19m6YMk1
snFLTITIPek05FPjik/5NBh2xkTQQr13dRiRwKgkEuRtEgTL9MfnRTlXYOmzcIdFkAJ74N7KSlq+
HMu1S4pQVryr1kBm1VqaAPuTXV4GRFdEFqGP1l3sDiYjfuW/WSu2pJ+zArMY/HoqdeO9T1UNhuJD
vBR5nV8pb+y8r3WVe7EOvYzEXh5kxVgX+YFMCYlZmC716EjUj2j35pe9yVv2dpwb49lQpum0/X66
OvbRqbTqf/d70kwfVrpK9qKtVFt9dQXvh5AOS+Yfcs9mLg9yv8+rm6HJsxuicpmjOZaPy69zWvdo
kNdD0ubqgvKsHsLFL8bJBOiw6fY5KbenJeQsLfV70DuU38pk7MhX02H36V2BgpDlgcValF+H0Eyl
orH08qHGl7dzfNO0edWH6NzW0xt/8STWJW2fx3FUoUlehPnSm/bdzFmb/9Ja4bGr0pgYBCHOYsVH
Vy4DWyPmplmJq9atycoO/ZjPXh+WpDRcXbVp502XfYVRq6BDzj+nB3/JNJZpK+NMFSxLE5PIpjFb
Xtth9euvZVNLml32eCTNB9ehnB2jsrWN9wLzsjZ+0WdmxbDz4HcZCpWxw1eVmCz51R8SgqVWttb1
+qaRDWZaTYJHRxzmjrg+HJQo81fd9hyaKvKYN5gPIl5U96kZ2jIdQpBM9fCmszlI12Cs87JNUcrG
xr9KGe3n1zKb+wJVRLIODv3KnHg8D0raDusHOasyeZcJPTrvAk8QmMbyuhzGIX2l0qEZxwBrM5q/
miZlyynoy2Ra8nDryiLHzhY52w+twsY+6q66Mf37dWFTPAfZKFbvle5YUn7hiNg0CSvP00kXrVOb
U42OPxHDGytTIr7RdeVJAVK6cykJ02RUeRpmemz9LlwGhwcsRYmxUwLxcGTzNo+XCjPrQyP1erkk
oq4/alGQvAgwL5EuiC3loKZPwMqRkqAfeLG+dIPGGOSl15mlYwHN61YkYZH0bGiDTK80/ta1NRUw
5Vh2WFvwlsUnv2q+rB121vm8tmOY5J5bPjapWf2biTZ8fcfrdkjeMBP39Vtst85lJEzsTSHWIlYV
aNLHdTTabCHPK53EWPgHGb++Lz1Mj/SRHSSEt5NTz5Yll/x9n+thvdCxBQKFGLvrUhJhlchPvCu3
lOi8BrXjy/Kx5hUc9aIiCx7TEKiCrBgRqXOvbskta2nVmHBrgRsSpb2XduOBpBo0YLDSAr2A28HD
JqcJ/bEa1q8i9dDFiuK0wxRQ4NuFWH6BEaFaY2PO99bFD3Ky1tNHTFh6eRJgqzyun1GaeJhSxXN+
MJYcLFYnxWfh2rnJQpWQlbyWaYOHJ2BrZ4lNHqw9RmSGAAArhi9VvuRpGng0Me0QbvMQXXej/NLx
/kVhiSjb67Yv02a4bGesBnfhiKJAyahhMhbPapbLasCzi7K0Tq97oHWOGWnf9E3A8AwbEVLueU0R
ZsOkG3q9sgrw9S4uxTIMr+uCucIcutqoyX/Xxha1D7I7LVi+9SQ99Xzu13m+1Rga6uihSVY+BZNZ
Bv/QdQseCxQZb8rbl1XuFnfl8DyPLMdEYW+LPDCCTuarrih6Hhd9vsjf+yab1K1Pio58Uhnt7NtK
YSMfU38YVsLgIRZJ7VfKgMkBHZEthNOcjeMtkY2K3y4okIf3pLdteVmWiaS3ncbzqELAF/lN9RUe
cJQNS3Pdxmt5OYnYx0MiJpf4gUz+l6Mr2Y5T16JfpLVoRDcFqspt3MRx7ExYdq6DQA1CCCHp69/2
m93BdewqxGl2p2O8L4eMPTRwHpwz0fAH8GoafI+smq14qadC8hPgJuOzFqT3wh5K7Q6Yd3W+UvKW
5cC+/+IzTfmbLecNsMBOSHPBnwXKIWV8Dx10CCK/QG6diNstqKHoywNjesfnJlvf8j2rSdISKVd9
RwreiOeMT2K9S9GBh8eVTj7cod7pt0jTwF5H1azD3ypOtXyaOamrJ7smsXmDFmhdzttCpqpnqXbh
glk12NZ5BdHoaSVy+FqaLTWPkK1O8uzHyTefOLILztyQQu7yZMpMqf+agc4ljIUG38Npic7kXxN1
QKdbspgMpxpnJPFPRS5BTxEVbPlThbjGG0ZmCms/9YPgr8NY20Rd0WMrt+qcFGb06ZXHojD4Lh71
bP65OhzJl+N0VUfLbEp30m2W0OwzM97vORz0ypexh0PDbaJDEtI4+rZp2FTAq7Gwb1WqYfnqt64M
alVf1S6TRLRLvW5wy7Ixs83HSudEv1YTlRMmhgUHnbVQhsUy6/gS8gLKlHSXVqGQ1t5c6toJeNDB
e6z3EymOvIVQBpFB9eJRzyE92PZ3CV2oaeGhmnaUxpSnHYcOBBrLdCEgkvwyQVaU8InWr34Ecfo6
HET+Nyo910ArheNAg3X6mhIgZl2Os5h31Toa+XfbY/0MgRc6diMT5p9KdfirEe/XcMdZzlSH6rO+
1SmIXzRYx983iHqeRVjm/8qpsPJKLz5/0sdRPsF4Otr/t4X3sU6Nh89xK2/UsbL9JyaFGpA0Kxp5
WSPCLS4INBnsKakG6rt8aUxxFbcEshbIfeXrklZ4WCGSa2NCkvbARlnSMo3Egw5CPMQRFKsQ83ku
i+EO202QrZYifkwE/fta22ylJ822AxJsa+XJrCk/l3VI6Zkmarxg+UBqiA5cJxC1DSvrtVRL0jmI
xnsD9mK/HGhv7zm0mKJbB/SYruAOD2UKAslADqpW2wVz7Px6m1wVWupqaMeQFteMSBDyh+unQDZ/
MyL2IrTzrKorLo31iKw56rRPCNpQm37/qm5fMg7NR7oPtDPpUpI+95lPIbIb2TPKXfZ7yxfl2iw0
2y86V+OvYvTDPwZm5yk1iD/BN0JIcmbTAh4pqUyC92GZm6Nt6g3DKoJjdHmnB+n507JEtV0yus36
2i/w6Jz33Gb+F4fTfO3pWpGpnYvtAA204GiWWyPpaQh1snQzfubh+zkACQ98cZ0dhizrMKMsVU8j
ZhHoEoNEE5kr6dpS7dlHcxTydsyX6Hsomyd8hsTb/DKRuMJVHqf5z4JHM3XTIcg5h/O7wF+rICkq
Cq0g+5M867DsyPNMBf4TMCxm8JHXirX5nI6vhs/zcEXH4cjaCpMKJBhz3Sxdkwr9wEVZs3OVzci0
aba9tOd82RJQ+k3kTbvEbQkdc1D2tqRIGcWrL5PiFHepn49qk8VPycc57Y6SzLaVvtJby9nq/X1R
jRpW6zFvxk6NR5X2C56n/rHGJLtaxlkW10su/IAfIhTTZbWnsc3hDHKtrSyK2RYnKs5KOvKQQVq1
fKYLDy2pUTPbtfT72LNxxT+b86rhJ9c4THxlNRUjlOKqum3EXNELZtya7K1oFP/iMffHV4nglTcp
NPrJzKYp79XWNOZs45jgs6Sb6jAtUUQ/HpB73AzeFK9ZEbb6Rg3wAXQsd+NzrEaVtBrK+1vvBgyX
7jgw5Lmom6wvFzr6DsFTDWIXmZ8ew5plfzbasLsJqbi0tUk+WhTDZp46NTgUxiOm9JfJkvCHLHxo
WuLolD5nu0VkQQGJg3zjZnXAxvhmd/UDr2WICFv06HzlMCXkkWGufYk7QbRLsmTT7ZIWe9MtiJjE
wM8XPvbjyOr8Co+qcOe4s2PDUVXNs4PdZD4NfrJDO4KjZlfTQdbyzCHV4a2Djak6D3YAHBzJIFnL
Fp++0YN8C6Lg5pzPACG3U5M7qEEHz4ZLzFyCHKJiHOWFYJ7Wv9mcH62uKz5127ijdoHZqLhsD1gk
5ZWB3/UR2FsmevBHLr1eK5vCIUaws+D9KifiLkjS9POVorXRt5hVsLVxPJYZ8X4N/p1k3out3zyF
HR4GFvYbtL78ytI4/sf0cvyH+Bf2cYxc3KkC2rxzji39Mc47f1EDEb5PcKDe9lwl2yXhuXoxnCSo
mTKN+bnypcBQkAwN6QsMFPmlTH3Kr3Mhtxfw7MUYO+z72N6iVfmzgccunOBA0j0b5hK9gKBrdZDx
Ih9rELSeMAwqLKhO5OUjWHmEU0SYmZozNPqJOZPKVP7XrJqaX1vKMQ5bl1SnKBz6ULtNKrcnjby6
qS0JYe/zCOd8C9FaIl/mPRxb7+Q65BeU4uUeIooBFt88lrDd7E3Z0jgjKwBCiuZfYjL/L7Gk+bfR
Aputm4c1dHuyFyAt6w39DAI7MWEPkdlpKLCeQ/fyHRjpU7l+HMcBp8vIcsnbrYn5X5Al2IFsk3KM
yMT8qodq+ZQqkPwmhzv9kiZlPXWAs82KLA6gwGc4V7ju5mKA9oSxNX11y+Dwuixx/FMqffwoIx0+
GhvI055n+1NDmoNfNCYeyCdtAVdxJUE6naZ5Xs8Hldt0alJfDy3bp3B/rMInZ0EP/1khkpS3BQn2
75wjJwFJLyov+8Fn1UUkxiUAbsb4sSXUwSqva+WvHN/yz+OgewVPT1g+NIpHPFV7Pd9nc5b8y3Z5
/HAEOPg5X7fyw41ifmEFUjJgaRTbzV6OGJEKkCmuDdD4uCsBEW7o12OS//yakE+1+TlDfQvh57RY
xLJsSxTsYZ5WCtpUOvWVis2E7ggN56dAqBBQbor9lkivDRaEsP4bSzr8Cbken3a08MdSMPvObFHL
1uFb+1ut1tx6uaaY9RWeeYsMFp92ghPMgUKwb9su3SBbSGgQCL1lbP/RGKzh7ey5xVYV2PeaUBfT
Y5pJr846mQog8ikSjc5uC25v53UqqguYy/S9tLwokU+ykQdqCrzuGWyXFYAq7PC9h63dtLTyFbZS
KAlqsE0kNKcj97BwcO+XmwjOl56PDIv9KVstaE9Lrb1UM77rtrHSlt2yZ/vY7luFQzY4Sh+GtWav
UF6IlyPbgQNh8du3NtfNmrQDEhjKVpa1f+ZiLL7c0oj7Y5u28cYz3FxwamoMMWfjZW07vn8zKsmQ
jtfpWgl79r5pXtDTl6l3xaRuZzi87bVZRPlncTm59zOJxTmtGfs9YmDdb6rRNM+sGYKH95HDYwCM
pRi6wNb1VKe+4ldrStXcjVTT/+o19xABqUHc0mjiKz12bTtTbKVC5FEgRxvwZC4SVORxdo7Ft2H0
wd+hWhTy3GQ8O0la26NbIZnAOKtHLHcDPjy+ndCENyzd+UvB8/EnNzD6tpNdi6wdCWaAPuMh+Sem
Wd7C7vddwoFelWfjJl11cNHYx8oGh/BeZDvgC4hH2UXYsh6Q65b7julYqtbVpFxPI8b2oiOCJteF
O/AxG5ggkAUpj6pq8T7Tv2D4hl+JpttvCjn9H9AE4XYU++w7y0Tzuz7c8h+QQPFodi0/5yLm1ws+
punAkmP99WCJkJYBzT90cEczXOdqEzV+7x5woshgj9OQ5C5rUzqs+GZRM4CDZMX2LBDugWU/gyoC
1bNaHx221KNFkO+c3upAij8ubMV9Vc7mQ0yc/s4rUGjtRoX95BuSp1ovgH92m1xKibI3i6w1+1Z/
gGHGkLyzZryLxepNG/Al3iM1OplgrfL7nd5HDClJuqd9GCqxwNa1krIN2DveCaRZ7/VUUvzdmYYl
BMKN5UL1PPA2OOOxAsFWiuU/Tst6GSQ57of6O4G6BBVr25Vl1dhtbKn3E6amoDq6xfkNMv3hMdvL
w7US+1Hs5Pg9ta3ULVeqRCZh63RZLd2Yw7B/U5tgPjIX6EsZG4raTaJ6WpStfxdjnobrho/8Rdt5
+Wshsb5HfMQSzlM5Nb5dkILxlngAqW2GDgzz/7Smz8IptICBIToTJbasnrxKqt97rrHKQUVMX5lz
aB3HEuD6KQ334sYmc34rNizJmH3zZe9zlZK3qV4QTYedYcBCWlOEOW2YWu5kRHJ4q6lYXYtXvPwk
5BDjia0Hwo9mbMSdGDl/UDn2CeBA4JQvYh3mOxMRlHAZSJNe1xuvvkZJ1Q3065hihMOIkdravwBZ
rtYeMuTh6HxNatbXhYaAXgAQQ1wmfPP3E8imv4ewTXm2dsnORekw0Ss7x6nLjNnek/VoHkuI+6C1
V4gkaXkhheka5D/egspcihbE2/RzlNzqTluVCYSyOsxeNYKj8tbmo/y5N6Q6OnnoPHaWpv6O1mNo
0Art9FwjibdqpbZTdc7rPT3jGeuIyQ1WZ5lt5B3iItjdYXrPtr4QxXYn4I47rjhYopeKHIbdIDkS
zZFhrGYtahG5alji3SUZdVX1pqjhUi9GFBkKsOxmSEV82KxYm1P0jN8GFUyBBawIeduQsD1MR4mu
pqoRNKbYjbqaKhBFpwjl4Vsx6PixNj5ZezxDfrd7m6V9c2w43IIP8rclXH82UtCxKzGh/AXJEO7n
6rCsx86sflgfiHhMEMVgx+dGAwTu/ZJbRMAP+2Te0zxIjB3TTvcfdMjGsq9VvYZPHkmytYpbvAWk
tngKCUZ1bIZbzvPLtwAAFufJNH/LYjLqtJotHu/HsKc/axCHV8ElDC9OdPvbIo/mr9wXwc51qtQr
wtPp730hs+mOnMj3ZELXbRNs3L8imRsEL5XNck5NiVPalPshTmTbm/rk90FPVwZY99ZmiqbxbhQN
ZpaItfhnSTfAi6nPkAyQA8AW/aR57VvElS7+VNfzwgFz5PIn9whOQHx6VKT1hvl3S2eMoVmVquok
Bf6YfnErfrWv12rrkxj8PYbnFbtsEGHtJBC96QR3vpTA1PT6QYIr6/GviN+QQkjW9ameSV2fMsT1
YNg41nB0cSoUkKlqt0lHgo8Lmoo2ulvAaf/LQpUg+hfPYcquiubQf9ZhR9LpUO1r3gFjxloTqnwH
0kPKRd9sNCMCMZ15DnQI4XpAiY1mslMxFo/7fPA7l5BD9d4eWIXGCNlex7xBkDwzVh/nLMOMAQXM
CBmw1NJwEDRePc9mzxL87275keYz5rYwx0SeI1Bf2pVqKp+kgGqg9WHXQNy4rH4gli6vWqvL/T8Y
4v3eAgxJdF/iMeteGsIAWOlmfHQBwTgtgBKeXBxUu0dfeCR0AoduaoOjk9F7MQzbM0gVid0+LCr9
Lt/iY/J0R5lGhht+fMI03ZIhdS9ZpM2Dlt76C+T68+OmxjTrC2REPNkGAY7I9LZIfVflkYGuStmO
SSDZspSc9waQ0atk8wiNxzy6tFsWNcV7TjlWtQJtULa13Qt/0pEgvJOIeIjbydTpldHaulaD/39h
OFUWyhpRM2AVdBlRjCe8UBO0MmPrIffCIloW42Uf8zr2CCfWoDKH2Y5tjeDxoSv3wX9QJWxyYdhS
r4Gp5g9LdZT/WN7QHXVrtKHbcICqthAiJmceRx57M2Tu5SiIJG2aTmFDNgYVFUiYqZKdlhqC74Bs
LF9DdJHHAzAv9LD8x4EMtaIDT3usmPaP+h4kkfk1QCKXgPAHFII82yMC9UstiIDpWCPpwrBBP5pO
6E0ipeKTsCkClKQNfxnA0OuTrEgTOoL94LHxMyYnuIsMa5Nki8CZg+DXQ57B12s9aJm2QDKD6itM
rqbbwfFJPMm4YAHwtDBdMWv6szEp9uoUpstnUD4pIIw13TEI7TtvLa/BSYXK6sd9wsjbI5ObX0vO
MGO4kbi1dwdzn9kQEoF579B3M5civc7sQF5MpPkTtL9RtoUdGiCsiTLmJMH23celAADGxsL++j/J
0Dau0V/ZbvwDUYN9JcOyilNj1vmryDnaqXY+fh6BmIc8KPa1LojwwHKQDw86qBIlaFiyVycoMnsd
0KerKluyv8OOkoePijMGXjTu/e6V+VMpAmA+RofErb1mApZkRLkgr20uTuhz9AEM2vaMVTXqLh+L
8AaRNPmjwEygkTXMb63YUzLfI7EUfNJoV/dTh5oF6P0jrj7QWWW+TILMFkzr5RdBkGPSYRmtf2TZ
MQPpNX77RbzEZM3sntyL+bvSeMaGJ4X2abvDpu4W5AjctxAyV6Qdpi0t730RaQlqRoonnwbMu/iV
6iHzpES0oUO/qyuHYmVwX9PzWqt5vd2GKvMgmKQr+rESgCkRo11nV/tKEZVVIGGl6G2qwj98Q9/F
CqMm7zTg1Nf0YABL+Y5tqy0oYI8R0STFFZpgClxbDiDCsyiXJ/6dNHBuVBbuUPZyhfUD431b1mT5
NxBJaac8W7EKu3x5nn2zHR348mk7N1Qh9CXzU/pkMIIkXQmVz+OG8d+gHNQM5BPsIzuc8T4xGLJH
jwT4QWrXctQ62JPcVIVrCkfgV13MM21lulPZ4ZCEN7fP5GVMZzOBCjbmQ/EBaK3DrSW83b3TjyXi
Sf8adJ4HIM3pIzJ7l+xxhRZ+AGQnOa7f+GaI/axS83sA8pdc5jzsjzJJN3k7lDbGdsXrVZ5hRgT/
N5Pv0OPvvOGT3DbM8nk9NRPUPBuZOkhs2afiwGZhojRYaInhHDSR5uwxgxt2PxnrzGkcNlD8HlI+
fL8hw1BhRFI+8ZTzFV/1iFlhgRr0M+Egpk9qQynuwuxxYuslqf7ZPAnPNOxuu9V1iZYT4LlJu8oV
/gM4eEW7DSLkS4noW3Y9Ucjjv9scMjG1XnKMf8sI3A4xNNnQAdaNb7N36Xvgok5bl3FyC9P78lVW
B4BnBD0jcHUGBfx7F5WrWpFIcPjFWK3XciP4l6VxK0ZaWomiW3ld/APvUYDtgIrgmyyW8FwpumHN
QnB88hfYCWBxhaLmOg76MLsLRia/BKFrdiK4HGfqjknU3zjyADK+YsB/e2TJLc/8yMOnh5LrHR8I
t7Rg2RDqVMEdUnZ0dZu9HMhPvwHgkxztgiP0E9OSEv2YDyTpljqS/BJSm78nhZpeoVJlf3Zgs++I
80zZBTy1fF3nqfgycWG+xdCTAPMHN/epl5Xe+6ZeD3MqXJP+hXBcxzYbZoQA4DYKyq8TLo7fKo6m
uMmYGkxvoQbBQYax8x/eR78CPVzBE09OBIx4UN6sp5ITpk+bmejthrQJ0E1e0a8hl0AC0qUeemaO
8jhXU4SacNqLhGBjWMg23o/FLPGZwQyQzuO8hvOy77noJJ7djUqXBFwyDJlfXB/2SauIoZYM21B0
AXB1fipU4edOJyJPbuMgzNAimKh4J5kHI6TGOrPnGQvsc8VJqrumICRcT4ZlL5DDIhkgSRlmg2pB
hstiU6Az4/cc0I7DoB+EyrVAcT/UT2JAj6FL48aPNqa6ekq20o3ng1j5p9KYjrpJAaxuBRkL9LNM
6Be7+uI/eC6Azyi+L1VrrIL54o0iyTC9z0PI4h03dCJtzgegTW4sqgdodTXva/ThCKq9XlGUSLHD
XueQDnEecYGLuAxirebbDOUDyDNbbXrCpUjTy8zHALinOMh0WqBLooDzMsDK2paxy8IO9XDKI3+F
r6uUrUSexYgfN7EvVRZtixYJjmNHp/naEKJLezA+6U15yIEjw7Ipb0peEw9A//A/Gb7KVx0jTMZ+
bqalIxy1r3MsY4gcVsuqz4CExseNfedziKNMX0nC9t/we+D1U/sAAUqQ2m89o/VGu5FoSDHoUGfX
24z37wM6ARRIWikQXVmOYssxZuHlVJnRbToBYkC4CcSRyE3csMRO5WpxN5BM84uwyH1DN6iGE/VY
IlrKQ3NWzpL5rgjHULa1T/zUjg7JRJ1QAFSv6lAWX7pY2W+FksLwJVT79ZJiJOpraKDoc+Rivws0
WaY7TGfl3aGTSl0Kp9zUFYWEqAaTA9CaNHWp6aXLCACYOOLwsKJY3l3Y8UHWfBqfJJau3x47ASw+
ZEHAQaz18IvXow5wU8aq6gD8gwYA1WtutcaYcpbA1HkndDA77LO5+ZHux/KXCFJMtx73SV7Bfb3/
LZ0oTknG9vUHoHtwXhamyICitJb/Gien/wK41S8B9PWV6hLSiUEj0afL+Yjpza4YzfvJafpgIfeA
QgwcLHKUXPCgHBzlXcgQQ47QzcN8VPOCIrgzoOXoJLYy3cynDY/iqHD0ba0VbRXb6GsD6dEHE6l/
Tdaq3luZKf+hEBKd9jNz5AnzRIRCZcUfX9XyF6W7eeV+SZoWtTqd4YGC7gTKMWowtIRRT4g8KlXE
7hY3204IgAHUgAR5wFy6MnWb7p5+FKmlv/Kk2p8owYLabrXb/mbJqDCPYAnS/QBa81riA2KkG/b8
dsJIWnZictsCzQpyqxH2mSOY1mmILPDqS31BL2SfFT0Ki3jpEHPkPK1T2VNSVFM/4AtMO8hyK7yr
A85BN2X5BNkyMsPAn2sIttrvmgzTCh4wbQ2ulbpTNeBOMHJcvyJgSvzHvTMLVPhRPCiByfMU3KhB
a4HelX0zO+rPfgatvfpSrl2oOMUnG+ASPcUBDQbceO3/aJ7wDywE8HFPksSXLA0JXCtkPV7oGObn
LLgUoFF6gIVD+1h0B70GmGlR2+XB2WH9IWmW/zIKm/4TYKecdiuUV38CnHXv4xLkz63kGLGhAJ+h
CZuG/JUVYYEDP0z5DwKam13h1tn1g7nlW4GIHYS3B2Lc7GVPFCet2xv0CxL2GXQSyMSXsoSoZWaI
uWyPVdkvB8PFnxIr6Ih5I8f7mWNIwDQBjqs5LeUx2W7d4vgrtSnERBqMzvetGgx0RbEc+J4nifjp
dt+z9Mnnh3+SuJxMA7qk8wcUdVhCgnX/eSiLZcu271O8bXRarqLm6m0BIYwD3Qg/dQTAQNKCO2BN
C9AJUFQsObtnVquqMzQz6MMHfui8MrozXO/BAI6LhARxReUA4dA2evs0bgMkFvO30L6l9GABerSd
vGE3Fw95Aagb3/xMHrSx4yPsNAjPHVJFr7PUAgM23xIlvHBFgYBIvux1XwFUewWoqN+T8ciKU5UI
4LLOTOkPaCZV2cFXAuAK+1oJVnpOq9ChzkK8gdFLPYUdV8T0ZM3xwJkFldzjFYDLY4Ri742wXPs+
ZyG5Ogjod9Tw0X/UuhheCkwx+J5Ksn+meQTLjwTPCdfMpEXAok4O9poOUzHcIJL1eFArEmPOeBVQ
2CDNQ69cCly6BwbWrSMm99wAb5K6RKsIi7kjFLWlrexoeW8FXWNLyjA8wG/hnl1W209HLTVXKTJD
bpUAFY/JbRlAS9LiAzjegfJXmfFqyeGwBxY7LZfkWKHs8ZToW3zUDdKGKmOsC7BcfU04P/gNyHA/
b4ks/2nKRHkixqmP7/KALQ2cB7K8MUlcV4OXiDUEX/q+1kcKvwPLR4UORWrAM8AofggDcwHkMeXw
I1YCN/pFAHHQIrC4uL4ZllFjJKLTTSwUEGw9QKcOAAPqj/NKAv/BmwXNU67yyHB8TH7DC3BOyLxJ
FoEdquTPifXz32OJ1R8GPTgEmSxPfm9xxVJUCKTuUM+gthmzBB7DcU8GjOWly3/jFM53kOL/9cMm
1i5XGtNeNWE+r2KdIRFSieRqzjT0TD6C5ETBnld2mmuM7K0j2ETbGXQdxEbNkV1DlMPqE5LucDdT
qUj+oSCGQ7XK0YZn5ZIrtq14JQD8N49bpvNHDQRa9cORH+9rhq6Jw0ePz0zhuqF25nN56zZov1rV
LNPrEUCXAZM6int4sA+ccIgr2WmHsM8gG0pTbPMVB4tRmjS5wYMz0GpwT15440cI2b4FiEuBG4cu
bnUTCu6g3g1MpG9Hvi0/VDL5/GoWOjkr4i29oLiuvKvsYhmFagKQIK4DAp4g3A1X4D/TbyYRmrq6
reAodVe+KST4BjmVGypQBrAXF6XA6ICsfNDbLud4n/AQBgMdky1KEB+uvufHhBvNthzw+D1MZUAP
lOdlhbtlDPS5gCWAVqBvMHtyuhL5GTcFAdKe99y8LXN2fB0KPQiJXGCc+9mG9WfVpETcQeg73c6o
FrKrju+tChwz/gjIZaaxrTB7vSGHlNzCtQgau4rH/EEZPb7A8eG3Gr7xpgduJeoHQyUAYdxwGLEP
IP8WrKuqC/MbPjhd3LJimX5BdGAtBi6nd0hmJgLNiIeVhXdGQ4F1NQJS2+5gp93uHYTme1cD7opX
uCFRT+wBXKvPXqCwiJ8YvBz08L6iw/ZqRw4ryMkggqu6JqDyP5Dyfbz5Mff7BZx8vfQNtmJoLHaC
dEjs1wC3xyqS9waRaIjtqsvmB9t5w6AGYzWG62X5uYHGh7AqmZJPAnmE6uPEi+EEcUgDaRRWU9nT
DRohMN3fLwDdA8IKM1W7tavRU0pM2BWUZmD6mhe7rPVT3PMjAVkZ8THhUF4vUNoe99FtEfBbRGXo
QYzszyNE0zv4oZSvwDRr/johHiHv92UxSP2BChBDJpcBWPFWoOSYlGPpryEMSSEZs9ZCl0IYB8VA
cGzA3yLGketYDVcrsOUJIUUYcLslyUAZgoJT5RmxYxrZTIhSq89A7jl6U56BmqOQkSMzzkSsy8q4
DKQVLmv9ieHxcCeGBNUbhMmkQFgSRQiW4w3H9/AJUhXWWYah5QHlHTwiAJ9rpIJjmYbgpIK2K87p
R8EzDv+wQowm0lYd973MHf2PRYUaSCbcRtOSXAKjbWZogNsdxfrZiFX8gjAx1yds9f7VjUyya4LB
G9zGpPOnasyQsOVTjRNpS2VTsIZpen9guPlYZ1f/RFxwA/ERbisaTqKJsHTGPLM/TD1lf9iSVUU/
zz65jsW46AfTLObpCKpIoN2ooWBfvkd7OeTcdDTZoQrDRE7gvFbl9lsxgT13RiwoijxEnEMPZJw+
oRyAQ4LHDJLcXAlCIH4j+yPK1P84O8/lyJEkW7/KWP/HLLRY2xmzC5GKTOqqYvEPjKWQ0Fo+/f3A
nt1hgrmZWz013U0WmQiE8vBwP+f41DlKFINxLCIUjfry7RxQG6uzczFv9phG8sTgiPxnmBjJZkRZ
dXABPJAeBOZTfh3hx9VuCeCt3FE3RfwVDJmprEWBGJ9DmEDiKBF1KkhiXATTk3qF6yfq582PNJDr
Hoc6Dj6jsdvdj4eq44Qp9OC1bMbxV2AAs1vFlRV/szikK09nY5GJKCOzRIImMsCFjricDiueZLd6
ENg3sBhw/Lh6x9+J0WeveWGEvS0hDf+ZLC4xmr5uxn2e99Yr2i+gecgYayVZgCkCsqwI5o8kSqdv
IXcreiUlYNra1OhUJwojrZnTeVrniKGRvIRou1K4R5qg26tE6sh6hjOno+4swKJZPqWAT0SRyQ9I
2+3qfpQbWzTkXmMfqMIBlFEUVJ5ZWMCuOVsoqWQG6hQ4JGTLGyqPiaNriLp4rQUZxQZCqU/yNf5j
/KXMsco4cUCPWrnA9AN4TL8DN43u4LU24AxDORU8EOH+XYN9Oji4+RLXtDBvH2Ww4p8KcjdPmk4e
QeV0vE7zRHmIEkXN7suob5HascJu3MhmNzzWh7pGBnWqFGSAiqTx12OuRA9todREnvoR0sooTkQb
8V0QTZ1kMzY9bkmC7oVqznVxqEu9cuWGXeMFTThgH62+yraZOsgtdNxeNS1iqxr2QVMafnyAzvO9
CKdCcNBay1E0iKQx+mbmACfWSGR0/r7jjgOgy/C7hwHc3E+VqwFTLc1iLllArN1XD8DJRhAwwBsa
MfnWV4P/5OPp/0AUag6zjkOvYgjwAT2oOMpX+CAgPVLoQV/LcOAgrxrJWpdJH5NlhSGUbgbwnQ/c
VQoKG0dyDXxegxzUS1MpOXUCE9GOZTlJQJgQJHF9H5oMfqRh3BGbxtvUYAVcRRXwOzekxKRJ8qDl
eAJco3yWxzL8Npgge50kMfByYf9VpVOKpn+XRSo4Izx/nFzSrod4lSup/iikMkCeFtGQu1qQmskp
Tb/tbehvoJkKQ8yfYiMcX8xWlx51ElqiJ/mTKLgHqtpzYx7MIHTiKsU1TQQlu5fMxnygemP+VRRq
DcBSngeygz0kfEh1uOwaSpqQwWuulFf05AF8AsdNtxXEq86T0H1vHN5HfPLhPO+mqc/BiBBA/VHH
YfBVJpoGorYc0pBMLEvMlpVUGEEKdjPuEoAb4AAg8F/8bDyoLoikiTS8YRZrEPZ8UgFbl3PukX3D
OQaSb7cKOmleUDXGTRNpwoCpTiSN2F8UPVdFHD5ZfmzdkTYk4tL7/iTMAa4ht01dgNoyhCru/ohl
e8Vp4Kohg7K0mxyygw2xyv+mHwhVrGqrjFR3BAthgfNqxp066SlaF+J8wkRimYSe2h0IyyYgOhRP
Sk3jdr53ahiVdtrWeR1Ujt92xPbQb5Kv625SPwUxVsxG4DKkAhHXkpVZFbgziDdXv3oIf9dhmTay
21Ui+fLQhFXASLMgHa0pg8TuplF4hoDIHA8jkuhmOElPymAg1VKCu5QJjeGi2X2cyxBv4sy6b2J/
0mwu6wecBl+S2BCiLHzqQ2X65IddKwEIn+PMiMG1r2pUK6Uz9cRhnIkKFP6sKziScCNmdJeORSAA
n+VabY+KIe2hi1U3phUAODakFM8+UI2GYlFW0Q9YetLzcj2S6p2GuPdXAEXVYJNItXUvZAdUNCyL
jP2V0vVkM0iH166P2a+hWHDWb+VItQS7bqil3GSVwF20Ie3ucVnNImiIUZ7fy6MELADMWA2JxhfJ
d8GRa71yOIyFW4mDpDrmBAXaGcS2fe2UXui9vq2kaGUdrJg9dbB0PC0AqBPwuSCIXImQYPhjCAjM
eO0kSJ2T5hDgcczGGMiFVcrhDv0xK933XWjeaWGclK7STQk0rRyM3S2UH5LaLTwFBqNU0h9SnEn1
ajxM/uCOAyGrVXDAMXYlRrFyJ4w4vkVEloqBTQpBIiok+w9haeBLlJS+EAB6djghI3v1Z5INFFQP
4X085M2IwstcBmBPQYTmGcysShIyr/V9qZF3dpRpLIAWm0WEFqPqSyBvsVy2QCLlRvIlIC8DkVSQ
eD2wbDeBP/Qj94vxU55I0a0KKl2cAYPEjonGGlxE8+KX6Xdc/ojrEiskeojHFWkkbBojEV/w+PrG
4YqS4YJ2lXkrFUoprX3VnF4CoRf3UEw78QoymfKj1yRlDs4kwDOpJRRsCQwfJvKjYnYLuUCRwPAr
7YE0OwUOHEBA7ChjiMT7A0UPYidXRSasE0Xtqa0r0splq5PejcXa2o5C0PTrnvl+nDjBh41KNGMb
ET25b5SOGBIaZ+01gAhOyRz0yQ3eAcdFItZ5Z081QYy1GZYVASwZNsEjMckEFyTvZPBSWWze62kO
GJbjJrgtE5DEdscofwGh3t3OFz2gOGICH0wQ8voOnqT/PS6IIDudMnDDUAczASZCSZWv1mFkMwfF
YTTAZyWEK9IIYV0PNTz1e0KwDWVYuTg8HdSs4eYrWuVXdOD0hCBblnwPpLICBeHHhJRgcycFmPSs
eJJyEAAYWfAXqobmsR3WFCV32cXjizXqU4cfr4AF6QnVaqBwcBvBSavJgxrCZXDIQunfNLMy7jmD
amWV+wF5bpZu5YlNUOHiV4VSOLN1HldyRHDHi4aGMLZmTgAjD2Z6O2NQR/cwlMMezyWr9U1ARnv0
DqpklkjLlcK+7jg1N3GeK1uTmIhsmwjMc4XPh0K6rSED/qh8cbrVYYs2dg+wot00E/G3O7hnPtqm
gpEzNgdVyz2qeDXG9dToSfGZe4HwWbAIjJIGKkTw+XqEl9v0hfQ1ySZVxAfkevTdCqJOsLl+gVH0
JUhT66IENf7FoGqoRcrFyjSMhEJoDJxtQBAeAFA4fgJd2lFvw4K6tFIKuDx23o7Uoj3PuJ61BN6L
G1A8AOlP5BpERM6IQi7I3Yk0alYJ8IeEsCq/CG3u221ctmsj7oc7QUgQexX8gKlrWjeJW2l9vvkl
4Xtunlqt0PFNZGzJgh1zreGwVg2wldSGesV1KAHK3G5EUIIK7M7ilhyFZU+aGlxVQwIs+Hzjy6pi
FJijdVkUyToq+qyfctw6dcJ0jdRdZsc+R65XST4bKaUsoBdzqwiBNRFFC2Bmkz8PuVHBEfXiDLQJ
TgwB71Jvni+80ZJ7vnyjhcQKgGe/rFKmI8hV7DApTDcKLNnBVfpc4gpjeMiFV7DRvKTpNfS9zHGd
ZUQA5D4AGj4ScgBPYl0YqaUEwNtrUcRwVr2VlA/KYuWAhW5VrsRZGhBuhTsXAOxIiEbGda7n7vlR
WGpDzK3NCh/GrG4KJmYhk1L0akaZd5AgwIHNb2poKMDjoEvhFg7a8I1Cv/IFEZ1TyxDJPUnX5jUo
aQvpCwCSdR7X5OGhA8p3OjAT3FwJLG4jDlvQc9a6yOBu54r+e+Uf5hKHOkhjfV6BtC8tVqCZw0AE
/0K6DyE8KFeEf8PiU6pyFmyJBJHaPj+0Hzt63N5ifY26ADGlKCAeZmLPjbYf9yPtXoHHUMCKl41b
mmX5YGlJsDrf8seVTcuIz2iIGhvUo5rf7J3kUz1quRSqrGwqJIm7AGwrB2+R/6ZWy9t4UiSQZQMj
gyDOcSs0HSpWyY5WeqnZaTP0zUylHUn5/tEAb31h3XzcF6hvYz7IHpMQZDaPmzNVy7dSgZVaNZxm
DaFhh4jjF8g10ub88H3cEyo6GwbVyEn3oO87D++74YPKVVVDyNngl3K5xYOBiwV9OHQAeMJKrgjn
Xii7frJFBSEmGPBQE5bqhRI37DJt2fPFQei/+yOBLquJ5khidYjvUGs0L+iMnFohlE4wIUKYyD8t
1cV7KkKoZG6xxlXLfcWairpwC6Pusr+wFClBhCa8pKrM2mIsQ8DkeBSM5VQaJVjnxgJzNJQXWjk1
fsiVS4CnqIICJv54xnoDnG58oJUGhIAOtdCaNtFBrryBGCsZfGJh55fIqcVoiRboAdwyrNlih+l5
pQWjOS8RqbPu+wxhEGcIAkPw2gSn5oIlWYoUzTvNUgyRUVRRjViWKcmtNsEHhnlcSUH6GpLQAx8a
A12ZimuzzuaSxELTfT7fxRPmi4MBETIJW0mlZ/l4TCffnBQNkKiNpgCMTsnw1/VIvFVJo1WZ+CZR
CEVdqwqAxwvdPTGbiMCSbUaTCeOiLhyVTg7zg1my02u/Nb/KEK8jzmKp21CsrF0F8KO98109sRtm
h4zSLIrEkbQ0LXVvNWDsEnJZwENdDWXLVSsol6qSn5hFQ0bRTZdQKUL6edEt5GqCKJv3nC/H0gDq
Pa6jtVLXkriSMhE0chiJ460E/vdwwaCdbJmDAAobxQLRSz+eSh/c/9Ck1EiIzJZ7NGQY3/Vr9gZB
klr6hm0H7NpD5fQvNHxim9CeiHeB2DX4tvnF3lnSCsq7AcOUgY2LYVdnYuehBCvcW0RQLli0E31E
/k+hgAlbZS4XftxUmYjy1Gsp7Hy4f65QAS0btAribUgC6b4ApvwcS9YlveITHbRmbXjqB2lEUMTF
nEKYRoO5Y5OEEgI6YgUcCWqLvw5EWAq/vUgtMB8WVTYoe4MI5nEHI0jnxJPooI8gkGs14Jj6Uruk
9/ZxK8wVF0SKrGoovulLSUCxM6niUVIHRkBA4DbuY/B8h6i74IqdaGXWxuMP1hMJ/YX5bOGrpJlm
kYw2wIgWUqaB1jnov72t8aLZcjIairKI+tnxiA3ioRtw3wFZABpJbyvEdXI3r4Tm0v460R0Ms4Sa
vcghx0o4boiMkhpkxE/tqUeZNEzlygGweEFx+KNVfCspil4WJeJxfxa9kXFY+iEjyEl34x3GMxy9
sAb/UQyw/j0Y1sX49XeXHGK8FGsEoq7NpVUWdiME1k38AI9ZUQqubAezWBXjMLjnWznRMcPELqoi
h5vOPe949Hr0W4MqLrmKWyUpw+RgXFNMpl6ZRntwiiG4VJzndHtcAShkin+3VMXvZLE1DOI6QBCE
mvwf5UTJrvoBTJtIjPL7dqiU7+e7eGKB0EXKmHHKoPn/4eqNPj6sFQZyPGQhzN2c7ELeTL+/3tHk
ITCmKbPVtRZCw1atw3GHdGC3iejfmQOEpzqKxwvVKz/6BYSiNI4Sg7MSSvxi7/r6AbmpWT5TobQd
SG1UWWDN9I9A9q211ZtwcONgIIVXN+n6/DCemDncLfQCNWoVSsRSjldKF4phWVKwxM51NXiGAqQ9
Q81T61WSI9th6zGQotX5Jj8eKxSmYCjnTA6n5/LQPvRyZvVU0bZ9JZvWGqisl0QgI3ktyFzP73wY
vJKdlwfiuecbPrFkTGQ9TTagyf5bas1S9xIHFr1Bu0Ot6ibS1NSui6L/bT+W7lnoXsoQrpD8Xpxf
eTHA5TcBflmJma3hNfqIvAmZwVZIklS7sEBPLR2OZqKB84gCmjuev1ahJBY4Ve6l5hCu0fYCW5eE
Aqr0vhHt0SMc9xpBu7WCc/30+8NpMIxUGzFZPtq8tN55IkZI7DrQNdD/gJnuJDSfvBxNxQt31FML
1JC5E+NDalxVFz4zmk+FguI8yGQ9NuwawMKLMqDqCf623MATqTd/oVdcpRG65dqDqT7u1YScSg5F
kNWp5kXownIvdGBeiGRdWI0nO8Ytf3Y++Le5uOujTAUsFIUGFFx8OARUBiZhUufWkGziVBPrhwnm
z6VI2IlG5yIp3HsYTI7wxcEwycCUiwmezUjFNnJUULhGcPA5ujZBmrrnh/KjJ8fi4IaqcU/lVFAW
tiXtY1i2yOpAiWogFznhNJTJM9wvoxxgiI+9fOlW91YX5TgePJdM4WZlMq54D4vZG1LrEOikJmyL
bZd6YdeI+35AQcwKm2zjm6SOpLCs1weQkdQAFEhP2cFokBBM0ci7sHRP2BsL4RNMuqJj25fu5aEH
mUl1qBxsTRV4FNIFwhegFH9+lE/3+V0z8zS824eR3iSd6FP9xp+mQberdhbXolSkqjmpYjW3WnoQ
tmJPfs1MUKwtElLRCJebVOWJxAt1qk6tL2b8z8IKWIbFbs0Rk/MNlS4HYMcdFbTqT6UqYyBhYrDr
au5o5zt/aogJfnOWcHLORd2O+67qE7UpkGW0DU0p0V2DQWSMaX+hV6cWskEhcQlxfIW5nHv9boRB
BqvJ0HJPQEKv/OpHAXnEUg5eKbx9yRU42SHuXLNCOdhecTGAqCMDEJBwOCqKiLt+BSKQRM3hgsNx
shVIJRgeYh/Y7+MOwWvyC5myqZQJDkJzhUyR2rrctGBAn5+fUyNH+R6OVgLvBB8WbnyFc29CaqUh
oRFXAsh018g7476AMfz4V5pC+NmaHWtqgB/3Ka2HurEEJqkYmuLW9JsDGU4TGC9ooj769Bcao9oV
IThcbGl5C0fO5oA6NA5vRwJm1bYNhS9BiLtdk6Sr802dmitcNA5A5Jg54Rf9AsOk6nVK6EZRtPQe
KQvzRjc784Ktmp+yNJyIJBtzeIgTYqnFnCWdPoYT6y6rwU3aLVjRLcax/3wgQrUqWtg+57t1amUQ
7AOiCFqJHNbi+FMaSOOpTuoMPa3MiSbocVVEkTD8+sOFyfrYN6IlKouCg49IxrJvvSpZSQ2memZT
V+uDX97nZrUDKqdvxCrsLnTsRGsmusuUT6Dmyww3O16HfasIVBsnva71gr4LUkt4orQT1B2pne6Q
6PMv+Jsf1weRdYnCOfgRMkzXxV4ORR3AvpBDaifH/rWQppGYm9w/nJ+uk61Q5ZBtTCiDnOdxrwSh
04cJdSYQbSiwql1Q3QDhvFRT6cTYzb4QiRYuBwSd55+/M7SE62FHmeDqs27s7iTJnyETsH53atrr
X+TST379drdYggSZZNTqyfAsuqXoSRUGB64EKIzhrKfyjzAzfrNGNYEF7gMqZgmDzuGxdCllAbGJ
bOq43uUKKro12jFEl9XMAYoBQU1kzi7s5o+zhV3XKL/JnRIXc5kQLLsCBk5ngedLyvbamCJ/L7a9
0v+2dYdSIRpULjew7rK5sO5mCt4HAEiMMkaTe2mc/pxmqFmlR5fKYH3okK5I3MANkSuyTPXyxaZC
6bcSWhEiolSO4dc0Fwovbg6/HZ+nFa6muBNzsQQ6dLz8AIKC9jaQG66g4ZZ2nJlI4fRjHyv7ri2A
7UW1BYgOnjybH6XL8mKe7FQ/Z7PBjRwLQsbx+A0Sbjoz4Rf0UpWAlQkr5XCthlr6u+c/xwkFjVmM
GEUd03jcjIg8fKvOYTxoYaZrKf3PDJDx5vzemn3toyOFiOdcLmTOhVvz/48bqcKsrppaf2nhCBe5
cK+Hm1Q0Vrkk21S8wcGB9EW9hgtr8kN0YW4VshFhXXUWDFrMIVhC1HoH/WVod9bBvE47T859J9Ej
d5qez3dw2RSxY5HsA0VyiLjCgF4YjxBdiQloKKxgfQhuUDvxnbZPuysBvXVP1OGpEdk7eOcbXa6Q
t0bJ8ZPTlHExlqG9CNUhrc+Hg41+R3wPPyDxJnM03fOtLE/nP1sx8XkVZS6st9hvJKED5IDp2gGa
Uw+oRJhDsagoOfDKLwEmTjQ2FwuBh0bGmxIZC6tf5TllyrQZjXjwaasvzAcONE7MofF/c+HTr6Om
Fgtf033fmEqagpvYQ2JI/TXiKr/rss2tEPmhNgZxNSzJwi62rXQAeY86I0ZGW/dkjUm2Tcbq/Bx9
XAlkZ2FBYKeINhEfOd5fMA6mSNMhJ/phUXCLrQ8oLCa/a3nJ/By1stjFXEjQBBi4PCII6tvoZn0V
Y+nr+Z58XACEI5BmpTjHnG0yFrMyJEIjBxNSahQt0n9IA3oOCQTdWVfCuFQq6W3pvjdLOBg0RoiA
bAn5pWWFuh6NBHXsyGKRRUdFBp9RgKxt1NeVkJY3gG/zVaO37QbxV9kZwkjeopKbXLCNH+aOOzI1
TyTQW+bM4Vz0OC1RWE8PxrMVwgAokVl0Bj2+5E2dbASEB2NKxkYXl40g+4KMcPA1HsvU8pRS0XYZ
teqs9W/N3oyIUbkIkUKhIeqfLGxFmySDddCH3qYY3gHkcmF+QjcFCqkaHS7c8RY9+rMpvFxKtZLD
ppzh8ZJXfCOMM5xbW08hf9d00G0TQbpkJMTjdkjoktxi2FSFCeKUXCYX+CtJkA7S/dX2dnW7cVcr
215d7Vcr113tHb7fu/zbdR17w1fu/mq1tbf8zn7PtzvX5Wcbd8fPvB1f8tur7fbW3fDTPR/e8quO
s+Vpq7XNI3n8/CurnM9vn1a32y1Ps3mc7c0/Xm1Xzgu/wivYzvw3fM03nm07G2dDu/wuT7xb3/L4
K9flUS/8zdazPY8nPrt7e7t9sreew2c8z3M8x3HmX/P4PM+bH+Zc88WenvBGD3Pz642z++zt5l/1
dlvbc24cl6/p9Wad03mHt1t5m2vHWW33q/lFebc1n3xwXnnqhl/d3TxuNo/zMDFQ86fd/T6152Yf
Hf76/Bp8C1z+e1d/mLFloiaNqloFtnS/X92+bFdPdMpzXp3Nznm80NJbsOdcSwvj3tRVIjesjZV7
//ztNrBvbe/rjSPaF9pR5m1zrp2Fd1GXdQF/mXaYouftwwPz7DDeTMnmau9eOc6FbP8ijvhxCBc3
cl9qyggl9fu9+/LEamGezs8RCJcLXZq33bvrHfhs+EeoI+3vr1ZX84Je7d/+8N/blxV745a1un/Z
r172t6XNxtm/vDCX9vWahbV9WG/X67W3Xl/bN6ywnXO1YTl/vb5+W47XtnOzYb7ZeWwL17m/cmz2
p7e7d66uWH27zQUTfnEhzKfau96oIiUtI8bLfXaf2DeM2KVV/ebun1sDC3uH1A4kRpq4Wr3cBh7b
ku1+O294hu2B/23tNV/Nuzqw6eHu1wYtT/uXu9lsfvX2/eOlJfKWET/3QssjpTGVKJ0X5e326Xbl
/NpsQ3u1Xs2Dvl9h49zH/WwmmRgmwrOxgc78rXu7enKftg979znHtq3t56tvKx5AV27X9vrprmP4
XKzIw3bNuvN2rPPC9m5eI3v3yFS7rmy79yyIF8v+5N1gSVauvXG9e+zQbj8bmPNL9e2CfK6fC98q
zoVBkVipGOy9/YzN7Wze++t6ZT/8aZnpHkb0ynGvVryEh909/wbKmx9y7hUWjteEtOHYz0P9jHnf
Mwr72a7tH91b17nabrHWmxd2C8Yai88psfa8EvO6WjHmHD2b+RRwn5mc1Yu7vb3FYLNubh8C2/7C
KloxJ5wS3o5d+IzV3tlvtmy73t5uH35uA/vnw/zQb0+3L6H9NNnfAnuLscMO3T7w7c+frEZs/sa5
ecTG8t/7zaP3uPnlYPI3j/YTp8hg24G9Zqt+ub65+XKz23iftrvNj8d7TgrnnuPA8bxH13695iDa
3F+5j2xR29vtrrHZuw1D7zKqb8NMz38x3ByutMjZstlzLu+vnI13w1Z/+8XPj/z1bBQe3av752cW
ovPjwoyct154bsf7nbJKuWBwxHBKXvEPa3e9dzny2Pq24+7+POScC+uAUnVnjSbF7I6bjTvD6HKa
pU2GY3/L/merza3Op3dps4vsb/NZj7lkX2xtfhHrsHqYT2Ummonnqwc+sLVvcAhWfDV/drtd3/Df
zSOD5u6c+zfHhmFdzacmO+qGnbt9cxc2ux0bcl7qq3kN3q5mc3qwNywhhh9rvXKxx1fzNLqb5z2e
jru5dfnM+QmYT4d/bwj9zfkDkfPmY1KZfAkQnfIcdc/sAAH6ICOMi1DNtSJOl3BUS1bFn80A+phr
IpNF0BbTjJxhB6xJgN3YadUmGsrxGnHf9kZrA219II8B4X7Q0MeAVt/H1LZDv6YNthpyeg6e9qX7
1+Ju9PY6OgiN+WZEnPJDmtjMZJSNUfDKxyGxazVOrgZUplYhkgP78wP8BtdfjjDsBRl/HkwlIcvj
paaqKRU5RtzrQ1Q9tXCuUTRV1pMfb6gksdHy6qUN+5dWoqqh6j9mWvs8AAwcCcaVTbylXNCl9NFs
ZhcvRHzFJM5iybAbliBumK+IpZhULhKlylJ+psjyx7usBnx2h6R5Fq/icErlB6R6w+9TSJGQCyDy
E4Ov67oigiAHx4om8vGA+NUkt6iydzaIfUor6HnuQusq3PIQJRc2+onVfdTUwpsopVE+jPOyOzS6
sI1ZENfECNsLPtjpViyuThAM5hDFcYcq1Eb8LGEPtVNwWMnWIKwKGQnQ8wvpZCtEuyWQWWBD9MU6
sih+laCIyzrKo+gFsZr6RugE/eF8K6cWBwhctgRpKyB1C+cIHGxQdCliN3EoResuxV2GqCsFXqAG
zbVYILYlt0WxU7qo+/T7TZsyCwIct/xxo6B4k0l9iuKDQs50P0ha/0q5KmGLAo92lyL2i6Ktrt9x
Jb9E2fg4tPAZCYODIifGiUk4nkChB3EjVBGyaqZa7qM4yzcHq74Egvk4tCbALKZONEXi7ksYxUEs
O10s0tFGLeFB1LXXTjWf/EnfdQjrIaXfbAy1uuBczq7j8V4nUSwj4kT2W4Y5tXAtoYX3ZEOyEUEQ
NKSerYJ6LZtCUkLdQfm/OCClXQdgY1BOjz6fn87jk30+WUyJcAIwU1AxIJ0XTYNphuMf07Spw5NT
Bj/y8uJQepSghIPaVJcSQqe6qoJTgTAFmJZwxvEkjtLkq4GMTGHdo0IlD2n0JQkCfwX9LUJzwig2
lIi4VJb5oy2bUVogx2H7sHKWIIYDJaDRq0H2Gp1JwYnFXHBjtbZWBbKn7vnxPNkUqRS0OZCY5sQ+
7h/6uRNltNH+Q9C5lzlAxFj0fCvM0pUUTZK+Od/chz1BKWQwrrrKkp0hlIsTWxiQtDE1iLHagKSa
UCE7WsTUsz3fyodFMhMIaWJGZmhUqp/3zLvrnuVzg56QBkW/ODVrD988ytxEP2g/oOybSNQWkbo6
3+SHcVw0uRzHBF0Gk0JTDgochSup8c/IkBo3LZPuQuc+DOEbOxLkKd4VcEJ9cS4cpvEgolQZOsFY
tlsk5FIHynZ2YV18bIV0E+BI8GccqZTUOR5CxN67yCgRj7HiWvPKQzchpKlP6/Ojttxd+C7sKvYV
q1w2EYg/bgXCvEQpTgDIre+LD4PVUcsyaLejYnQ2dSGHhy4fL0QMPzTJiBFPntl0M5luGYpPJEMZ
lBp+a1hXkjtQVkZzrLwR7iQEL28ts5llhMfGO9/RefrfW0xylYQnIdm87WlikscdTYa+7cSY+pzN
KrRbp/fytbKX3UsZp0VgSMdoHLezOHPwFlu9TGincF8+Zy4l0ewfu7vX8515CxOf641y3JtBrw8I
MtCKvAbnaVNizZNuUN9zKUvnaB6IKPuqsndUNbLHL+fbXuYEPvRwXrjv93YVJ2o1VzoVNqrTO3AT
7e/G3tj97rm6HMl5w79rZ0gyZLoy2lHv/XWJ2tFneGY7/8K6WJ7ey1YWxwsqSVEizL2ZVpRsc9Bz
djKnuLCXP9yTlq3Me+JdX5SwktRonq996X2Lnaef2vr18+OlgubSPO3nlsXC7MIvS0YppJnSgw3k
IAtlf0YD/XZyjE/Iqm8vrIR5LZ9rbmFyLQqJYz5orne+ocVvf8/s3S/n8fOFZk4YjPdbd5kzSeus
NlBon3uFMKlDDs+hlKNjurr7uv5au5+QcLw0YRfMxZKXTuiusA5zm53LxY4NFnpfJvv7p5uDfVe7
r9wJ7IMdXThYLs3fkvOooJ0mJ/P8jc63aSWuKVTq1avDTbj17WTd2hcG9jhq/sFWyQsrEqtIW6D6
MHfy4KT8UW2E2AnPX1r/y7N5sfyXSGpVoELkAUCZPRMN7c6HoZpX7a6LjUt9urRWFkbDNKLazOaN
ZmrPrb8JKWFRyNSgzWIU4i7hABdhx48DuDAekSnIGjqwfw5gckv5LNdYUZrX+RS6oUtUecQQi/av
S71chNM/NrywJ32QUuKppGHlUd7Vn/Obcqd88+/IAlMNpXgdn7JdeKvcaU8XVsyl4V0YmKAZQj2f
V4zCmkEQi/XZbfDyHN82nMLLvMA1HdPRLxjpD8GW5QJaWJpRzuKknjcGuLBVuJHcp9QhsOrbBcOb
r2T74jl+ygCA04JbOYsYQK87tth1bKaZOC/Z0qMEJvtDcS08B9WxrlKHysr39R2FRtbVWr22thdG
+ZRdfd/2YpSR+RsTcCv4Km7v6Z+T1WHVr0Y3XtVbeXMpZnZqSoF5gCWB6wBWcXEhiKgfEo1VUdsV
RXlECVEUVEPV8WebVW403Z/v2tIQzIkzeEwywEi4l2BJj0dVb0LZPyTq5AhKo6yQraTYhVSFlL4d
pwsmXF0cTjQF4Qb8JdRw00Cu9LipxJT1Qe4oaOojHnSVW1kGTUtJLtjQ5ejNragAi7gNzCImy7iK
Ko3UY6pRoWwQS7lFC9zYVV1SO+Iop7dRkaafYJhLd789ikRwuFbhtINN0+f1886byNGvquqCEtrU
AS885PKxqWqT3lNFKLm0FmcT9v6Mp4Pc4QjcwI/UYMUv9gFFEqvJMoTRMbIusxwkyepPaPIibVlp
uRI/JVLXoMOfGkVvAzioBRvJ6vQuiUb/s9ZkTY6uU9d12zLV5XtAviWlH6uwMO1CpJzl+XH54HwD
hQOyBAYBlLmlACk6HhiV2mZZYxjUFpe6jlJwQhKMWENKCRzcodZ9CCy61g3RisLz3WsFIOx7UFuB
6UqAtqZVVCj6JeGhpX85v5LC+gB1hAI/5SWPX0lAOzMUpWJwqHwVU/9BkW1qhKVfwWNoCMkWnbkb
C5ljN+yGC1bz42ZTmDRYA8SDidC/ZZjfLRME9oV+hLTrVI35UoKp/dSgCXmLEPol8s6JlmaCsw46
kqgCEOvjTgb1XInYkidUjiMdhCsUdDcfI0TcgQ/9PD/JH/c1IUxiXqg5QaEVl0jJwBCHNEdh1DFQ
KPSaaqDuZhlcuKN+uOQwbYhdKDBlwPVxBMw9fjd2AckJJZrazvGFg28PFHq3ozRQbBZUugvbKfeM
xE88WYzUPSDL5KeWjtIFC/Zx6/EOwKFnEjno/2WkbZy6PshLdpdJiQ3dC3JfeFRjEaqG1SBRuKWq
BAp7vz26sx2Ddw0CWyJSf9zvVDukSp746B/VOcKEoxqv0tRQNr/fCpyzOVkAFBQBk+NWgr4jNzVG
Hep7lFlHoJLiD/ko/vb4qaJCRyQiazM8abH14lGJjQa8rhP2RbZP1FpyQwFRwB5RdzdtB3/1u72a
obQQXciAsHLUxZqRR7FOJrmhbM8UBrsoF6atT6m8C5eEjwbFlDWkNOgUKbcPXBDEWEjpjWbtGEKY
uaKILGFC7ZyNaGqCZ6Zaj2D/UHdbX6j/hZT/j+/DfwY/87s/zX79z//i++85Gpwzmn/x7T/34feK
uf/V/Nf8sf/5teMP/fO2+1k1bfXzb/vXov7bqs1+vDZhni0/c/QIWvrXm7ivzevRN17WhM143/6s
xoefdZs0b83xzvNv/l9/+Lefb095Gouf//jje95mzfy0gNf6418/2v74xx/zmfIf7x//r5/dvKZ8
7P9VwfyUjHjNn0/774/8fK2bf/whaMrfURAg8whMUcU4zTTO/ufbjwzl76gYoH3HX2K43k7tLK+a
Ax+Tpb+D/cZWE46D3QrO8Y+/sb/efqZpf3/zQLF40L+ha2p//PfrHc3Yv2fwb1mb3uUhxWT/8cex
9aQhNA5IURiLvaCWqP3luF4eRYu/TNb4zW8/vxuIf7X0f3jyMn9F3S+xoYBH4oGft6OQcnOUkflr
j563wjsjHE5jo5aDQs1wy7gTFeEukRThLz576de0BurlsR97Yq9M+1yTB8cfE/2CCfpfhnuJ0kYH
F7nN0IT+0CFMqzlBWHl/bUwWRiZHImKgFEdMRdus202ZOGs1jtbjX3v63J93Iy6TxO0zI0+8oq8M
J1QjKlsJ6pe/9vBFuMEYKcKh6kPstWmMdGfWvPYiat5/7eGLg2sy65AqBWLiKTUBomC6Dqlq8tce
jYV4PygajE+zEZsELf21VVNl+y/unMWeZNqKAowwIZ6glm9qLWu/K1EoXjow/pc1uEws+WZnmFHY
Jl47Klts4VOs/V6C9X+syZI3YpR92es4JZQ8aYerPGolynsLF/AE/5+9M2mS28ai9V958fbo4ABw
2DIzmTVLpVneMKzBADFwBAiSv/6ddHerVbTLFeL6Odobt4QkQVwMF+ee77nn3kQmsyl1w4JuEdHX
vgPshrN9Mb+9SqySpALCNMKHhIdH0mUaGBHz0onwucfeBCbYV2qkbapOdde/qnDyvGLd/JKH13ON
X/77T3GJbVQLj/1On4Zl0V/XwXBA3qKXEg/Ptb4JTKpBhMGFsT7BzwTE05eEKc81uwnJCuqZpZZo
1o8o/h1QAQZ8Rrgv3rfijAZXZ33aYJTwWZ4H7qMCUMW9T76JzEkBHwVYpz5NKQc3bQaI1Weuf+Fs
/Uy/bJVDSJpXK/dYHACax4SSwbUeCoF9Y5xu1szVmNXzEYVOKa+BbmEJ7CtSa3c++iY2wbxzBvRg
rA/ybnTvAMXeNcVuaxVQvdXIFeivUx1N96bSqItsul8y/foxWW235UkMe4ccF/qnjMbXrTLmdwGy
42/7HnwTmH2SjePsY3m6mFf8NsBOQxX5OPyajeX/nn0TmSj0rvtLYcqpGusS2AN6tYRkPu979k18
6nZxIQ/QMcBKgNuHHPnVlNidawTdrJoSZgC2kaY6DgOStNQfounbvufeRGeSRr0UtZWn0VFQ6xz9
FkN1tqvtrd9SY1dJtMhqgFOCo5m730QoX6oEfibutxYvIUQR/Rr38nSRSaFcdbwyqXnpquW5xjeR
CRd/C9QxHlx5fmNiJgst1eO+TrkkKn5afSZgoUzE8OASzQKm9H405vW+pjerZgO7kDxr0PSQ2vTa
xulNMMy/Vvz3I3riTXAq1GTSYUTj4M4XjB0HuvOpN2E5j3QcgL+Up0X7g4gweScQO+8cgpuwHGU7
LEEiMEx6WFON8KY5Jfnyfl9/b6JSg8gFkK6RpwSEOmBww3xhn9PWt92+3duflTo/jZU0bW0nrEZB
6moPGfkohviX0iw/vuY2ob+kBCmbGC23ZLmxvAvB313f7eqWbTF7x4R0U7qKkzT+CyHurmJdf9jX
9iYyQed2qGyOxQmYhuSNDOb3lPHoBdedZ8J+a3hSNX0NF2xXn3go7uHCi3NP4Md9q/LWMz+PwESh
tRE4DX4f+HXW7DtQba+Dx1houKGh3coHhyAnx9mpfcNve6UN7iaOlKESJ9+cPLBRebZzY7W9m484
DeXSa3GCqQw4n03zGQdasS/mt3IDsIzw2JaJE8ghzSkjIwQOZti3Adre8DUEeao6RONdDTJIdxIi
2Lcd3F7nkQBAJB5TgdE3ZzApCHOkC8J239jeCsUCGbAO9eAYJry7QwA9RraN9nV4uAlKO3hO4LEs
TjNwcCtcOSqndn7MrXhUZ3XonbmMFB21p4zbDyPMPffFzpYiADCQiSKOxlPLCsnOEcgyu+aprVmC
YxHODguGiZf2gMpzaFwSwAv3Nb5ZMWHFS2FBgv42WR/gKgVYB54Tv3McbpZM0Axxh00icQKeGd4+
ngNmP9fTvn3yVjrIpslNc4bW28A/aOW/9yt5qdL+mfl7e0chq6GCYxmmwoFktIAzzkmt40tX/M80
vlWmU57ByE4k4pT0kTxCwG4PoenFvvDcmihHA3c8WPDoGekOa/c66T7tGivbUvzBZKuFl704xRfi
qPT59Dj5LNvZ+mYzS3zUSSUu3D9gZIWuCp7t2yYHm70sbz1YJj1alnAOXIYrvf6aB/ePrc+fJfg/
baqGpQKROkfLhrSwGYm/zBdYw77e3kQmrNMXTS7rmvKQ44Iq0xzcbF6olnpuBG4Cs+th5w2LUISO
y8H7BSNqghfsziff7GXFqBO4NQLm09q7ejmbad+2Z1u7mEa4mZlWJ04oJbvrtAa8dlfSCsZJTw9S
wZCtc5ZbPLEuQqAJdy3w2VZt31DvwNEcsHvI5usktLfA+x73jA74Ez194hxFJpkAqPgUo6DF+Pt4
qV8oZfn7oQH1zNOW9RIHfqZYblAfJt+IeHzfuEbtmptgyvO08dkMYCXP+IStpm+H7L7rq13TBy7t
Ni3DR8kOAMqd6PKOu1Pza26T/w1xGIE9bTfUlKDgDGEIUdRXFL0U6xrv27pm2zoomyfcWoNhN3cV
GKfQNhxin/NdYQh+xdMnN1yrMZgvg7olw2mFg9Qxc2TXvgHmh08bj6E9WNq+QeO86X4HszO8E2wl
L/kLPzMIt94lOk+GSeZo3vVrBkul+Ww5ifc9+9Y4tANRChpN7F+ZGvqPa9W6pIxTx+Z9EbQtAoPp
lCISkL/ToOXjBekBQNiuXSZADE+7Ha6jQk8j4seY8EroBYxmIDT2DZgtKqPtkykd/CU4zTmly6tl
7nYtNyh0evrYC6iBNYqDMVs12ZUCFeccxFB77ZoKt8XFyig5JjFm2cVGwLemfF3GIpVu3jsYN4vl
EEBCxAR+YCB0vVXafZN9RN/se/pNlLpu7eAFFGDeCt/BwAnVZvvuurNtRZkDD8SD6YHNt8gPIgYX
K8lNsG+spJsVM+3bmgCFLk7ao3izvl9JvWtX/5cKeehDLVKZmLZUNr7WGQnLBLjM467e3pp0pcsa
RlXj0tOU2+nOAT161+Muad82Yis6RbUpVwaOrGUtB34cJtpcL2Cx7Gx9s3aCKCuxFNmkRGWyOeeD
hYzJ8mVnt29CNE07O4e2xkxYebDhUw58ZyJfkj4+M5+nm1UUwM118fmQlCof3dXA17CccczfN6Fv
OVgBvEjzoemTMnOdecgZX48aKsed/b6J0AblkktV8aQUagoKhhK5MxHhS8P9MnP/T8/7Y3+xFQA1
WOiAiJFJaWQrv6brvL4GjHkFO6KXZdjVyb4peCsHShSMCDs46pdpNYS3WL0DWO7xal9cbfFA7SKi
2S8t3iJPQJOnfXytNKxbd0VtstnsBtgz9vPaJaV1s3tkpJ+vQIOZd10a/MW5scaeD6X5TVJ6lyUH
OdnskwEIdWe/b6IWRuhiVk4nZbNADEiUiF9PvbWP+3pmG7XG5DayGD1ggLdATCkgqiNG9m1kkk3U
kobEPWw6LmPTZQAKJf16H1hGdj78Zl0NxoqShaB5uBS0ZU+y8Ggyvk+k9pdq4DRcsH2qMWh8Lx57
Mps7aLr9vpPd1spXx8gcSo6vqmpT38Qjm6+qINm54dgqhOCSDQAux3zG6Ny/Y20T/SHaOt0XTVuR
UD3xup85Oma2zhyrIG2vHHZ9+8bMti4hD8Y4BUIaYyZbbDn7FjCHZE32rVJbpZCJUdYhfMVK7pw4
A6xNT1MWqF3pSqBanm5TKfR6cqBYYa1UUTlOsT2N1OwckFt8aO2RkHeC4NkZ0CE28ObWJWyfaA3W
P0+fPVF9P8rUYMywKbrCdiw7rNGi9u2xtxbjcE1PRjACEUz16F4JxvlxjcN23wq71QwZGmcQOvmk
HHzzpieM3riG/prBwo8Fdlvo4RQY6ZGfkjKw7Tc1dvl1bGW77zy2lQyh3E+LYM3AhdQsOfJYOVBZ
yD4tLDTKT79p7Pp6VcmclEsTiN96CgSMTLt615UctM9PW1dUDrE2cVKGNiNnU9H0hiyx23fbkm2l
Q40gOcwkRixNvVsOVQaAtE5nsy9Ut+KhKrGLDpucgUhvgoNpluSQwSF+3zSztWyaqq4DHRKhSpUh
bysITY9hl4GntGvVpptYzVJH5ynGkBxwtX0rm3o+BGb+NTuMHwN+6+gd6dyaWSGa+jpKisCouiSZ
oC+M+Mtc+Df71a18KJOgsBoWJaUT41jMcPi8VWyeri+u8/s2k3STW5pTYdaqw1QGmsjyqQuD4TE3
OYzW/7n3n3mDrZSoBkwGN/N4gyFvmwdYXDcHJLEw+Pu0m1/4jWfOO1tJkeiSDIMmYWXczcl1Lgj/
hGXcf/3nN3iu9U3kNuAmh/gfK5PM1bAXqtPzaMOdqeVteZpJZR2RibJyXTN5ngdqynxKfq0o58fo
jDdrbMTx4Fj2WJnxOsUhsErP0AXoffnlrbJIM+VwwMTQEZQkJzpG9Qli7pdQ9c/1+yZumQhIb+nK
yiUR/tQ0iz/Eqs8P+75q9HQ+BhxLJOOKEzgZubkCmLYqVta9VOn73LNvTrEChlEAs+sU/kyYK6FW
zK7SLNt3EQavu6fPHtrK11xi1xdY032buzG59bz5NVjfjzGzVRhZpqop7LDrs3EUnSLi86sBdob7
dqxbjdEEIkeLm7aklHZa4DUi0+F7x9tonwIw29qkz2kyeLagfUCIIlpka5qeq4mSnXPNVmo0k041
TYZ4hRzDfsyCsb5bdTu9MN9f5pS/me+3WiOoaKcadXN4+lhN/KBxA3fI8zZ/ZeI6PlZqXAuHq0q+
Lwi2EqQJNxQySlVaxrgOPo506B5aH8p9R/2tCgmHtjVrYAFXcg3jmkhScQjB/du3jd0qkeAen8xB
h03yAkHCe6zqA2r2V/p21/SwlSIxDJiFoli6HIHBu8Wtoi3Xwe6TB4JY/TSAcXs0qJmzpEygkAkP
DWoN+wPmoPjX4BU/YngrSQpx6a45pp6yN9H6wWUV/WPIs505nK0kCX76fppYivPJNM9vp4aGr+jF
aG9X129FSSZqI5WSDF0fhfb1RJbwkBrd7jtbbWVJMDEkgsBKp8ytb6vrKgvbt8BiZGTfsNwqkwiq
u7ogMnnJBpcXFQrgSrJgv7Ovby7rzU8SCNlTl9GuzctxlPGD0Sa4y0eVftrX+mbFpYpljRBZXmYj
CuqIS/P3fOj8vtzcn+5QPz37CCBTFro4L1Pay+tuQQU37+Zp32SzlSc1Vbu6jCR5WV1cGeAYYb4C
GNh+39czm4BdUHOQTy5Cvydk+QBBGPhfEuLNN7ua30qUklSovE6XvCQq6u2RrRpehHmVL/sSaFuR
EgvggiuyFnaRuJK5b5XNiyAY4n1DfqtUYrHzNmqaqtQsnM994GF7wKQ97uubSyr/p2HT1ixvKeqG
y1hZUjgTkKvO6nxnz7OnrdcwoNCoVq4u6Wh9662IbyBOsfvCdatYMhola1wNVSk67I1hLhI/2MbR
nZqDYBOvtahyk4mpKvs2CE4kJvJ30xj7ZV/Hb3bIQzwu3EUNKWsPOWEyyahkE+4f97W+2SGnc95W
SFiQUuQmfJ/AbuHYeTF+29f6Jl7XTsEg2hpSVmaZTy4Lq7O3L1NfMDj+uktLtwIm08BOd8x1VfIR
gF4yLOp1Gqtfw9X/d+3+i2voMrdqvlyylTrW0b0ISf8OR3S9a8uXbqVMK4wzwCpaSAkU9/wpmrm6
qdJg3ZUoSrdyJprKLlKuq8pmXaPSd/Khrky7K08EDtbTWK2MD/ux9VWZMviHh8sMS5JViF2zGFyF
Nq1PSdMRNZGSTqw7QfMvzz6Cp9CeAZluhU1RFcMLfmWktI3m63Wvu/5tXCXdvjkYIMKnT8+NxU0p
j0kZpiqG4MP7LjyA1xvsCiiANp+2Ly+c2Z7i+U1gkyNSyNXHmNb1rnky3eqbFHPNPApMNW4Z+lux
LPKa8vmlQ9XlC/5NuG7lTVino3TJGGbhxenrCPVyH1TizUsnwr+/U8Yx/mnXdB1OakvrSZkJxziM
tubgjCo3V6peKFgttUn6HwuSJw4kL7tM/MXwGhK2TBsKB/ZlTGHvz+MIBUbtuG9q2Mqd6jYJdM1X
TMmwpr0JKKdwQ1v0ru0fDGmedlMNLRVYy5yfR888vQkAtH7fIjEy7NrY/xWdnreLnbOgP1vQBkqg
7P2V7Mads8NW9mRJRFuTtuO5VVwf3TKBrry29frHrulhazhEHRN1iOL2c5rPw9EKNh6BypX7prat
vbEUC0nqyJAzddhdilb7cy/hqbzv2TdrbSVyUpGYVWe2NJPAOZ8k3+k08F0Jo3SrfQpQdCBGZfmV
ikjQHLsG1+KJGuado37LCJnGvm2rDDYZaQfo4hRN7s52iu8blVsJ1AqiQk2DaLganaXk2GnewUxE
mH2l0X9x3lOuiY1yWX/lFQMzNcNXbeBXsm/gpJuY7RnQt5Xi7KqTcP2AfqB7VLH1u9LH4G0/nRFa
5eCEV8/kqu67j4tnzXed+vHzrlG51UAN2SS9qU13PcVU/8ZC2X3rLCi5/9z6vx0w/2ZR2aqglAui
hQIWcS0WG/NbhmxRFZ5TC+JhcwcwhyM5CnxGGcDmvU3pvfKeZGdY1C3Vdx/BEgwXdI0calEEY9s5
mPiTldh7Qi8OgwcC2660TBMi5Je+8Qsg2lEwL7CqX+AgeCNaoFbMIV6rPChlPcXqC+hTHerCVpr4
8HN6+SszNpB1v75JZpCBbxqY6Zv7VKSyuWE86/hn17je1fAdG+fhbdD3Tneg0VhL5YUbX/EvJPIh
rwoVRK38Rjyxfj3MuZv5+2oRvoc/JiXiAupdhupVC2vn+c7YGVaJhxGQZwv3eaOqN90Ek4r7Fve2
KzlKaEblm7R3KpwKP/NgTo9LB4jBBz0MWpxRc9B013nmMlZwO5mpPU6B1gbvL9zaX68DzVE0EBDR
f4o6HTcPWRvmfX3wA03sXZtPUW8O3s9Z9s3QLuwfUsH64JOxeoqC4xSaGqevFlY26XBoIsE5XtZm
anHXE9rs++PYAxzwZdUBE/BIy3pZd4cFfIfAFNAsRylckCNsFQekdqqpO/HKV+2DXBrLHgfORrQA
BzIY4hYayAq2nDjEA+yVHBslH+ANOOmrHGeTDi9U0XYp7Rji3LlmWa0f5Ww6Hx2xwLfrGTRuNt6P
Lta9LmoCncHbNWeR1QcLV0zeg1wA8PkVOAaMfDaxXcamqKEqTMHEnU0zt8iBzMx7UIc6P7oj9Izx
4A8oyVvi+HaRGj6nMKdb7FpUc5MyeYarlObjoV9HwnAZ0sBnvz7AoJV2v0/x6P17V0eZeN9XrJ8G
OAPA76Y+gJo6wywB1saxuE5cy5Lf6jHS8g8bpGSVJYTkawTeUULw1w6JmOQMQBLeKjwvpho1KSTc
EcIAnsgpfvfU5JDJISZ867I/gpGLWBa17CvUJvaZa8gnslrH5GEQa7x+BSxjId8AdtbmiCoK2x8E
4LPmFHe+n5vbZlGXAEt7CzIH6snbfD6Kpp3y+RbM7DgcShmkiW1OJBc2Dg7MxaIC4DWrjf8eId/g
3mSGL/V4tK2tkoNy/HMyD20KqrfN+iIYAgzzoU9r+zUc0UffejlGHUfnmXC5aYLGpHcoYh+jN1mP
+86wwLlRP5okqW98qILXeZRr+q31U6sOsPhav0brKI8xXVLY/oR8fUdV6Pk3DuAQPfM0F+la8HgW
fXU/69aqO2/VQr07zLTKFf/k4Iffqnu6ijyqb+BmM9f64FU+iI8jZgfangY5p7U4RlXi2xst+TL1
R0ghueyPVC+J/5iQYFy/z2SYuvcJ2OWpLKxAEjkoXEzt+ijCCsvxUWNlCJuD9vAkXwvMHmTuizbA
NWNXTrjHH6KrNJjgcHVGqWMyVoWB61D/B4rDOoCpOBxZ4Nm6WBizZIWlSxZNRQpuUv8Zhm5QL5Qz
NnM6P8BBSAFqPja543mxEtoH6PYFFlefGKbS/A3wXj75HC/E8qjIJzNQPJufPP1DW/C+HmsxZj2Y
U6YNTUFn2rmHKoDb7++eT1LDqm0B9eesKzYNcKDqOzhFFYETpg5LcHNSyAQUfGZVdKemMJjCQtOm
j6fjkFUxdASAr4/hp9n5JTilFASmPxzBIUxfjy3PW12mCon+Ek7A4/AAbrlrWpCH5mktGS5C0rcC
zgzBF3xW56simzNWmwJLg89fw7YPjrunqYUmBX8nbWb/RcbtwDGa5RyEQ0F4M0furPrOkh6OQl3C
XyUiJv0xsmwNroOaWqwXaTJlvCC9r74tSk/iUaXau1dt1bPojL7h9KvOqAlRYQgvTP4eC72TqtCZ
MhxgqdE0/jrr6drP0LNnPuAF7odwB36wdGoif0iddvw9zcPWXgVDNPpPo/a0IYee1UL5k7Zzb/2h
83MwPboe88z9KIW+GPMEdXiAaXGgjlyveWaKsW3Dx1RQ64pGL3Uki476WX8klUvW9hF7e6mX48Dy
RHa3S9qt6cmHYzff4qaPsKCIomZ0Z8i1QwpkDXJjOitM0C7mC9MzrVnR5MIjOSn6gXaycAKOQAru
DFy8kqkbMGVX1Ux/h/mYbsxxnaQFxxy1N0OXFE2ENj6OWZqPr4yCD39zFoEUKjs34TRkwSkEzKm+
jdomGJdXPptU1BzycQGk+j5eV3yrog+tHiAgsEtQBUcAzI00xybBx20OfXc5XBd2jUn32NlsRNih
MnOJ+tPqkeRrCjsw3mSvdO/554q0DFuCebDR/D3Eu68wHo8jOX2j3ucQpc1j2PhCk7mxV4CB+PjA
SVD5Hjx267M3gQshXeX5WE95wfSCI/0fdbVOS1+CwrXm7zEDBnAJBkcmJyUY7M4l5yHpJgX2RAPf
zS9Lv3bDLXDyS3Aj+3T17xq9jtM9DZbWBgfbq5rF2FusmATgPY94XMX72Y8YIIdotGk4HGIWwywT
vPvIzB8wq0vym0uXNOKFjAx0Clzmsfguc90M74bMxS0/0zYWWXjoddLndyzoM54cnGsVcC112LX1
1dLMdZAf8ylsuqmA8W+q3niSTpiSKe1p8zpOfOKuq3y2yeMKxNDE4VlSs1UeImt5Mx5AO5uygoQ8
hsoDW1LnD0rwFmVF4EvH+m0OFEejipYJZn8js5/4905WdOwgBzbeLcWE23j5OVcdnGLgcaxl/DGc
chmLoh9aHGCKKnMraYtZwEMqPI1r0ynE24INISsmTRd5y5JpSN7gcjbO39Yr6wGJmeC+3SMJm/R1
g/RXlqC9ZOWqu8loxeQHvTrWfE2juouWgjbxDAdznQ9h8rVmHMtAEdWJrj/yhVcDR60vwd6nmDtW
XSgzQlawdI+hKv8AT9g6UEU9BQJcuT6xFkOrWuqUn1mNfWx0qGHbKTEPToyEqOuAB4zDDmrAsbio
je6qayHciB5UyxzeYc9Bsw+xxtxYdmt4sRFrVljEfVpgmq3KuY/8oAo6mrj6bNa8HR/xKAyTXOW0
GW990I7R68TQjBQ5lHlhkZrGtQeSKxvqg4T3XvWmreg8XIez1lG5UnwfbLinNn9vUzEPKHkc+fK5
WtNBuWIRJDa2CEXQ0nuyIiYeg0VCfFZ0fb6qtqiBStM1plhtQWrrl5ZL2PvPU2MabEloTdUpzkee
fh8V3NE6uHezHH/eSFywXjGDVerjulRpejPLrGWfeIj55OvaosMe1WDZ9Eq0Jp4eZghbxA2kUCnK
7XB89tmNbcbB/hF2azOdgHJLmQMjMhTtVTXF0n1SHWw33sYQJYo3kyexa4sWhcrLB1WPqr/Cfazw
YQFT6rT9MAS4M/22mixswlM8THPiiwiXhP6dyvsIG/qJ+45dL730dXpluNQoPK0FcaYIq86x76FT
kmF9Vdx88JhE0D/IyNUMfTCTCl8B8dz3t/Nq9Pp7APHe44KjFrtLHRlQ3mxd8HpuHYpOAHyp8/d1
XcvJHHBCGtg9UblSnyO4S8lXCkmIqBwk4vB3PvaIyYNiVc5QlRXmMWooQ/p9AkE1f1zgEDDj8ORJ
wK6aAEY917iEzuy79gLW/rLkQ4bXx1Svllepb7RBtOnFNvecLNIVERe++RTP2EYWXQci07XseNff
DYGY4/PkaqXeMdYJo4pJwbL+Sne07TELjPEHBzVW98pV06TOo7SE9MUUNBl5J7qeR9+Vtt6dsfL1
c9FAQBcWWBZTjMpQRuMxsJMM7gbqqvxD0zWaYs7OGPhEtcu693NDkY9EL68IgnFNLYoKXIIt2SMZ
vUXq2amqkaeJ9UQdp2yy6RvCxzm6GSZO0yu5eq1RijDn+iHWq1p5YVbMPu/mfJnZoW0G12K14RWo
Pokc3W0QeJG8gY+fmdShalJt+SkLM0ffIA3HxlLOk8JM6Cmc3Eq6wnb53I0mS09BN058vCAsqT/B
qEE0d9h8ptNNmvEwOZnRcV7KGBF6Y9YmqU6MrhKH3bQO+7tqUsHFjNS1tbqtDfUaWpAQGNTrYLEu
O0Y47+qHCeKr8dqJFXesidCt4YXDEyZXacPr5GFmcCi/MwGuRI4sIbLDw6L8KwVNMVuD22pIVPuV
J6CsfXJp2IevQo1dNA5wKFFKXvFuVMNpGO0w3SU+SrprWvUWc34IGhbApEM436GCFA4URSItzX9T
bd3NZVavU/NOIYph6wAIXX8eYhxqXiXTSDtsrTKZigkZoyg391o10fowJejoRh8cmYNIXrOFU7Ie
IeerG8BByJLmcN2MEvIS8uiZzHa6ycoz04eklZRfz1gR4d5iwLstDO6Nf/vnNMdz7W9Se31UIa6m
QVzrOehvcb0ePAAfua8AIN0WSUXGuhT7pPWatQL0pDHs3y1ZVz3uevZtkVTK1qFv4tZf9yA03kRC
y4+XHfMLF11/KrL+Jv+zrZLiPhz4stTqWrdadPJEkxV+jSEdqmsGLRJK12DmyI82iQiG/WKgYwzg
qf29zhXOWrLl7KHGQLJImGLrtc4H2uWg1hA6LDEWogzlh0fqTIY/AMgFr85R3+ZdIVUXpYXW0Lje
kzxtxhs+1aHAsB5xJxasi37JyfWZa42teTPE0ovlcvbX4F70vpyG3M5XYxX6P9rAhuqoYKLy0l3w
M+Ms2eQZ517FZBqX8XqC7x25AfwpJ+wY12HQHvN2RRqmYNVK2RHZBJK5gwD3YikgkQsJQ0psDcCN
hMX9eAqZJUM562ocrnITR+wumSqiDl2Dijl3olaR3CEhMOhmfKgjnWBDZm3nADao+Dh2wysIBr17
gEWAwOFhFFl/c9GXgXyZVgqn6lMtAbNgJz23Mj1Gg1g8ZkzMO9FZJTyazxMfQv8OcCDcbRQ6mYyY
iwqQhEDhNIvz+3LuYxYiEdOvfBSHoFr69hh5uA6dDCewrL+hGQCEDyZLOPzAlB99Ux//DIn/72D/
sx39xQjgeQv7198H98S9/vLH/2Nfn2T/AlsKYMswgZAzBbjkh319Fv4rjsDCAJECqr0Lvef//p//
2tcH/wJkJAWNHdrePKYxMNT/868Ps3/FLAgiuJ0AbgwUSb7fvx7JHoa8FAU0EhtB7Le36BuB7Czh
g+SnPlgFMrhsPSehql64qbtcXP5vavvPr+RYvi5g8xivhP//J+UNlF9R2yvOTwAjvSFY0Lu8/l3M
6T1tRX6s1fSaxO0LF2BPha///k1wNyAeRL0gjlT5099ssq5pBjGSo68Wdgpws/SGZ666Y+P6+zxN
8f3cRC8JzC+zy/Y9M6CYkiwO8c+2RAE5NNzfjhNuZ0j9MUQq8EaPfC1yFusXboH+rkdBoIHQJ8oo
BtFlrv2pR8OW4SSVWXJc5tF/QK6AHGMe6Acko8JiaarwCtkfWy6meYlg9Jd3xO9F9MIOBm4kBw7n
6S/nK0whFEU6YZLZhOwDteFb0zIWHFWFy4pfugrEV0TsIP+G3HOcxFEQbN4TafCBj1gLT1DBs0NX
j1NpwlS8tFxsv9vlV/AvWBEgTidbhyK7pFjtZDKcnJ6rewDvxJGIqDv9NC+8/vc4eP6uHWRpliLV
BqEMA28kBrbrac/FTRePtK4GpLKa5TUuGEgJ8HzzQo9tv8/lVzLEWgY4K8PEs/mVLhQUG0c+nhxy
QHA9DP3bFvqQm66HdOmXXyjFz8B5mCVpjKzd0xdSMbOMmAY84iVPDjlEkoU306/Vu/7ZbSC05BE+
ML5Rvi0EHJZZu6zuxlPnw/RIAmcLv6y/5v3wn1/JgWu70GZAurp0608BpYcRpdg4459wuZYUo8FR
1aB4+heHACYGzPWYAnNM7GG+lWcuTNLeIHN+6vtcXsmqm8NzhbTrS/DmS1j8PBElyNvAOQSTQxTQ
LN0ilfERhsnlPXLJwTifTDCPV7jzVp85zZChyRQSWP88FP5UxT75xQs8LaVgrWDMAtiykQ0J0/4/
9s5rOW4kTdtXhAl4cwqgqmhFT4k6QUgiCSQ8EkgAmVe/T80/f2y3enc65nwnOuagjYpEIc332l6t
eHoPgsDdtJ08O1eO1Rxp962v/HD8UfpdcjJL5Rw0ooRr12/FTbSV+m82Rsf+p2nljz9KFHCank9H
O/BtP/xdpTP7kVkjGL/DVlJ5dW5eWkG5VxP1l2PdobLJA5I1vdwXtY+0rJFJ91rAp8cPS6EI5rDa
rfzQtj+3V2477fPttG+b+Ra47HX3A2dpd5XMVjUOQLpEYqRq2yKR1Wi8Hq29qQWXuZDu9m7wDaF1
9Tbez06zrcd+G+WNPawd/juvIuAzccfmmUZnv7vAQhS5J1EuSmS7FnGVr9Czy6FeVBjl9lhV82Fa
ReLk8Gf6fS4k1Py6cJUFG5pmkvqrsBPXdjn5AJWBNevruSn3a1UHGxLdaOnWrOyrTZJIR9nXF6cx
Q2Ndu1BT8Q2hQQ03YhI8bwYxGG6bSR9P2RzYw0scJwJQ1J7HQ0KkhjrUfi3wPmpZ500J3AH0E9fp
VpT6poD6Gt/7mIarFIcbSzZsRFRn7VpIOzPKGeZj0EL6pEO7dG667KHlHmhsj77OEUh67rqLjA8W
dgw/HZzKi5l95uC+8dtwyCJifK59Tro49QzAUm4Hi38crLkqsx4BU5V3yVT2qSdcMK/ZB9qGq3TN
fnDnPXq0u6hfUhhq/hS72WN5sPi9Py0jkyonlreP0nUu5l/1MsFOk9KrykNg7yWJ5XPySH+t992q
tqinxluva7r7BAqlwBj2drIbFwhP1HTDPczjuL3NyNE/jd9zMqPR/aYmX/4A7iTJqxNb4WXFUKo5
m4s9/ObXGlplKhI8LaM/RzehTBjAXSu27kDvxl/NOnrVBfSibY5LKHWbDQBP08Gta0Y2WUHgLlHI
y1gMvNZp1FTzkYwvEWSrGwywO5H9RU6hfJ17+OMT9lXomJ7KQDvb6yKB5ahCL7XdsZjygpMioO5q
FcBEkHUnq6mj7wtU3Der0+HXDVtk293Hawgq+ZDYxWxuFYyNUoeF/p+TKMTmZKJyk0e+MtfP0U5Z
RKhzLdrgTPYEwbsaN2IX59WkYtvdGixgWduTjELTHxuw1TAVMKJ95jbB5OSFmvs428oguvObwqcw
TvrCok9Tu+amrMrauV2l0yzFWxMbeVeWDGd8N2X4btx2fIbGDhh7zbLbaZxsu5X2/rR+tzZFuVc/
OtGDHmoDQyIR16TFuvVP1TbAk1dFMd4NA5hgOi4OZBUMf1/jOqrWZ+jFUKQyrpPnptra4HL3mK8q
2fnU22GKn45t20/NrUfY7ptl1qlIHUJ67OvEqvYalW/oeofCIv4jU4YsYZjkKrhlbnM+IjGaOFd+
VFxtoUvRLkSt1pB8crGyDSIwRNAhw7m8nWrHsTKAJWUAW51oO7pDXOSWcEWShn2/trCtVkVzJvzJ
ddSwXx3OpNN0wNXa07VsxdAEnd0TXgcbvnxu/k5zhmaTqQ92HyTrVRVE6826yklf0Wk58FJuZ1h2
IKn0XSfxtMmDI23/NhjH6ufAUabTfomZUjV6gQ/lr92rJ7HznKRy/TdN8vD3JrDFq3EW7601+4Sf
rhwDJ9NlF9b5WJX7UwvjsqUTpQGXtmHyPcW65m5hi6HtD6BgTOka/c9bu3n658bE+xijboPptotl
AsneozUtKxOIbJrhQA7e4BbPdMwJ9wb4V6/ZiEGiSHnC9q/BR2RxUGXH4mlZFRuTexCA3Ik5/GRA
a6kul+vUXhS+Bp7rgjKaLoNVeRdrG3HNYSKfvrYQbFCpESrQTAP2fkihrGvTtLGTQis7b4GJzLcO
l1aSkU4xjmljuW2TqVJsA/uHZjUi+fary3hc/RPvcuRnazLtPwzB4w7EMIB+Gmi1ztfKs/Vj3Dfx
Z9JPo89WzC0gayuBHqZc2/FnwB7wbtUNeX4eRtoHLCDoSDe/geQpk4T015Uz6OB6SFcPYlir+8Rx
JUzSHhmZDs1QJ+lGqvBPtcwWkoxYJIK1odR2sGqsZoehcJqngne+TIsat/GJUpdyhNAfVHc9On5z
16yuCE6LFw5xpquWuqSiktOnUwnI7sAvh2O0RAIt0C4m995G3fngBSM5wLBev5Z9He9Jy4qbNBp1
rGEZpfyxUXItAGBr63nbjf4G4bUs2VS4vPqdO3rvJWeQvmxtDQZTFx2E3ag7jd0X3Q7iHM/uVeqo
hf2yKQ3lAtFS1fdr2zckENTKebDNWI1QYok1HT1yzGDqhnp8HJBHzKlrV4EPyL23n8lE01vazoPf
Z1VsaSpbvDU6ugx9ZGmvTZu6RUIFb7WFOrgI/Wr8GgsCMsDqHUTCk7WI15ZUGBw50RBFWaU9/Un1
gRfkSKgGeeP3XeFeWGFLmORoAo/4b2mLFeVv1EzXM5PLI8EVLG0tw+jK2a1wRM6k+ztnaahn7XTX
PiSeCsIMmZIX3k4tMHNaGLsusn1x1utOJdbC91IVD4D31cJeq+xbGdH/mk5NMb+w5zReysGefKk3
rl6ZHa3hx2S726kd5fxB+0siIRnpoz1RoKmeVtWaiNzfpWpu0R/sM03kxZCket6s79LvzDdlR7Qg
aV/Nj0gd/Dt/2oG9zC45WeKqvaSXk3OqD6GfWWOO/K5DjWks3P2l4IEu/tcQI98vYxcE3rS+6rOx
cd3XQfeoiowU1h26MTJ8IgHL63OFv+MaYP/00VpQvsyfXaWey+uQjwUaCWf2nftRLNMHdzt/Scsy
WF6sYmr7VBX2fOsC8cvDEseFyad1MV06Gd+jCriwnq3O6ZzLxN3GGwWqCTq/VetP+LFtypW7schm
gm4uYQTiOt+jhYtfEyOCW5ZkgZmdHHXZlyvltLZbNI8MmMZAE4z+k9XuaN2KgiqgwyZt2IgYd5iB
SnUDhKrjSqtW4rnTloZbUl9iIrWdVMzgG4g9at7XqIjj+zZih8u4ZYXjAf6yea4d/F9Z4/jtz851
4Cv3YnbuEdwZK2uMV0AZys1gba5rUaMXIa4kN9s8vyxTF99KZDzTabImeln97oypK1O4c0ZwR6Eu
LO4NmPRDPUMTd8Uanj3FrscZCiPHRXbs94O/Jp3gGIorOy2bmf6kYJgTc0Dtp4KDVOFYpUE/VCUF
rNKfuHhY8UKH6by/wpqPaBLSsJi6KmvchhLtIdlCFFFeH7wtFMjdLWZIKKanlgBCVkkWAE/f+mnb
SCBSGPXuRckueWgXB8XOPjk9NFrorvdRBxFzCICd4Fz6ZjhKrQysTiHa+thXezUcbTgw2OipGS0m
zgZVGanZwy1pKbubY2CQvyZZeewZiARrLsra4kTdIuNyuieCCQvt2PsUrcpk6+gjzEINH2bTBAqR
DqgoOIvDLYqQDFiIkvzdbZyjv3jKzrWZ6Xj2yppITLKBokfuc8rOiqkXLxCiAvlZPHuXaMgLuPhy
1z1EeNP/kvMqb9CuJENeB5Fs0yAcqo9w2/u7dZDzN9uT+wtPrfuYKFQjLb4uzJj6UTX+NHMlH8uk
QJdWwMhFqWj75PswANqls5YzchftJV+Yfgg8T8Khr/JN1C49unqPdOr6ezfnhbfYTl7bc/+yrrp7
tiNwtzSxp+i1IG3nfS/cLkzVUE6XyRqzCSP/DdrLEmsx22a78XsgEVluXSVtmPKqiZ7GqaqgiC1k
UmlgidZknij67470N4IC1T6NGURwGKez0yY/W9v2VJagzmR2IEX0hfWFAKG2+v2T8FWuvk1i5h+h
125x5jG9scU2ayuO07TVdGhHHTtls+sq1YTf/xgV0pt0M7V6M1Msv0WVRF2BF0m/l7jFl6zqY+e2
R3t3bXmufg7qcfNRSpLndr0shBEc+rWM3+Nm6q4835iZ08hV3xXS9oBdrSxurLlp70odeM9+Mm53
VRiqEBlTPd1XxAsvGUE2Hvdq5tCLyg+6z+QM6mewG0ORBnLYv1ZDAg0teuNvqfT6SkGnz94vxZvA
NILE0k4j2y1/iLKx7qyhXd9lxSUgXVTPhXbtar6wGV3CgbLpjrvbJrdnTcjm81qfV2ZXW9VnzLj6
tDuqra7OJr6Kq/jmM7ok8SJyvQydm2unQ8Ta401+qH27Kw5RPOxltpcbhEa3DcllPxX9zybW68i+
Fk4OPQsQ7MiBNTwVchsUvE1f9DqrrKj/RRZIg+MolDE3pnChv7FDsifSYJb6RxENNWqYuEy+eRaV
TxycRvsHGVD9xPfp+nyJYkyu9BZxiaiFMNdEuqwi9Yoi/rW1hS0h9B3JvO609lUwysWGkNHDt6Dd
Kn1djzHafU5J5R6aNVnp2VsdXoQQyTcqsjh2XkY8tQ8oHXXL7zHLJh+kZ72NCM4/kumcwxShR7/j
RNnHIxt1d4dKTL+ZOeleIg8NWYpMSXwWcpJ0zaOr+uUhGPpQ697MPAbTL3lcWoLas3CbPjWPFB3u
ihyD8yvkyJSu/7Q5jDWZ7Ifywu08p8riSK/f4UWrr8r2YQ9LWYKyI3asnAxlaeiy6ySFICVgjsq8
QBB1s/Q+qEXIddvJLFRYmsPLS7arZXRoV4+rMuJ4EAF3hKQPgSzkMvjjIeRw14cm7CpGMVR2DAWt
imTuzj0CbKnn9QmcE6UEfDLH84Z8yMm9aZyHdC3mgIXMy9BcSNSw2zHaKXh+bawSSYAJ4eSzcqNi
mgkjjj4iJpwHOxL7h2WN9Zy1wb6JtG0cM/POl/bIJ/u7SSnwmNpsWkO/zgJp6u8F2Yc//HqevNQP
FQLH2Y3rMLe5+KNeG7u1PQxeNVWZYoLhx4oWNL9ePVFtfyOS2bsNu7F48eti673nxZmK0H2JysU2
+abWRCJ0VxhJ4mezBEI+gEFUXp7UPf1pEf/0K51k9mWF1Kvk5JDTT9P4u5PTiT6XN6uYORDjrp2C
TLQCoeOwjXu+V85eZauOgTZHOfj7lV+PITbfcLGWtC/RE6RdtNe/QrfGJlp3YawzGsv7JBVVz/8n
a7T3aSJ2+9Ya9PRq2ZPNgT7q4dXejf9UI74IsiU8L1R7L8TXvalkAi5IIP9ay/3TTSz3fal7DjpX
t8xAUIezTMeZUT8lT75tuM/grUtbZ6Nm3K0nlWRd2Gz3i1fd44f1uXN3lbwnhp7CelL+kgq9ruMj
abUolUSd35a8MKDFGWTlWSEpkawe2AZgUT20sv1liUhj+ubUKiaKwPSBOAx+p9kBEbYnBx05fFOp
C98ayvP5atg7fNcW9hHUZGNraVFzeMyERVzfdHVfrDI3cbfGUMHVKlUaxGSlnWJV7bvmyN5aFz1a
GX8i/aqqbBi8YWHwrOKrbdwS+byLSqHHh/iPcxSbLaimjWhmuSrIjVPPstp2Wjh38rBReDYggOmY
LL566PfEFNcj8vnlptLdKkVut6SUf0law0uZDiMqjiJNRn+0XuUSmfnBW8Z++x7PYdh+KcdtwYe9
4fOMTj7xP1wJ7NK1r8YoGNWU7n2D6I4VUCWamrS2N+JhREOOU7BdouSoIs9hsFx0ksBDLUW1c0Ba
/mhP3Q2isFXqzA6TYl9zd0rmQafhuiQgG+4MoNWmo9JIcbLABlf4tSuZlPYRqknysOxqm71jjECY
kg/l7UmUBo0lq2PSRvbAUdO2H9Yez7drX869w8S1WcGvirQWc9Jq4La405ndcCR4gJEEi0dM3PwC
PQgNrYwatec6MBq8sAfWUZlZxtdLc1oaRdFNJkc2UIfn3QTdOz0sxAjZpUbzDQcxdB/das67CNhZ
H1zjAEjaa9udasIV5nKAL6pnnsEvEc2Ol/U2QgeXF1rs080el9P2HKz4DRQQGrg/kml8AABlbhsU
2eCg4EQQN5zZ+nSz/F48cVjNzSsV66GLpjM0Ve73iDRftJW4w6nwpni6bmQQiMedcmmeRLh7CRO5
KuLrfdBmZ4hUau6aTBdg/3mPEA21JTv7EHq54g7XF+k0LU504Q1ofFB2gWNkQZd07reOiptHKJ4B
y+Y+e6gGT2Ug62a/1M68O+awrOFexiehnMVClTqL0gMrbjypCjBkpqSozTx7XtC/6y1kh0W+Obby
Zoukx0m8WsEUUgPL6z+bQxh1sND/j6L6P9XAH1QD5zDM/100kA0Iz36KH38UDpz/i/+vGwj/EQc+
nKQdcX/1grOF/F+19+gG4PfcBAIReg8+jH/0L92AE/wDqhtuyQ0Tx/b/Sc3O/2q99/9xZt8himPH
TuBTseT+B633f6aXAv6XkDuJMAES06a6yvszWUYtytbGvMBHCOJjH+Me2aOTU+1f8AI9/uG5/A+k
6V8+CvcHDD4X1ZDqSvd3QU/BpUTZTSCO5/vcWCHfbQ+lXV8MEAX//pPOxPV/00b8Tr990vkn+QMD
GG4YHYzkk1bvcfOf2v3l3//5/4wb+vMHUETqcIniy0Nv8ZfAIFWLpZPYOPyhBjnkrhS6uPjRoH6N
G6ubviRECAXHwDLF9NmN8R4+hXOQjJfN3DISj+02hVEamUHP12MHbH4x7AoYiW3SX1+JHvY8Rm5Z
qL/h9s7U528/N2/hmUq2/cQOf/e12vtgjbgE6qNYX3SHgDFO+/E/cm6eH74DhYxiAu4w4MX6Ta3R
7h5aUljXo1rxIAVXAAV/Y7D8J73+26/BWgpdx0Ey4fu/C0JUtODWMVyCi2B5H53+4OFVgTm42or1
JYFxatiqJx8Mvf+bd/ivbxYw5vnpBTDzAaKfP79ZahzGKKlVhUeP4fnWDmL5WDPp7f+Rsfn8EFmK
DvsGZhd+wd857MHiJuMSKXQUg9rbXLcuRxaPXfxdHcBf3wieRxBgt0RYw+3rt19om4E9to2ge4Hr
J4Qnz1Z4b9gM83dtx39Z/oimEOQ6keuHQeL9HkvNPmSh5NHWoZysU9KFBze56kWTef3fbTS/f0kQ
0S5/+UHMhpMgbPnzl+SEwqC438SxF2BBIIuBlf/7DeAvn+DjImQNO1DlDlFAZ8XSHzaY0o28KdLW
uWIdvxi1O0nqL9vfqUzgun//epCUIR47LyQHyQwigD9/UNQwZ7QJHB71Byi6CUl1q7tw7hcdi3zq
RtmlROdHXYYelJ8kABWf8x0ph5XCSm3PLX4QEJZO2vYRxgZ8ty2rec1k4pU6Y9INPxc9encsaecy
6NvFPpXr7Pz0Kq5aB0IF7fs69MYhr6Kyi3MdV+MxBgVe4DsCriT+5HJ5bwd/KLNFYQVljPGYfSq9
Bs+hrByIVRK+LtCzb+01aGWy5Almzf0QKl13LFqFDzDEXmWuo86z3byvasoj3Nae9td6Qu6SdY2X
7E9eSGVFklYOlEGGdQYPaAxUHXGX6nbFD9KsD3NlcRs0lMzdt02o9pMDeHpnlNiesfPyg5IgjGe3
2n1+xH2V7Y9Jlchy57jFBtsUxfwYEslyOxX2Mh/aqENzsI6MK3mo2tk58TCRg+OaKe6U6gTIHH6K
MW+91Rlzrmia0cQe13evHL0IxGyLvoSjWvsDXiewjqgX4cM61sbPTG3s7hhUDgxAZdbhC2ClP0Im
JO7XYvLQ/guSyhCgDvYkKMRexu2IgpjhvTJhGGUOEysvdiS2PsfU3twMxgT38Rhv8Bn4d3F1oeDb
08XHVgGqO/XjlW5HPm3jdr0giLFHLwvHkNt9mGzj98nTnXAvHB0BqyA/iz7doJrHLDI1E4GK1PlO
X88MVmWCySDDT2fprKmlVbLMrOK+MUuxHKoI7FVcQqolZX2S2zj9qF2NVbsHtBaHM6w9Zdr1xiR1
jN5vmVviOafBb5lThT2/zJE54KWd/Zry2wSjylvVmB5H8G63Mgft6J4QKcBglvhd9kM1NjHgqW35
REX126KzWvQasqHr5Es5rgJswVeeuVk1OALMUzGKiyjci/gQEFTYHqqeN5AbejNCzQ4uBuR+i9N4
dkL/7OtUI1wtRQCsJuN9jZy+f0Xj0b67cRf8iCgwHvOBDH8vY3ThDIoia7jY0Cg/saZNcCFDr3YO
Nf/2jy7saplZURT/UgLSKC3naP3k3TJTbvrCd4gOOScsd82yrQAdsz2nCdgQ1d+9H7fH0vOQP9cY
YDGd8zrpXDMC8bw2e3pLgmHn9U5G0lTgs+b4ZXIDlhekYVdmEx26/YWLkXXB620DJtq6YBau3DW5
ZgTUQIjhaqtM96PEmrj24x3IM6gRwsN2P4FWIvc/Z1NyXQg8+9dcd6I82FNrPdlgv5AllUC26A5R
AM5PCDgch6liL5vCqV0xp4N1nISHTh29hG5c5NmrIw51HdtvoKyIN61oj17cTaxvI/BriabbJ7zM
6po160qvPfVWq74AjQEozzz6m6ALapUNwbK8KM9dH+OlXx2eYwgGMZ1FUqfJr5dr9O+tSVHy2R/u
DkiUbdEcfYGnYRb3LHKK8UBOxFVWYBtlmDuwxtXlVLnQ57UW9WfD+Wwf3MbHIcr7Jot8cpNV587q
dPIQAAG7OQgp06wUBX4/DeRT54mtpjEvuu5qh/h4CnrHenDndevyVRAag4PXCj5Kq/eTyxG6WF5Q
fIhwg6lXLEQbOH6PrtBt9zzsxYyWQXaujRvNOF/cWYxVlvRJj2yln7cK7J0KuLRaCPxNHZpC4B9b
DOWpVcSFPJaDnMwhHsauPOnSKd18qWURZLO1VuChVaGsA9xmrS4jZBInxC6Nky+uaDW4eiK+S4M1
4ZBgWOm+lFHTPbWsqAZWdNImizeJE7I+d6mkmKmFzOL17AIGIQc0rsth/gF65AeHvfNb71rpanAv
/OkMkFVjFZN4geANxmqWKsflHdawEFKBJ3goRY/nzNuvyTwmZ0wzAeOLmnG8aeXoOhkWCNrl67ht
UYM5a7HdbmshmsO0O2P1RZWxs2Z+p0BNFGqfIgWaOvv1axeJVa/cIEOoJD6RJlThgZUOe6YWp2wu
/R5jdF7Hkq19M8pq0TNA0aR6teePUdOAA/NrBgsSf/fusatZI3IpnxXpxLYI05prx7uKO4HMgeNR
4knYgphol5JmT5cgIsB1gUohRbUXGBZzpNifNMkV6TDjL8uY+KYhm7tkeAujevHSynP2NdVFWYsU
ps0dsYO60TUbysqLMXaLz9+PGwdJNqdEsr6VwDkDXe0xxXQVgYsKrBkQIJsHKb6dDVqoi7ZyeC+U
KXuOtW50rs7AksnAWOzowolAJjN3a/2HgQv8s0nWZU+xWTjvddKra9gCyBPMVpixmPMsl5Og2+7W
GMwwo+XBeydnz4ynjVv0lNWFTlacbZL4hr1T4nlaMWynlvQ8P48JR2hSbyv9H13QRx86AszioysV
cZ0pdw8wVHKBwLOpT8N0/tubCoafCQ7JEJvl+VoyOxr+1Fs2ze4Vkh+aVfCbzqEdWLoXe2/4jjMv
XK03/MXYVkf0ex7xgmP/3RoiQDiX0ugx442rvy2+ZOe1Q2DiDPto/X0ldW+F6jPnTIBCjx+4/sin
N5u9mIul9YcdsBpOGXFZYH+GqwsmGG2+dLOZobHMfNssb7LzOnJTLfys+I1d9dq6hpSALvaMnwe1
I59qDlrnENr1+lTsKrEPhQ8anoWGfS5ivPuB0vi8OKJZ+CyGVuj32t7hfWZaxqFRk7jtxy9SEIp0
4vRFmUcoh/gh986BZ2NJXSpZqyBjYw2+to0vFBnSS3U7LZ1O0OIl5lFHJQ61aHPCd3rfNgzCSCCz
oFlkny11gHURNTXvd7FFzyIMdG6XXiyOwmmCBdBW9PSdFDgQqQ0WzMY3E/EF39eJB/LQKzv6NIwu
1WH2Qkimdls6dZrX1XHSodi8+WTYK7zDQDvLTTJN3AddiMMOfU8gzMFm/nlJCCwxJ88qg2+NWvY9
xQRcVcdBhojcVNiiSfNKg8oEAHm/b1c/7rOm86dfpUYxhoZ/H/EI7p77OVUaKzF5HUl/CKmxAUWv
a3ronKBOzloT5lU0MWxxk5cs1xQ5xNe87KvInbDGR7eaMfFIgSAt9RC0Xv1ZxCOdapXqi8MgFphe
2kqLexuLanTQju5e0fUo517o2mrKi0JvKGiWSVj6hanf03XGxci+UslAQklnTfF8FN4YNI/GW9Yt
N1z+t5PlhkZdTAPR02+TWcfwS1VM4wY6a8fjF68ri+YBQjlcLuZqQd5BkN3qpfNUbN8qAYSBWox8
43QZZI/TSMbektcNKxCz9GRzX9jqvcka0UTiIbYkd0eNhMcGnnH0Oa+oaLrc9crqV1Su8ce+G06m
ch8q52RNXeO/LlFfjFkX+fabz49bXvZOb+xbb5qNg2tiF7CMOilblAru7PIGqKWY9hsBRZsE2dkc
emOYgLmYt3W3JodoFZYf5kgeSMpgZy3gDJpQ6J+ru58twIsycGel/+oBP4ynhkFnTR3RTNZtXbPf
XiTLVsiMDTygSXhwOO138lsW8ncaYSlx8teyFDfjqJ3t0prZRkCDS1M/ccJaTNktMdknFB1debeu
q7dd0DnJns1NP+qQOgQhUR1UqG9XEU4w+M6yn/orBGiyP0VjUbIFEbzSsrcWyfOCsV986wni/0Yc
mpucoKIic7X3lv0rwT+NrKUml/EiJI6+zOY2kCsSsaraglNtSMPAqGg71fEcCzAc5gUI+oHxfI2+
uD21BweMB+fmEiQXFtbTlRS6qG8d/xFhB0o4RLBnLjXp/PnDLZt+P0nJbYfYJ7dor2rHOALAmiMa
Qebeuaez9Tp4mtAc4K1t9/jBckbl5yikg2aDkm2a4BKjiArfBOw4160NWwuKM1bJ7WwrNmJIU9Ti
ctuVyKMducUpmcgBPni+jRK2Cc8Nga3b++W9bDXyQs54BGktbm8k1Dg2oJe2HvVqbVyrPCCk8soM
uEmzorx5aDMndCCKmewaslHasS8yWWu9HhYeVfnds0lHSF3ahuZHA7vR3wRw2/GVLU3nZGFnDX4e
en30hArNPK6Jiu93NXvDqQtt+Qve2airgNys9mGove3rVEIen9gkEgKTEkkxtZ67xblVCL9t4Pfd
cBAGS7m9uZv2yaJb3YFOik5NpCn4heM8Lo3ov3eDK5yTGxfJpyNgXK58w9j0Zbb57vKI79e+ihoU
FcdNytK5Q+/fmEtCawYu23aMR59zNth1l1sjmTCHZQkQP4c9joZ846a2Z1xd2k+nFdZwNWFRJMtK
GYiva+TfAt5I+CgAKhtH+3OpiQf5EnpyaVPPmnn7FiQ75cHZ4iq4G1rhlNcksZg9bQVgUeYrIZw4
LfrhfPOxCwfpjjCdKq48l4SY18G3OTEJeFh/+gUCtlV48SuWZmoJxBSuL/YcROuTRTBKl7l6sz7g
vVV7NMk0/zrLohnFe22u2lhYzckrlXmCUhtJrqmr8gO5BBp33+pa771D+F+8yq3uvmmkJCI3Roy3
iTAuBNfQEIzSyI0BxgdVeKf1bK8v0cOKT3c2k5X11RgM39wBVUlOnk3UXw+dtN4srljJ5T4NJMAF
BjaZEUWo8LpX/8XemTS7jZxr+r/0uuEAEvOiNyRIgmfW0VGVpA2ipJIwzzN+/X2SdR1XxGGQLfe2
HWF7UfZJZiKHb3iHKZRqPH36ySg619mmI5IUL4Yjok+ZmYXlHcjOLD2iqpyAc1MH588aQ90/hyro
hj2ZKyjhzlRrzJ4dg+4/qhjg4ULVmGiSgdqk3mGhE+DLKyt/psfD0ysg1mnbvAFwAw9MTA9Zzn1C
vzYz9W3Go8Pc0Jewif1L7VOUc0VsFf74x1QNCQGi1Gy7RwPn2uLj1HZF/KJixynukmXp2odBIUdp
Njp88PChUozym6nqNkWWjgbmDl0w4FRAZxEVQmAI7HYprOhDThpBx9ouZ31v0KE2txTvQEgNZqMo
O5A2Tk0laEBOqC1rQzymRTRr93FIDvudsC11/bl26D+iGTV0D9j3Fi9ATxxguyGkWA8QVW+km35u
iu9tE1ovloXCyyFBrrMmJhHaT8oxkPV5EbvmYDhJBCzLMrhdlh7Js53O69txE+gFnc4OHts2rxHB
esTqCgU2vHZrxUeyESYksukdJY15HBLPsQMV9VUS0pdZlM3ykPWRSgt7UHIr+mJHYfU2o5eU+EOo
kHPNHFVQyrOptnfgBoIRQFEVIqIjZqvbEsQDO0M1jzM4iaCqPTsJadjKSv9X+riI3DQK4cYG90n9
jzFKli9WJsTnccjq8OjYCUhNU505YEqYKCiTAoKPt1WXLtnLjA4EJ0BHpG0wFwNUMw1kUIRpErrA
C3RcUgLFEguKciNyBSHJlb6Zutr5Xro65zes8/BRxD0SaW1QaPOurzGp9JEoNV+CRrG/BksUvFpJ
EAT3RqSkk4cSUHJYImUEStannLxUTx0H0FXVFoeGlP7ONcTU3bVpF73EAzK2G3MolrsodEHWRRYm
AbKVTBZdsdbGJs9aqnwTcLy3eEjpThs1FmqE1237FVEd86Mx2MvHIAe9uJk0ms1b4bZI6jjJOPxF
R336pqe5CcmF0iWtzDxuj1qdGdl20ThEOy0o60+Vrahf9IBvt2uFCRmlGiZe5MFW+EPxPOAjCCJ3
HB6cJmvB7lZ10myEM2svul1glqUkGM8AjKurj2NdOoj1RfnzVFDU3QAmSj+7s65O7O+pqL2mlW5b
ahTYL5WeFBP9azt8RefNTrwyQlylyKw2A3oVWo9pj/jHFrUBKn2Yd1pPcRZ05mEAa6Ps26QH1N0i
8GECwWual9EceNwnifNol0n5GYeISW2cSA8VEIKzEJ5lo/GyAaAGJT1xij46BqjMmTsgPSDKtYi6
AVmShPm0J8gP6RXwH44PUCD+ODdLe4IIUYMyHswTcChVswpLhGaugGBYsS02zQlipNQSbiQIIxIJ
o47oZ0XjV+0ETaolSslYSivathK7VEoUU38CNE0ncJNjgXOyT5Cn5AR/ykVALUJIVFQyGO139wSV
yvso/om6OwAqEA75p65ypy+1xFe5J6iVMprd8ySkcCzvU/ujkKisoR9rBAZOYK0MSZ4PpURwmScw
l6Lldk/TvQcH2Z0AX2g6If5lnIBglsSEdRRiVS+WSLE4DRCHHE4AMiGxZPVoACtDkgaEWV3TnHQl
7gyHUVPZ1Cc4WneCpvFgE30seu9+poBHQddx2+yrBRNUprSFNhGfSKibcYK9ZWFTfm/nFDAcwRjt
eGcK6nkTnwBz9j/guROQDkG54hsm3u7RNYwh2Von0J0OUCXYLXNRfJhjNW843RKih2MLcD3Uegiq
CXckjO8E6XNL0H3CpqwBpYUHv1Yj+y0JjfGt74FMb0CRmbv+BBScFp3kUe9yAISBxBJGkaSb1PZI
NFiGf0UnvCFRX/JRA8S+y5AYurMa5FzqEzQxHhQdub4TZDFDM/BPm5AOsbExSZ5zx3G/dBQmflbB
CFPxBHyk4AwIUqi2spUpJ27o+/AEkdQlWrIkUXtbgMI/U34LHroTrLIG5/lVnMCW4OXzuyWc7L9h
nGQIz8SGXt4Dq+KSWaD8IATWqffooGmPyqgC51SUbPlbiRwOEZXb9nO4TP2Xspcg0EniQd0TNFSc
YKKxYSYPZPmAR20Kz+EGfjeg0kTiSzU6cxxaW59+ulQz+GsSi4oejk6D8QRRVRfV/WZ0AwePc9dU
SC7Sl/QQ3Cm/GieYqwZHDLjzCf5q1KP9Ue/JbXnVqv4xV6KlYI8STGzUwbYygmsJp+27skZcpS2I
rYcGiIxE3qr07uZNL/G4MPiKTwIslYaaqgTs2ifwLmwfgLzgwvPIK04A3ySNg6dulrBfo4qh9EYS
DeyegMGKI0HCOgI2r7pEDofET9WGMoisXihJ8WORKGPsR5rPpkQeu7UR/aB8yRUXnKDJg2s0D4m6
FN9z+m3FBugOMGaj0PRjog0J5CSJc05OkGcwMfarcQJCx0sgQdEngHSoOpm2N0/AaXiWgKgLRwKq
4TcDri5OQOteYq7nUHTL1pZI7IUqCGf1BNBOqyTkNXciQE/NCcSNHkf73T5Bu0F8lo8QfyQO7gT+
lmJI/WYRWozT8QkgrqQszi5BH4wIR0LIFSsRnDmJLB9PIHMkxQCcdxJ7bpOhf1pOgHTQtsE3EFXA
1B0C4Z5uFxKAG6ji6vMsMe2GkEEZz1kP/xguobkZgXK0gOBxs5j+KE/geOcElKd1Bmi+PgHo9ROY
XtP6AO4A+rrol/ZjrG5KygvMGRW03MtAk8P1KPpk3ronmL5+guxPJ/h+MEgof3yC9aPSBsTfMUhH
Hrn9AY5e74GuVG4gpwMawYmCCjjqipqzdlVDngDGF4jNXWU7uyk9JIl5XOpnQ0vuWuOTpSUHgf8w
fVjQf44HaWmrmHDZtXvqdE+aKLzaeNKpBqoWsLywx0jkOFDybIzpCGdhQaHl+g9eN21tVAGAawha
mZawDGcFdVFSq8n6Ode8GZm3vV7X0X3qgNz83VFcQ7NtnV8ts9q151DC3YideZrtRK1Uj4mtBa8h
TlW/xddn7S3gOioDCB1ZG10X531hNxvboZvLfOdSZNkgbt9vgbb/npf8P6MIB41PRwOdZK8b6bQc
BhLGIt9NAY0tQiC6+1vRqeotbMC6zS2nA9/cJIcygXWsVb+70XXDQDQ5SPvS3mgC0uhi5CPcXdX4
3V3AUC47Qdc0akou6Kmz1v2QZdTBFFYuEmb9SaEPCmEt/D0zBrlyCF3QsNd04doGOhvno9RON2hu
32W7payDz2Af7CfDVpT99b22hlTYlE0tFo2ivCmor8ll/QWGkLS2IbTFTHZmly1v6tgMj9So7KND
mrFzUnP8TVTKaTzqLQ7YHtXQ177liNER0EHw3FU6WNgCRPsGNJB542K5OCtQSvw/DUcF6HY+q56u
P4AVI9kVnarsUPivfMMkeTGo1fkVKLIbYI5zeRmQd6qKwgs6C0AtTM2w5L3xyypCos9MDFIcL5ev
22QYT+pokcaRPlJ6UZ6LCMDz9Q+33u8MiW4Es3N4jAxDXU0Re9cs6unuemUZBz5YarocXYu6lVoU
N2b3fij2IWg1lWAFhQ9rBYZR2mW2rKk3PUW4xdaoK8AfIRXPachufbj1BeuoAhEj7lYB7dRgj5wv
JGGnNXdM11OCiJJs1DiW19QaqfL11bs0jgHuke3IAbDF6vIDmI6SchAbXjrqum+i2LstJ1vcuMjN
9cqZpoubiq7yXOA+A9LnfDrmALTFRZxz36IR9pD/Ub52D+h3vmr7ZR8cJm/eLvv0SQN0+9AcEUI6
Ll6175/qr81r026Gn+lbLTb59g71Cm/Yzd6n0fv4UG2F5x5o527omh/jbexhWEQ7A5nG/bKBKPb3
9bU6+S6eYeVOszDgfcpZvDNIGuUrDi4x32ef+13lNcf2EDmbiajoRYDP+wPT1V3oRcf83ni9MfT6
IJ8W0AEpAVTPsgl/zhewjV16zkad78Vh2U9fEipZn53H/A9HO6T3FGyOC5Rnm679U3HDM0her2eT
lpcUINMTQJAnfzWy2lj0KlTJknkMX+fH4KW7i1+mw/jn787wNI6LA4RA+4vK+/kMzbYtklK48V7f
fIX0+ID6wnbcDl65dXfLIXxzD5CWb+x+TW7vd5Mj6AKxKwQv5+rWL1w7gA4EwdE4ZMfyyfQ7P9gv
d8mT5StH7Xh9igLo8rvRXEAdiJe5PGTmaoqKkpqFDvBwP26tg3GnPJdPzdHYTpsf3Q4FwN2wwwBi
F2zA9W+i3S1HMl3++fVkXSRgVASkhEnd4nyFCejtQNDO3OMkcFcz2ek+OFpHx+v8wed1eLRfzVc4
7CgAD5tlq5C7/Uh+KH/rL86T9WQf3WPouZ56bx/NGytzWucrP219P4xVqI4LXoH7KdzhOBYCQ239
Dp2DbFtlG4Rqcnrt6ONWGzBL1HaSGxthpY7zD9LWBU6tGYSzwEVX96BNWT7RJc4R00xf37sedlN3
Yjv6zi59whXhc3zfPQcVOIGN8RI8G3txrxxVb3wo38qX5s7wSSg3N7aLvBTPFkWiPJGFc/gvTNxP
3/OXxzTS8jboWmAlNNte56fuWfnWfTTvm+f0zt05z+lLsaufl0+0cIuv6jfnxpJo66cBZT5D6DpK
VohzCa628+1ScY/jUJIpu25fHZtjcEc3zoPfdBT76in3qu2N63V9xQE1xfdEJ5AUpkBsavUJoj4S
lOPmeD9vyy28bf+WFeL74EQ3QJm6IGfBtHKlrSY0t2D0+A0eIAj9lTvWppCkiHyfRlH6FbIVyA0d
d7Eb33G9jvLzGQTK8BM0XsHTOv/yGRM0L4Jxpl9WWCXcxy7TjjViyPvru+XSKBZMAAT9yczctWRh
nJD22rDqvMhphjt4RFJRu/ndqPW0FWUgrrtkFgT+50towpATmZsYyCVDnbMbddhmMOUO1+ey3gmM
AmTbEjZsD5gZYnVPxh1l3L6rdM9qEG61lkDb8/4VcPFD08vVuH65Pt6FteM5N4hODMsW9voVMMfa
HOnC6p6Waf2+Udzh1cbD5sf1Ud5vP8gn8hy7QNLJ9uWv+GUf4COHrMbEKJSxxXNMTeDQm3X7hlK0
8rKkoGEix6FQdX3UdeTlQHkB/Y7OJu8qacZqLd1+cRFBgYxJuxXNxZBOcWB08aYYqvmfof4/gekX
ApPBXr1CYIrijF3xA6Hhbj7+/X/+l/yf/w97SQqK8uqfVE3/m7jEvfAvgyvJILDDkk8z+T/8W/BU
s//FP9EJnJF5JJWXunj/Zi6Z1r+gnkAy0iidqlIr9T9nLgF7QBWPjMZCHJHiFZWH860J901P6PMs
9xoidLBhndLKPiA6lgWfRJHLLmmYlN9+WZmXf96xX3UfT9Wb/3neLEQFeVk0y2Kjg9YgnTofNJ7M
MAeJ79zZm+dw8/rnw9PHD+mN3S+v9GtjrCaGtJFRWWbq3KWbz1/fws1DsLkRHmvyAF0bYkUrACmX
I4DDEO3uw+fHt5fEe1m2X9TNramsmDrv12v1fNUGOA9zZqB7AN/eW+QxGQxObj378vdemc9aWBK1
Uk1NSj5LGoxeVR5sEupiifaWQFUHJFug554LMMj+qEFbVYExKKjhYzW1pdsKnfMuzd1NX/Xe9e1y
40tKWuCvt6cx/3uZl/3zs7s9PDUb9/9xCHE+RA0ieggyZp5vvkbbt27zJDa3lvf8OpaxlCD64C4m
oYLUtX4EqjBYpty1uwOedchHpUHkWbGub+pQsW+8aufvzT9DkVNR1LQ1bhFD/pRf3ptKCQRworo7
YDdWvoWmc1csU+KPCpbEozt2my6tb8U68sz+snkMgcEe6lQcaMntIls9HzOFGbCklpn7dau1e7S6
rA1PeePleAfd5RgWHK7vCn29nnJAjGHkZQL1irTmfMCAtrNoBJYSNZ1QwI6GtTOKxgLOntpeXyFB
lKZ1cOiSyN1FXW3fm2ZT+S0onW3qhvUe9OH4V1WpNJzoT/TboCocL4vjCT2DmP6TMgXJq4LxwaaF
aPxoByFyLXlc+mFTUaeYhg5pz8E+4tCUg25M650BYQuAe13vTdGi9mWrEYKPOnpudk59f8jN/fU1
OI9euLJl2cum2ksNFvWSteN02QFMQ8GKMnwVqdDOpWkFlme/O4qsk5MNmFRjdQOk5flCz4qpB6m6
1PsZ4Ol2NIOBQKm/ZS777nNKii6xkSWo5FH1Wp3ypVFSAanS2CMO1fxROQVi9QRnH3saEbdqUuut
SkWDagZ1PF5QxMhXT4NIAfRFiCfuZ1BMXsrI0Di7fucsRv96/QtdmBVy5xYYSkI/MpvVqSjz2Slj
XTX2ixaaOxslTXDcOKChYPHfJPL/S+diNgMCurzfiOnyucihVguYiGKpgjiy9pgYIifmVKPXZWDi
r09ofbVItq5KEqWxFQhPnPWpa/u4pdHQ+3agiZ8oRi7ormRG/DNDsXPcLa1dfXTbAeTm9XFXbxOY
btmnUekJwCoxkBQ/34SqiNQaVm9wCMOwNECAZc1nEMZjui/UOP6zA275JSbWwpyJFuGt92F9uXG7
EYpR9kWtHcieutoxeS6iCuRF5oMeqcPtgm0VNZS2tFEaa1L1FQpQqP3mStMZoI2jq0SA8Dxph53P
2MkhqnWFYh2GGv8tbt3wc2WNcBQbW8fWcimRJMAa7voyr28UA4okjwb/4mIR7rt8KA+WnFSi9PMC
yFWkmuVjjVLFDfn79ak4jUKXAAVzSi5M8nxq4E/DmQNY+nXX5vfAI+gTZGDg03ZSbgQ1FyYkkGAm
wIbnTB60WsVwMHGzd5iQBULfG22sI+xlGXbXl+3ChKgfkeILWVBHNP18QklZIxgZFZU/FqIkSGoX
oBAhErbCAwpjGc+/Oxxvusmzp1HWgC8mJ/3L+w5oNZhS0U3+iLgRjml6dO/oebzFUy17uj7U+/Wj
t2KShnD0oESubxXoO4CHTGv21SBonswgaw4qQKMbofSlUejeUS2B0UPLbxV/KRBKQztvZ1/LZ2Xf
jXHjK3Xx7benYmLugI8ElS2SHXnIf1m1tmOzIfk5+uCIll0yIpiIIFbU/7w+zLu7gtVSpUaFDE/I
7VZ7oXSmqTa0DMA7e/IZdkzwINA9ekS/c9m28zR/vz7eKjyW+T31OpMIgHfaIWs8n5ZmZhXAxXLy
LRDhH4BpKjtNTxsoB3nt1e6Yeh3KgTsnCaxjp8fljU/3fuvTFKG4YfMukD+uu6cp96UNBXL0WzNW
dhBDFaRJIwB/WQ12+fpUL2wTmy0ve1auTu90nQfNap7BUBz9EMo7QPLMFajsq/Et06dLc5LKCyqo
DHb/GhcQ0B5NEt2d/Wk2ir9YUbv1naIFgF4yWHm8Pqt1OmwQxbF6yCDIV5WWy2rHtHHfxbaeKeBl
R93ZR8g+OS9oK5V/FKGiPOFxmbdfktx13kZkLV+LptSdHUi/EV5GT03uxu180t34NZRnyoLmsED3
iMolJaTzHRVOFprmo6r6IeswQO6aBveAEp2d7cUSGY1Xdzgo77ARTWuP613VqKNaA+qDmFDbhzSY
umJPN1iZNjlOxZkX4e72hxbG84uYCj3xrq/fuwMg2/Y80LS6eaXfLd8EAB3u8DL7wETsv4tAUcdt
JOC3R40w70cRJnt8PtvH3h7tnVDn8cZtvA6J5HLZgDvYMXw9a53Y2V1fmXDDZ3/WwayLwoWBiB7T
QYc9/RlGSvxQMPcbm+bdFmVQKjd4JkibGi6b82+EGlUHtlOZfWkB+DV1hwwWbiqlEHHobG8BMS6O
hj2DRfhnIaUg//kvV2c1plMzWObsoxw4HO0E+BjM6xoYSyTUG9vv0nJKWRIiLY4e9fPzsTj2wdh3
HL6sw8xTKgRwTc9x77tlPO4wygQPbduhcSPcWjWiSKTkikpUE70gzBL0VYwXaXoELG6a/aUE6V4v
aDUfRKcHL3rsjLC8IH9n87CvKjv9Uw3H6tmYLNpVOtobUYP4HyLxjxppSwa5MOxu9dHfvSr8OsJA
9IxMlcLZelWU2MaFQU1UfzY6E63Ndn7DHlgZodR3zb2uZrcyl0ufASy6bdKt5FPYq+UI7CR21DFX
fTOz0MzFgfOxhj30qTLqcNc3uGaXo6XcgMZcHJSLkOImtWvijdW3RwNCMSOx+HU2ZlgDJxjdgCCo
P4q4iV4jXZX8hapEFuL6FXJhf1O8AAAmY3yKtCuQwlQLkqouVv14RIcODTNwu7ssGJy/sYNt/rw+
2IVJ6sSkhmlhHESksHqwlckNQKvasx+lqsIu6pCZM2OrfwLWWOz4HeiuVX37u4GcfMeIGAURo+Yi
6HK+tNagl5neWIuvUhetNg2QgnqrjgjL7a5P790jfRqI21guJNoxq2/oRJGOB/20+MCke4+EKvXx
OLzVIr00isU5ZVKAZdAZPp8OvCB70rpS87ulKRFShxGoepqNjMmNrbGu8sp7AXQM5TR49BQO1iev
QHxcCVJF8+tGVafdgjhy7VWuAdoNVWKWT6MO/NZ2IfDMccF4eVM1okWuL2rsaNuNmWrTvTbT2I+d
GKbs7682EboNVI5IiyNzvg6BGxRVDP3cp9lYuV6ZwGHao7S+3CovXDoivw60+qzkqkhc6AxkwnRC
dbqoFfA3U529ak2tLzem9S7d54rD8Q0AP/JARLerA4nWX1+OacHtoyj2NoRN9Cf+oeLYTlP+MTdb
+zluRONhRIgX9vUVvRBOoEsFGUTQsMNtYjVRJI/SObO5C2YUxN5MZ0Gzpand6ZV3AVYg/sXqQ6gE
8x3dPmTchwzD8+u/4MLeJr1j7qBSyFPWiYotyr52rVb1ETvJUIJX23a8i/u2cn9LZOz05LGzyT8l
Yk8K7J1vnmLG27ZIO9tXQ9Pwsgzp1Xbu8hs1hQtPFxkKERJvK1JSa8W6Vu/HzgX76gemYlG7z8fJ
9YYxzr9zEUWIKiyB8fn6Cl7YrMC04LFxMgwaaKuJibSMEMvObECBIyq8od3u9BlDdVLA4Eb+c2F2
WHGx/YmUycnX7ySRkYPQqGZQhu66rzk85hfdDZTBcxGWQh2ktJEOuD67dT9IXkkuSYNEZmCXaK3r
vmbZwLrWQsPPxVLb+3ZexAzXPk9fGi2q75exqF5DiLc/kVAf8e9YYu1DOeAZdCPyBoTGDlmlCmTT
lBuJE2ihr5NdivBmri6J5Q9d7ybbdCIa2XdaV39Q1NCwnjQVIe6DA8EoQYDTxXk5nYT5vQuBAexF
2qHIMA/FYO6s2En/gLuHZSeaBORY8DDQc+2yJnJw1tO7Pwp0yPptHANkwtzDSLKtWizBx1Jo2Z+a
EudPWE639Wd9SRvdd1Ntes4te6y2SI+YljdQ2LIOUBODaq9gHa+jn6QY432UYk4ATLoxxi2aNJgz
IYur/d00Q/eTALQuH0A4K6gtjyL9o1YiJMHcvLPtXYztxavZDwaqFkhILJuqbe1hh0OO8X1wnRFB
YixYEA8qNJZkRAr1c+8iWrw1jSmFF2gOirOfOBkjEubJ1EiBruCZ/tBQvia6YwaerQ/uslGowZl7
5JhB1Rokgdomrx3JryiM6auGpU33nMR98ziMJjRFKzKbr/iu2/xial1/tUhfOUdEqcYZ0pM5/9EN
Vf8G3Qvxbh3Q+5uO6+qPGR7adyiiRn1ooep/sNysQsl1Sip9A//BnfEyILMjDJ9M/UMGPyv0hlkE
HxoEi+bNvHTuSwdpDmXXIgy+owY14QaDm9tTpwaD7TOn4ROmSGbwjDIYr4dpJWqNvEiTP/WFVrXb
nHrWtG10DHV2o1nkX0eVlsRBR1Ps0zRimL4L6rH/24AqG/o9fyPd5FqLmLcZqOZ3vLJH5lPjcHkf
5Z1aILg11Vi8lEj48hr2AteWnh+0b/MQxi0S8UmGy8lY9pu8qDVBPXlCxsjJsM05KjmGVttOqKNA
OWZI222YR8JPm6pUD5NwS0RwRd7qXliP8Jkklel7aYamu0EtZbS3qd0M+Z2DaNJfqLVM3wkhl+Ns
p7iCYb+FwrYp6kbfNzDZvoWOWn4zYJFpyHD0mYpxhaoUu3J2QJ6FqtV6aF02HyrCCKKIXuVnsM8w
F1e7ESNkaBKIFKmwaLwxQyBoF/JI/vzfQzqNUwsCnOezlX96pvoJeTeubiELL7zTJ1SLZAJQwTDk
P/8lMUz0yq2VoDV8Y9Qx32jUrE536TRFn5uT81RoNoXfKLDSYWF1wa3U/9L1Y/JAQkOBjEAweD58
ritBAeNK+B3X5FNDx8LLcXC+cc1dCNjJeuX8SA9p46wmOc19p5d6LnyB4hMcXOIDXn5HRU9io/KC
4nuiZ/a3yJ7bW6atl14Xnmf6YjqNXF7R8wka+EPIUEH4GMzU6L/F5nxodXV5NSvHPkgpk+tPy/up
YhJIJ1Eq6lKeXL8sQRUUioZuBkI0ORYt0aCo8Rb1iaq/V9LFtDZKay7TPlqUm2SP91vJhujByNQQ
6Zet32yaTlpcK2gOVHOYuLuys/VvYZyqybZWocmDA7WLftcjKDliPha5t3LPC2U4Cre06mTSQm62
Tly6ObKM2UryoxWjNeUPUOLqbREXZY0sDnH2riOlQ6NMiWFQ0AeolP1gNHrO/a92nwxIB7e4Vu/D
GFp51LRACxACsw3Ov36qxLU+ZTih1w2C9VDhGvd+bjXzDhF156/rX/79TmMszjKoU/DtpDrnY1Wh
CTFZlYIMDi4bkY4QmKOJ/jEyRndvOkO0vT7e+51GzgJkgCWncg2g8Hy8YYhx08oWx3fiJD2ACHI2
lrnkj3oya4e4TXHthbh/4yRfWFBZILQhYaEB+S71hocONgMbKZ+bO3viIW9x1LKWXdir6o35vb+a
bPhrhJ+0TdAIXjdOIMFbdme2ro8LodgrqAHcdcl8q2t+4avZNGfAzXJYZQX0fBW1YCFZqHpAOWqi
8IQEysc2GoddPKojp1SLblQRTqyQ84CPSJ5+Gr1BjgrV+PMBE2jP40TWRm1YICWjR5gDb6ln6PX9
NNb6h7IuRuuI8XObw6lGGOGQIDb63I6N/YIgUanjTzTRWkzQT3gLZrsNPa3V8+wRWTmMYDDEWpC1
qszuQ6Ki+/9kF7MBFXp2Py0hodD++ia8sB8AApDt0bpD0HndzY5nQWhpdoE/qWLSwIEEdbSTAFh7
M4dAXn9/+0HwBOKAtgYa3utMSEHQrIKRGfhV3SOz5RRFruyoGjdvRpYjiHd9chd2IIAjLiIkiaEU
rdsK9awhURFpgd/lLeFlOFhfeitvbmCNLo8C+gCoEX2ZdU/GRZ0W5NQM/8rCXXGjpHrSf1InqK43
BrrwPjiQUOiu8k7IC/F856W2MdSWUQU+eq3IrhAu4wAQoHjRtH1ubho49Ds0wqOHeF4wFbm+lpc2
iiwHkL6y7eGdnQ+eUS/GaEgEvopn3RuZfyc+p4kOg1zBp/Xt9wejNEiSRw4LYGxV/AhbJxzdaVB8
pemUzVAnbgL5vVaPgwZJ5vpYFy4QNj71XYAVRBnvYDfTUqSGNit+iCSqlw1dhyqdGPddM3/DU3S4
cSteuPVpVoD7pJJGw3d9K5pq103YVig+rfHoWah141mLlT1g/YRvVzUox0bLrRs7R36c1Z3FoJxa
CAY6+2f18boBYU/ebsUXFRpVmzBHf2Sb1lqLloPVTuDw8tHCjyIuxr8UESDc0baz8dulbWkNDvqP
WVNbWpcR0Q2zctPqFZ/CZa75URkADBtCcxz3ejbMKPK4SJdunWBuPl7/xJdOKAxz459qEtiZ873L
UYyGvs0VP6sX6z5PMLsLSWdvzO/SKJKJSf+LcJWS6fkoaMQuZuOUfNl0juwNAmSK7hW929o3Brq0
Y2FSE6DR+qZBsZqOhWRCagYR07GpJiVuh+BzPPxthNRcG0Rf/oOTz7EwZVRE73k9XOfGSVZB1gER
0xoeohkt7afO2szJ8B8cDnrosvcKLI2tsnrMHRMcquizwO9RB3K3vZP0H9QIAUYvzXvsoQujYnpJ
7bq/fwlwn0IQI/ZFKf/dJVCy9buFOfZB1/mUZbPNoi3Wp2ygPkOxtdhd35EXblPWkvfWpkcAx3W1
V0wsizKZTPqZhtSxCLTEmxE6pviIOND1oS5sS5osXKMqCHuKnKuzTyu/0LWsdv0qMeMnJFaiu94a
ksP1US5NiBCMwhzQRfb+akJIDuMxRCTvh2k23Ttt0qHPr4U/3BC7yutDrYiLsmgrbT9cCAVcaWif
rWYksB3Vxixx/QTZ76NBfWU/zQLP3Ua1wq0aoOGddUGxzcIelF6LIEdluc6fjb6EhyBTnBv1zwvP
skuuyIV24mGv07aMwkbeTPL9b6uURiEyyYeyh4gUUkfbxkqY7eLGkvpdg1LfWItLy47CJodSnpd3
reIY+Jjd54xNr6VJHkZrAg7lFAaoXEuZkPy9vvQXhyNH5drhAn+XjKNrV/WFbhItKpiQRJgYOR6f
a3wZqxny5PXBLlxzWGMQ1fOfBgdF/phfKitjsLho7fCZFxsotTZNCirVAj9RwBebNlPdG+NdKCoT
mdIZBKQM8ZwK4/mAljKMWWF2ro8HXYeRcCf0fNuLyFh2My6Byt4qEVC+p8zfpoc8bIcS2Xcd9UM3
n+bsxoE6JdurN5ufQi0Cax4SxfUVkaDMZCSOEfhtMubG1qUIU981ZV5Gz03ZUG6NssQJdsGiDJOn
ZGl6j3/j9MOarf5zVDnSuqzHwxq5KGzoeRe0PD+oXW/fzZTVR6xtxzrY/f4Xk9HFqTQvO5PnC1gE
cTipCML5btI0P1C4jb+oaVp+AS+XzV6RDKa4sf/fnz1SMTrlMqkgpV1fBTbnHPOD3AEUsIz1wWgH
7Utg4vfnga7Iul1bxdgxAsoxPi5t697Srnl/t0LXo0UmHY9knrt6r3q04rB2Sx3iKr1xMbi0Enuf
TgD8brxPlwcyADsCs5E45/OVjUD+9l3o2H4dYuSlIMB07DtjunEC3h9vpsMrAWCNYgt77nyUFqkx
Ky1bRkmjbK8tg+HlTRHtwSXeojlenJBU+3ElHBHg4/lQ0Vz2EThl288CQDQu/AC/Ehj9XN+QFydE
GEHhkKoOUdn5KIBs1aWdLdvHT6LwWler0ZFU9aOt4IzxHwxFKk0xEpOudwBYSc+Mp2qk1M9VsXUK
dd5VmF9vl7nU/pNZndR0DIfnb73pi5wAG9Kt7S/R9KcGWAgg9tgenLQabzxt769gibCyVcgswD8I
OM/XLzZBGS7WZAPsKrtjrBXOXs3TcTu5iIKm4KR/+wKhh0ZyBAAWy2TQ/OfjBZEuUEfmPBWlpd6V
apBizbq0u0LHa0azxltX/oX5sdt1DpWDPhHw0fPxCik2KpKO68NO1JeeVvcH8ra6fQhwCf+OvXgi
bmRiF3YkHAjAmwD2JCFqdcTCsWvSXqkcP1J6RPxQ1NjQwbe9uZqrG3fjpaH4cAQHhJraOziX3ZW4
DgOU9Jdice4is8OSueetKNAbvTHUhdNM1ZCDLEMgGQKer2OKy63V8ej4+kCVtmtazEEbZbyx7y99
rV9GOb3fvwQEmHOB451bxwckBvjSFTM9v3l4w8Oo86fcsv6D3cimpyJuc7UT9JzPaiR8m+nm8q1K
KbBXlO6H2ZrmDaLlKL0ZCRKwv32HUF6B34HmAP9eb3/FQco0VErHt4cg3Nmt2+8tAHl0ufDuuj6U
/CLn0YUUXKPex1tNFdhdnbTeTFoCgoK1bFSx7SoaU6nBjkzzJd0uo676FS4aG1R3NNwFGvH39eEv
xPCMDzyBKgjgOvot52vblUsa6ahc+qOdGJWPYnSKV/KCTHgaO9hR5sJqy5e5Ro/54DTCrgmA9PZj
bon2rqJERrcZJdz8xqpcCCe4C0B4wnMBU7WOuYpmTvpm0m3qTuYs/WNL7RGjE/uvvq/bEWk0tGU3
jj70/8XZeTTHbaxr+BehCjlsMYEDiqSCTQVvUD62DKCRc/j192ltLgeDGhRVx+WFdUo96PiFN/yn
1RYt4PuTYm6sCV0uiC6U2GASrvZbLqHRtUfAazcK7lsZbsnQiJXg/ihb1wKbC7UJeDzgQ1Z3OvKu
5pQotB0QxJxfmr4QJzHM7tGdqn/uj7QRUEtyNi/VL8YS+cJqkTlSCwUe9wLkYfg4FoA1Dhp9Dvsw
oXL7wyxaLHQTLxoDVSXZ9rSRbm/3TsE+mS/yM3gqZU+PhOImSjMStA3L2bugTJu+9GmFtO9cvBua
L0fhMaFbhdYYGeH1xza2mSLvrXmXsBAJXjFUR0Bhzy4a6fenVc7a6uhKYDoUC7oMstx0PVCcRxJX
EYUXSAZleMxaxUBWOGvSrxkyqsnjiB3Ds6EhPLyzPzfuX53snq+Dx3nb+ZgbOu9FmbE/8dx+6pjt
RzyNo2czarpDMbv2w/0P3dw/Em8ItI9Zpe98/aVOqRMjphpVEtMYfqRuWD3bLapToUHvIB7D6WQl
xKjQXb2HNhX5edS6vQ7k1kfTPmD/IA9g4tZ4/Rsms8OHKKGL1TdW+mMSZes9YIErcPko0Do68R+W
dOfh2TiihODIJdBw511dPzyUPUYj93jo3M7pD80SY1ZfetVZNHP5G0MxFqUbeQ0TJV9/nmHNfdFb
MW8cQIbXLPHMny2Xs+WjDY9d2f0F3bhewar+/2DyAnzzgKsqCrDWTBZjI5duIrDbpD/6JWuDCfgY
KvVLpH0C7OE6PqLA2XS5P/rG9aqTbsjGPnKG6F5dj67TezS9WXEvKPuUL4mZjk8wBfSdkHlr7cih
5EUjNTXXa6emxBNVP3O9zlZzMo0kOkyzbZ5iPBV2pnPrg6iU0kIGKHrLmkHwdVmQ33YvIVqHQRou
ydHFnPw3RgGCKbNr2ci9AQV0Ao5dkdqXOMvjhyXNy+OS1LselVvnTLYFCYuRXqJ8fr06FLCnarFz
+1LWWQXXTmu/zFir+Rxwanpmah+qcI4fKn1Kjm0VqlhmqM4T4DGalmavHFVl1PDNq5uXHBsgP8Rp
YGdlt+5d6oT0fcnB0R5Z/cJwkKFiDO3VEyjeqWWeIUVxUotYPU1SaPj+bt28/N4OtzoscCnzRI0i
+1INg/Z32JnGvxzVIT/3ZTPiZtmY6UVUcfknRAGzegQ8M5gnL8SoYqfdsLWjYRdxmckmMVHR9cqU
Ji4FlT2gCjeK7rsXY80Gfiv6iKBbvHMbbe1ol6CUNpVke6xvI1YeAwB3dqB1KsYBVMlyjGIwj/en
dmurUej3KFRRgL8Js4FRjwlOndx5CC4HcevqRwOwFmWOsvhUm0O8M4EbG8dgA2CMSyKByJqc4DfX
HqS3qqu80CasX/oP4YAcA04yygszgOODZRXgV9vfuNhpfRuE1pR0qJGtWqh66oWRqzCo0WWhj5eN
fhxHxbrovZXsgKg35hMOAsAZ2Tvh8K53KsajyGnErBp69wdbMxGWr8oIfcg2PUDi6473129jQ16N
t5rPTO0XMQjhXCIb89Im0fUXp2wnMoRa7LwZm0PRzTCoHTGX671fTU7Wg7e1L3mFDWYE5PXjWCvj
a2nvaSRvTSKPvWTnghInOl9tEsNoa4BdUTCWyeCHyVifmtbtPiyjKw4C+PVOcCVP7SqKRHFOsi6R
f5B00uvxhiRXjMXoosBoHCcLunAoXkWhaeUhLY3xL9eesFWnIuRGPm1+/UOXDiK4v44bp53SBugM
KQnN3bJ6kLt4Unl/3SjoK4zrLOkRxRtU75z2jaCDqws2MgIhEguy2i2WniVZXRsRQUaHsmYVD8/Y
FDrPTmPbTxEq8t6RGeoilHO96Mv9L1yppv5KPWSzhHidiICSnFz1N0e/I5/PlamIgxjd95pIANw1
3aDcNZ/6dgRirNUl9cGpIptELaaNw0crG+h04iSDLaEe9uZDM9nmcpZ6D5gnucLpH0bFdVMsiKoG
JQZNIpWd0az3KARbE4dSJjKIRDJsyNXy9KDIjcryAEZQxo3RP1Kcc9jH8acsWbpHTwWs5KatenLm
3D3dn7etY8cjQKdJArtuuomhU4aZ203KRc3V8YiOm/4Q5taEbcc07mzCrXMASEgqMRBF3eYYHDo1
L5YkQH8x9R5qEB/LAaRz1v1lh4b+lzsY2o9JMUGgJLHpPqUaGdAOf3brc1Eh02U+R7Nn3ekyMD5r
sFOMA1ebkpOHAPsJJ8V/2jledq7OjacI1ACpDIb3kmG4OvUC3x/VnBOANV7V27gsRtCkkh63Pgwv
AUf6g43r3SkBar4nM7pxwVHvIYGiuiEhYKuh9ZG6qDG0ysWgfo1rxeCK2m+Gkpy/5M++tGbc1zsv
08bEmlyqEtIq2RnrWseEBUnliVS5gJF+zequeFWz/DXHU2lnBbfmldkkAARLhBTA6qxkjtVjGV6G
F6xkJ9yJpCXZApfzsR6dQdo9uvhETk6Z7+XkW18Im5E0gOWk87B6NmZV65CHH2k+Y2LuHtNKKZBk
xjTB8J2pWXZC4I0rAawgq2dIIdEbhR0HK1ueEtrNzVTp0YPXOdBRMZ9xu0sprKZE2cu1f8ZOFv1R
KFE7v/8ql1RcJpq8GEriaguluA1zXN0QgIauvGpeDp8ncto5w8I0KqenHiZvecHkq2yCehkH5ev9
a2njrpAKOFTv6blzhlalM2SOSm1uRBzgL+kM/8Kn6OLHkv03HBd9hPhQ4caFY6iToseFAXxT+RrW
w79R2Jdwf2AQtkqjbn2IAcLVc1oBZ1KmNvqQub20sO+hCjlRvnOANjjhLmrN3P8EzNL3Qu6/Nw9Y
WbhZuiiOcmlqW4mevcqI1DPyJdg+Yx9mBqVTVhAQsaJCGyG21bz95uWRwExSjzLnXGNAKB4c+JKP
1qQo/YdRUeaXqae/s7M1tw4CK8PVxoN7m6VY+VjhVRcpoKnHHjPXKo3+UoahMQ9hipv2Tna2dZmx
CWk9c5myGKtjl6chGlopAMUYW66LYtUl3jhuvBhBZFTR3wnnZz7f33wb0RIvImBxndyTmtDqiiHG
Qe9AWnmas4aWfOWU52W09dP9UX7py67iQgIVG4FjAF+yDH694KmLq3DpWkQsTRfn/9ZRqiUfWkvD
Ur7RlxQ/NEOPvMe58/AB7VVnUQI8kSzYLYC3RBDpRia+1aYZC1zMDUR4w2LoX+IxQb6/M4bKOsyL
cGaIHHY/P+rCqZovCdm6/VMhCuv8Ma9w/V6gQOzptGzQG2B4cmhA6dINvjm+I76GKQDXJFC8zPAC
zV6ciTICUBe/nnGWfe6FWjUHPURR5dAvLTOcW2arnw1DyV4qL4X6dn+2t9aUWhFnGWlU0rTV6bI1
pVVHw04CzQmrAK/L6hBnwPnuj7JxNIhrwCeDWaeXtS5c1LXuDo3tJkHuWOIR86v6U9rhre0khfbj
/lCbHwS8gX9sLoz1c7Tkokka/GADPYqmhwngxUGDfrgzbRuvrfy7OebQZYgQV3s0U+tUpWqZBF0P
rltxmhqf9QYwQVnBF6tMvXuOtLh6+J1vYxLR0SL/XOeC2TIYRd1xAPVIw8fXm00Fy77azXbmcOOR
BdspuQWoTkBpkH/+5soNR7ct7SgTQRrFpER8I0XKBJVyBODTIpwevNBNqheq/sMrqivi/YBo8h0+
UAo1Izu1vmiieqkmM0WvxZwb0jJPNw91XlcvRaOGlwLH78v9ed24S/lUtIYgiVAcWb/qaD5EFZVU
rCNwZzkvwIIxB0QAO5nj+Zs6iT3hhI3xpLMIpUx00NEOW+0eUF0OJASsM/O0rU5ZLLDVEknxgHLT
dFHr4jdeJnSFofO64Etv23oOzvQZrYsomIcGPEiXVWecZfUz9NE9csrGSWcoXkDMnKR23epZ4uoW
Y1ynUdDaiQdQztY/1GqlBRV6YsH9VdscinItW5Vy6E0mgZqqlmFZgWTTCNt0EW32Iawj9xEPmnGH
crNx3NHcpCYodQdpyq5evqXU8nHo0zhY0AAuPmBHbTR+RUJoHLGWgmE8x0LgjpR3S/zt/lduoPDo
soEroylLzHezOfEOr3WL7nRQLmg9PQAigcg5uV75r/RI/5BOBJ7nfqlD40jTfEYIGOybfXbsJM4O
tuj7+aAYlfltaCUHu+5756m3+Q8n2xLJS4SVVfz1/k/eWhgg9rj1cKgkPO36+kjhJoFqGbzLWFvR
IYK4d6EKlD2S+exJC27VqEEPoJMlW/i37CHs1TGU1hdPwpj1l6SpTQJhzKsHPSox0sXNYszb6YRN
XnKsm1g91F2yJ468cV2ifkLXnNCPF2F9XbWtOzZCbWTftRr+K8tpeEQjwzyGiJkeZjMZv7hW/jMU
9bCzNzbeOrI96hNgRkn51m3lJbZKtHJp+KZDiHXKbNifnGncUx3ZQkoQseAMaaLZekuZmuaqNyZM
A8BgmWkByV4xw+OcdH181nOj+QEMRnzrcmX4ZnUD/wdMrwtyzbgsy7OyxKn94HSLt2e5sHGJUrSD
go41DttsjUHLtKyN6dyDlW2a9DlxouU/24sWJJHm2K/msPp+f1dvrDIwNCaaFUbP+QYvODoR0i/0
usaGvotn/+doyce4sZ/ryP7WaMbfZQFc5f6YG/eOJJ46vMNggm+y3XaEFNCkEwDkyCh/tGGOA6uL
kCAeopRpl+pfNbXNnbtu4/RydEksOLiSkidT0DePv23kcUfoC9nCEz+oNHWHFuEpBHWW5nj/6+Tf
tAr0CQUlmJvmNq2C1TNoN5aNULRJYzvBtvagdDqyS60t8GKoa06bX9qdhQVRrNW4ei5tePBwO38/
HI44nNllSWmfrS+rssmUIakpKGgVZiS+k6r2S+tYIcQgu6vL9wfCNJ/JbBgTrtc6ELbaCUirSbFk
TPoMJEoZfW2sWBwSY9iz1dhax7dDycvjzToOiTJEUz6El6QVxUPdKz+MSoznWUvH8/113DqJFHQg
yyF+BMdx9TrmaEPoIuzhzOSTElR6rD4tDZeDO5fdwZ1a8+H+eJtfRszN3pQw13W4VhkGxbSsDi+G
miKCh8Cz2p/0tst/Gtqi7yE0t84guREZG42R295ZUqi12nY2XA/baiO/m5JcvHhgRdKjPs8VBRah
a7GP+ESy15Le+lDCcMDJXPKyHXm9hJ4x2WOMasllccVwkj4SL0WZqwejNOvT++eUCh5tZWyPOI6r
s6hMiT27MbynuoyWc0+f9dCakXrRenevArz1VeCDqZCACwWttBqqiwe1AqDuXNJyzD7lqhZx9mbn
MCxVvcfg2LpiCJxoC8p2602kPTpekS4YSF8qs3c+1SgmBH1oqp+B5iMaoHVj+0ya1QYQS8cfI62Z
vfx669UAS2lJ4WMZxK1iochMlWXMLRLDOAzVQK/Doj8vlE1+qlkU/lejad0eozEzvhEtZHt4vq2p
9n7pVlDY5xesNxA9PNoOnnNx8jn/2OX2dK7cFlcAMOTf3r+BKD8C44HjCAJX/pQ3142DM3Ri0fC9
lP0QnhthLMd6SNJHFT/7nb26dd/QOod/ZfHvm9KXoc/kVgpDtZ67PFW2gVIMILdDXIvJH9Jmb8Nu
bCImT4JpwIHdNkciSxR9srjuRaJ/W7Bf1vJag2JsqESV0Y/ZSnm9mgJNJZKI8nHW2+Tn/cndCPQA
JfAkc8tK5tPqyMxR1yxGCXBIryzn0LRddhzQz9+ZV7lEq/cYxh99ShAW0J3W7TbDRQZRj4Fr95Pr
nEd8smER6NODaNI9X6RfoenNWFQT6TeRcd9GU7nbl1bveZehV9PhYo1JahR+R2/jf4iGjd43rcpC
vCD6Pmt+RkpnPS2TmbxoVWhUXxcTMZ6TOVTO+DKiVzSdx66es6/KODhNkHazoyHoVEb5c67F+R9l
Rd/FhxC0vNgDjm6HeWzS5WmoNPUPGsBdc1KQDu8fljmc//VEhc5GEra6cdbHuT72YEKLwzh3cRKU
GRYCsuysIeUExTh+nMfQb7zM+6454zx9RpjPaw+6kZjapUja7A9tafGsaCGND0e99cr/WrPPADlX
bdUdRF7oaNzZSfe3UtZ6iEpaz1Zy6zb+YqfuPPmVnZpFkHVDPdBnwPsczJ+HW4baiw4AEmZc40nL
K2vx3co1X4Q3i/QbGnmGurM3Ns4c3D6SbU4BG3B9vOdmWEQvzxxVLeUwjqIKFEMghFVYSzDohf3+
QInxJNAJUaNblRAMnqLQGqGn4g3mfC7x93jsKoBXg+rtnK2tXc8dCIWKZjnqBvLP31xc3YDCC0qz
URBbZlqenb6IooOWRm571hNR7CEQN8IJXj5p3wBti2br+ijXgB3InZVLDzDozPMY/WnNU+sL5JuP
wsRzlsrxuJNHbH4jf6sUkwXbtD7Ztd3gCKPCvi+GsQ1YvPAFDS37I0Tn7nT/qtq6LOGfI5CLJhSN
utWD1zqTOY9tQ18CwMpAR0iPKFpYTWKj2tMI92hkuPEdkkw1H6FbIcYmYseoL/d/xdYHgzuSLVco
xzfvPtT0HKIE1cIqHqNX0LIYBi+N+zVXcJK/P9SvR3R9lbFLqZ2DmAWbvPriPGkco0Nd+9IQCM5/
9F5R/kU/1Kn8KkvM+Jxlyzifez0ssg9LooinqKOB5os+tb+n6PG/5FnldYGRWUpxRDTNpntrgWiC
gqSY4nMS2dgd49flJL4S981rnRWpexhb3Mt9q0uV/FDQG/kb7Ib4SqhaKGfI2NojPkdZ7I8InHxo
ojD5DbaZFJv3pFUFsMz1Pp6oySk4KCuo3uSvaWp4D9VsI8GsTsbOWm48flKDg3GQ2uYJlifq6oAK
3UOwgROTYkMeVjl3b1klO8u4VUmi1EyrkcYMt8E6NSuryvSa3GQZE3N6qksDWQxLanl7GlMsCtP8
XwUX/zTZ6fdxiBMEi7Sf97fSxiXLT6CKBGh3Qy1G6ylkFp7CMUUN4KKYaTb6ZVItJ4BC2llLi2gH
NLBxTLj2KPDz2JsSfX09te1ip2PWojySAm/3i3DIDqanJA+9wtt7/9s2V5EYmGvvV51sdUrqZTKE
1RvKxcLw54K613wZvcbaATpujUJiLQFdUlV1XRRKihqXmDFULm1kzti0AIzXOzC8979lc69IkBxC
qpTUCWCu5610lcSdZgr4atjgzAsl9lJMhvlxsKl8W960/EfPWrV9c/DsJyO3lvgIAsz+fP9nbDwl
CKq4iOFxo1PDWD0lkzfmuAsllPXTKb7MsEwPQ9+IE6Epys/e1D/QNtyT+9saVGKVgB+ALYeNcf3p
NZ2p3IxGutxxhPa6qoSPhtYWzxkqnpgnFPUXva+78/0v3XhUUI1hg3IRSFOP1RXQtHViTxPCJlGc
VF81xElPUVcDUlyM5DgpTf5hgqh+iCdeTq34HQaGxJtgikWCc1u1UdGoktpsnEuanM9FVxVHzat+
hi6VRkm6ffdRoa4BuAMcOky8m/aX0Dqt0vU2vMSLo//pGHMs6a7zztm/yUwlC0IKuEigM//Io/Tm
Wp31uqs7uhoXr2rdz83QVB97T2+PfdY7L3VuOJDwKkCJ4JfenWgwNKQSqeVIOZmY/npo7NJCgZ9D
f5mGuFf9xY7rv9pwWWbfKaxwjyJ/e1qldDjJNy0p2rW0Ja6Hi2bXXCDZ4gYzEEcjSlAqGUqcYok+
Ds5U20etohB6WIoqneEbVpnuZ/pYEFNblhA7eJaNaSdB9uhZcnqkUM/1jxGis9VIFAPfXiAtmwLc
z08Rs/FN1L373VXr3jxHreGMNJUskon7J2ljeCrK8oEhPOI1XV3D/YKa6kiH/0LYYhzKjsKS3y12
6xdpMjy1BajOKsucR73Pv71/ZIjOMrPkLb9pVng4JlFkaUYegLBBo6TKPqiFWU++mRfjg7ZE7oem
qfsj0OowuD/0ykybuB69J7CNBNy0iAhXVjsAhTI8QDxrvIjFGR7TpjPT41yE+lEf4uVh0lrlqRK9
8cOb+4GuUdKehWqEfm23i+xhNj5qePE/fVjsqf7c3KZSiIoHn3+BHLINGRG8OYSlATE6Fvpw6UfF
/or/sIcC1+I8wEFY/my82HjtzWx8vT8dN2EGxTeLYgaMcxIfHuTrQSvANZHV6v2lyipVPSFvmV1a
J04+jl6pNGfIiuaeZd3NuyzrfSYCZ3RsJJ9/vevRc9dFVA0XryDvtfRkPqmUwU/3P2xzFLBDiGHw
WNxAxbq2MYswbIdL0/TW/9D7rz5SXjB+YxRyNF4h8AKyR3I9fbWZuUWTULRoRtdCrHkqseTx9joF
W99Cw97BQBryH0n39SjtbJnVPIzDxeyU+VA1c4xzWryr8SKv2qvkhYUBliMlI+juUba+HqaqqVTY
aA1czNFxH3q9jJpjEdraJxHVVnKsAMd7PgUQ62VJyvITPp+le0T9CluFucrcvafvZmvC3gBHgoo5
AQ0dBXl9vT0PDhx+R6sXKU6Q6r5RUHVBgFwtY9/2Sl2h8T3N/75z18gxKa/hHAfN86bJ1lVlPLQA
wC4K4emn3uzal7wKx51ds/llkGVhwvCu8yBdfxkWlJaF3upCCINsb2li3yj6pP5C+1Z/0JLY26Py
39z09MM5avTVCNKImlanPJrQ4GbV58uSmeLkAWd7copG/DEZceVPWuQ86FpZX6Iuid7bQZQj00vg
f7wx1JKvP9VOaAaBAlEvilJXZzM3ks/mTC/B9pRu72KRf9fV/pVj8Z6xehIUu04OXQOuZlcpywVo
s3lqQm9+6ho7/mNszHyP7XgbSDAYqnfwjAh+iWBWt/VEhxDZOaxxxkypvxmjHn8gHnWTcz42g+cP
Jhpkftda3T9j5Jkv7uBNH4WgIrgTQ9zcDbRppNoXdwN0Llo21xPsRl01YHuyXPRaLz5B1ujOIMHQ
in7vwdCQNSLD12GtajBXrocZ8q60hMOWZYOFwo9qlC8OnhZNe7n31ve8HWj1OqSanit1ZiwXLVfM
D6IZ6lOeZu9GXTFrb0b5hTt9c7fgL0p8KOblAtm49eNiWD5Xpvgn1JfhiP78tBNp3Tztcjj8syTn
R7JK5Ue/Ga5ZkHqMkYm4oIe1nEoMU4LENKeHUSy1X0gNoDGnKPwbS/Zm0NVMFsWsWYs5LBfXmrQH
lIfyx6ge9Z39d3voNAokEg5FQZhNuLpaUqx1THvhHOBxPX+K9bk+dY7AlRmqw85Qt1uDgB2JDqiY
MopbP7aKIuKuNQfjUihpfDRjEDxm3+5R324/SI4ijzQVZzjGqxtLVizBHKLVj1N1fdDnbDyMxlT9
kfRU3++v0O07AGCFjQGDAOjoTSorTD0L00Q1LjPUad/F1fk0L6176vI8OY6gcb/dH+92G0oLTAJv
yZmA0aRfb8OO3Z1BdsenxMuGB8zE6r/KUqDdG1VRchIZNtw+UFZ1pxCzNaOyT4AiIKtHfel62BKK
sINOhHkByBkfQeoNh0yjWV4qhrqz57dmlFqMhFMwrUCwrocqyORqFZuyS52ldRB3ffoa1fbytOBe
8tObKdnu3IvyEF2/OWDNCJp4DXh5buSWLcRzkyqG/TliifY32vBO/QjZG0KCUeUlish4FFgPWZPj
zUelPyhMvfzn/qpuTK/s5xIlEU4Q6a5eolAf26xKCgS4Qtx0e8/B+DENtZPrinfrpNET4XSwaYkO
bxu78xzTpYqgxS+lET9AirOPC3Nzuv9BG4sINYZDAUCVWvoaNwoF1MoHrlGildqhNWchpVFZ/RHi
aPWArwaOpvcHXF0sdGJ52NAuIcYE+UMB5HrXOKAACjpMWUBlxX2yQuSqOzPey+82RoECzcsCggSA
8Trbz5oeC9M2y+DrpMULFpTNcSndPZLn6ozLb9GxzqOMo8PzvGnOOWadphXQz8DUit7P+lQ7IWrx
P2fQlso3Z7Rn/AgkxM4Mro7Br1EBxJDUUUOmj7uKaPuu02BZNFkwWknxJ7407eMQYtqK7rAoPb9M
a0kj7hNQ40juGJ9Sl37a7/wGWNHsTclhWEMvFcOcJx7VLEC92f1iGQRcuFw5fh2F4mAnS/OsKF7t
27PIv2dmU73e30RbE0+uQzuPZJp8U/75mze+ymj9DmVTBrSZUbicR+NH6Ni1T3zWHXRFL54hh3Hr
vXtUA0o98gH06VHhWW3dZWym1pvrMlggm32OOlV/qO2p/dqqk/ssqvRnAgbj+/0xNzYy+wuCiEOT
67Z6o5VF1i3NUAReWRsf61Kp/VhRs8v9UTa2FPADHmCdWg2I+1WdBqUmAHK1UgQo77p/ubUQ6Wms
x7S6ENmgdpXrUVHiahQJ209LD3mTqg2b5PP9XyHn7839Ljc2ODZK+0T6tLHWra2xc70eS+cykMWE
76E5/DMXs+UrSa//eX+krVn9BTokQuQiX7+SsVYtuBXmZVCHYXf2ssg6L8aUPtwfZfN7uON+PRWU
luWsv9mlcZvEjdksRdAKUk9akI1fGqFDpqK8E+70a+pw9qCkANFHumFfD9VaVikKXNACx5n0r6OR
wQjtFc7uM2LAMgLWy8EOIhGL6kgh0srffzQozVDJAFHiUK5f3UnoxICkTboqWPpUObb9MAd4Mvan
sTTzI/rdRDxTZ+zEOhurCAjJMVSq6FLHfzW/oygjvLyGMhgj1TgbYV/63jTu2TFurCKsGHogso8P
fm71aQbC/OT6YRHEWmb6aVJVD5Who0KnKMPp/oZZ89TkMjIWBRGTpFou5/Uyphm1e1XhtLd13EwP
RhPWrY8RTv4pG7GgO1cAz58iuxnm44AeTvqkw9hTTs3s1CMuvV6xJxa4NcVo82AaDz1Ov5F3nPI4
6hdt5uOHqfin1scOMjx+oTs52+YwvJ8grCi83eia9lOb1sQ7ZZDWbfM5GlMnwIBWOd6f3lVl5tfs
8teDSJR9kBuyfZ1kejN5dRFYg5cafkEx0z4aeS+0cxfF46M5xyhNi0ERD6WOBOTO6m58pGeSDlAP
h4LEhr1eXA9/t0hplyag9WH8qVjl+Kh5vb4zlVt7CP1lAnIpPkGZdDUMnYaRvCRvgkgx1VdPacKP
VaM6D0qjtYcqNZVDhXPeYRiW7ox5o3fQ06n+01LydCeF3Dg49GghTNOz1EhHVndSMvWN3sVRE4AC
KV4G2yq+USaqUVGMhp2bdmtqwZyQrYIk4B/5U97ctKJKlkkTdh309LROQwF5jj30zhasBCsRjEsd
KEgnRH6rmwC6c6iQKaeB6hSot2bsNL5m9AbOKM+neqYU336K9HB8p6/wr5GJdCQ2ARLwDVg+KwiF
RA0xkHpl9MXo4H1DT+13iNQ3s8j3AR7iAaEYS1y5WrDQa7rC1VIBh8zp/QLao1/M9d5Zv92gchi6
BbBfDRLU9QbNsyghQg2TIBpqzvicQ0LwrSb3qpchzcfwVY+7RX0cR701zoM6JIDZc6tQTnQAltT1
EeQQenD/aljLtfyaYdkWlYRcEpR1bBdWRas7cSuCopqNiXdLJXyczSinNzqx4U5qHs5B1ZSL48eu
8P4xiH5DH36YKj6EcSIbWV2a+mqDH6c/2Ub7Q5shJ50xk4v/bJsqLRBESpM9psrNIWMyUYEAgw5h
lBBjtWZmPxQxPk5pgArM9EHYRRJMZYY7ZZZ7O8/t5lAEF6CpkRC5ub8UjyZx7i1pABspvSxtrPtT
mTqXZMle76/G1kjSip7kF6DqDd82yksgbFEnOGi57XdG0wVZOBkIK2TK6f5Qa1OvXwsP3ZU0Thai
uDWvr44BxeIIA7E0INbU/y1N+mRQ1wzvVYHRNWN5nOV/1azBX0KoqXi0Yd26vhb16g9Ibk12qJve
NOhtp0r/bFWD9bnLOks5OVnilIdJd4v/qWFoav7QTsbX0sWL1dezHLTpGBnz3tdsTtyvyjzootu7
X69B8tNwF4EzYlAGhlj4tdrUh4HGyk7Et3VZkMIj1g3hm7O8ClVwuIwLcMsiMBMMgJd+Tp6AbkXn
+8uzNQpPNjg36VFGyeh6dQDkdl7mOCKwheceRYzsUZnM9vH9o3DyeZsButy6F+Bdu1DM75PAymfr
iN2ccYZ3+E47FrnTuMHBfkiwq2TtXH9LAl8lLvGyDMZUjz5NLqrclt3n77/EGYU4EkA5KP11k3lW
7LEw+ohR1Lk5wUNKz+jEGztRxsZGow9CBUyKthOxrq6dRvFKqn8pd0FRz87JidIW5cXJdQvfrjDv
2dkGN5EbUyfZJJLYSgy1ft/TPEaCsVtEADxkvvSDW0AiyWDledgEf5u0GFFwVRh/q5nYy6zkDrtK
SuXQJN7Wr2vvRi2tjR1bFlREUHqNcWyMqFZgPmmLcZnwr33W4mn8WgB1+w/1YuffWrX+vb83t8aX
ks0WiTkM7/UJsEMrLYrGS4OhyMv5TNTnNrCHs94NbC9NI8wD6+ZzC/yuP3FjYXZgLG5a7gRYcj3X
s4D4LKAFBAVvQ+cMiVAD95U0iNUhfzCmlovYBLr1pdNE8UecikR/rM12r8S8sc0MSrWkH0SS7LLV
NkMQfUT91sKWdLSM+RC6RW35CdVvsLfQGN7/wJFEctHIkhJ5+zq+MxzQGFZRBGU9qrqv4Yz9pXbr
6N/JmO29kG5jRq8G069vg9QMa8tqQjL2Ps0/KK6Ijuj0q34rXhWhfi9Dq9w5RKtSr7x/kAeg1YIS
Llfq+hD1STfWXmWmgYVi9OCnmRj/bAvUhnGgTlRXKinl0/P93bvmMP8alOa+JRv9FAfWSNeyRc5z
wOk+yN16+YzOe4T02DRf0LrDRNouxvOAbfJxEraGrWY5HMA/NCfix+Z/7Vzs0V+2Jp2HEVw6LmpA
olZ1LnZPMrW6S2BhCT5YHfrHyXOrpz6KxTEkbwIunuJyfH8SNh4xeVESVlOyReV29Yih45QWtlKm
AZ7oy+euBABWq4r7v/ujbC0vnRgohFIgxV5H70j04KjeEcgssaucC5ypzygS1H80oA++pNik7zya
W2eTM8Kx5Lxw1FfPmd0Rnreewlwa1JuHZSpPVtRjUWPne+L820MRl1MH5dFZNynUyZ4wzsjTwG50
y7fq6X+VqS2H2bP2DFY2lwraCyBBOqw3V4BoE0XJAO0HcS+KJ9VRxseQ2tpOuXXjOZOKokTRklV2
I6zsqU3bOyOJFqb2y/CxCNto8icvWepTgip/gwtzZOhHL5xq57GIy/i/+1tlre0lTyW6HdwECCIR
W62zhsVsHaddCOXTwkXMEeS4eokUtAYCZWnS8buhJU72rahLbJ1diuqjnygz6vN+5znl65wI2zyK
SjTtYbGEWZwKnDTts1d52p7v2MaC8Es9yAG8Abf8J3DGhRE3nJ22JatJsyT/QHFj5+hsDcI+pi1M
L5NhVlt5CE2qv6Crg4T2/QOJTepby1zt1EM2DqjMLdnE4Nepla4eMxSEikHKggbW2DhftHBOPrbW
lPw9V272WhOr79kFbA0otZKoF/zqWK7eMwdEoxLnQxQoZVkfuwQtzW6K5mdXWX4YNL9P93fVr9By
FSQQqdMbBekqM/xV5akKsesYyyEOurwuPxv2Eps+VL7YOtLzLv7QxnAon91QteEK0vG8jP0yUN43
x/nRnhfdOht96opjIVtufwuRGzm4ABHPR7vLB8NX5zQKD50oJvPQT7oGllgz4uhke4mRUtV2Deow
cHwUv8iFphzKJkoR0JUSPOdMzcuz5/wfZ+fWHCXy9/FXRBXnwy0wM0mMiVGjMTeUGkMD3ZwbaF79
85m9WmMeU/u/2a1at2SA5nf8HmprvBqK2JvTcZO1l6s6Gtlag7+MjqOzddV/j5EMxCkoyH/0ly+f
SOe2fgyNFQ0Z45vDGmOgBNnGy4t5Mm9c6rWXzVaVWpzP+jyg+r2ekPzRyngVfsCWmMuiddvP89zJ
R7iLdlY1lvu/nC5mmQiBoBlFYn9xnAt4Fb4qMXVdHR3lZefdlI5Pv4kT29W+W29JH772jbLwZNZP
8Dq7Uv1+f7tqbA14Bw9Z257yygvKvMec543I/EqmASeNFNV5Q/3ndtpGh7wcktC6cNzZhto1OO8m
NU4fEQRpPv39c3nthv59qfML/dfMEoIY6swxMkoTdnWZbzXqFHWIUf0PV4FpwFAAyAQiSr9fJQz3
TSxnxkwpxzFtmIuf2OK95QH6SkJjaQjoEOm3M5P5RQCVldgkPg7lZRF5GII0jnWADl4dodW6Vyoc
xamMpZ2Xkpj39/t77dgn/6DyfDgbaIP+fn/anl14R3xhejNVNvHJn7pFOmnScLvrooLs79d7pYJk
dIlZ5FlLhGL6xalPoIXRh0ZIlvnGuvMnJz42jP+OpsRhDg0VCXHWvAUIfPWiZ7MHtkL86+WMambZ
KusgFper4xaHZt2XTI8iuESSJsqXLpgvEmaqb1Str3wKyDthhokeHBzV5Hx+/3U+oykcCsua0LuJ
W+emb8KZZjfSX6wl8Y5/f6ivXgoeFehc0jyf+O+XwrAxXGJJ/m2rKj7qsJCpslR5Ew/L0/9wJXo8
IOQk4OAloaluExWoHkW2OBgGnTkVBgos2Dr1TWGL+Rb2+CVw9VxnQfChwOPbIwf/oR+wlaKfGyEu
p1nraz+2mmOE3b2XxnEZfppW1PwOgdp3lfnF5D/6nTdcD7tSb61n/58fcl5+8bGwWnxxbMt+iIZO
okZeOYOXC2doThh/6ePq9liZLolFDzgsPAqnizNUs4hKhR4Pf3/4r3yr5+hAjoI9RxPm/v6aYfW0
a7Chxz41Gim1OnpSnjsh6dQEDFbC6H84wB5LPya7APmZ7P1+Odmtvlt0Zyv583wv7zZdQU+cxY8Z
fPRbwpSvRHNOE3supsgMrF8uNbZux+Wl662LSq1rBjNvvDKNbV/+/Qm+9qGcwYtndVZwwS+ToFFD
qAMJ+Xfrq2nJA/BaF6aB1pUuc+V9+/vFXn1d9EHo75zFzl6uu8Rqh13nwjgU0LeCrJ073lzhsAWp
Oydfd/qCN97Ya1eEgoDgFoMu/w8jrd6PNnILHHaYCOjkx77SwBjqsriRVmjmPJAqst8I6K+9OAYj
rPDPoNA/IKhDb9GoSV1e1lXNZ6j8BJJA+NZVXovglGXUFUwe/pxjF3CLWO1Rio+tpQFihJgHn0YI
a0dU5ud3M1sIfMc9EZz+/g5fOTDnVTP6mjD+IDu9qAqTleGSaG2OZVA7V0J01aHx1igtgA288fKc
V95eeAYunFdRsJrD85//K2Gg+r2bpF6qy0WUyj65qpiHXLWy2DO9uqP1pViDITx6ylXVRRsG1pAV
7QQyxt0LoDF2bcef7FiwRy0br7totFrupZrq8FgHRWC/UTi89mT+/WtfRMTRMrWcJ4W2CMCR3DcL
4nXr7KZYav5Hb/tzFgBDwW4JtXbcml42fnKq2d+xo2b+sy+f7W3vsq5ldexZ03Db6d7Pp3nWb7z5
85t90YydSVJUkGCr6fZfNH9IL49DN1IzRG1S382rY9LQckSmcdLO4lBaORoY/jdej50vOlF3fz94
rx0GtsgED2aN5zT4+2FYOhHOa12Ky9BtvTYvR8niNA5m5Z7KDWOO1NiRfqsHeqUMpT0ABEWhS1fy
so9XCJIBxMRNIbHc6p2ju+kYrGuT7pZ0OESMWB0sAIEKiv9IvfnnFVOcUSWxc2FI/uJ2t7KvGxcM
5qXVF+FtF9k9Cz/hZG49Rm+82NeeLKQbNA/PYDzWIr8/2ciEYPXUeRdSF+eSfvCckwob9xT2TC5L
e9jf+FJee6pwKeiKgB9ASnlxwVqr2gMhWF+Kcim/rlPTA7ga6sMYOCa6qiaddCkhMznSvVvqjYv/
87e/OMe4lVJo0/MBdn05qgq0U7DVHniyWtQa4qjlD7mExyGuPERPxkNZdwv7zqUUuTfT8rIFEbab
jl7c3lpiWu/L0QIW25Tu1N5COR2DrC+d4iry9NzcFUU13yVjPL5Hkxc/1L6P+/04xkHXvvFFvJJo
oJtCYyJCYqP48nBuoxh8pEjF5dDX2y0mo06Zaiyojn//8F67TMLOhP6EhdEfUyZoTw0KhFJctotl
rmONqFLrR2+JgL4SPZGORTKDI4iW8st6MpyCXYdrqC77ANZL7sFAQRfb6kHI+YyFH/9+T+4rRzBG
gwuAD8tTEFQv0tiCyVPfnJclhTfF5bGY+m1JQWi5nyrlrzoLRd+WKcd0dk/GNX2dos+ZwLCeNiMf
lRvU+5H7qGRuaqOfPDTf9szf3FFeRF3EX7ApCwV6ncTFdOr2crtboWast74tyvXTHIZlk/ktfh6Z
HorSukLRdiBjLVq+80vd3sFs2oc3XuQrjxgmHyI6QO8Ysrw8LwihKB1pT1Ett2rPimFZT17pi/5S
1/zzjTLoJVX7HMHwSAX8A+MHPurLy+2ynRfc/XjE1eLEGTpX0sm0skeVtoEsdSbcWT3OmCf21zbU
cfvUl1a9pmEZMWACVzrFqbWMjmY+76HLuO6qH/K/n4PXHgmMOHD91PQIYbyIsq3tqH1bwNu3dcz7
t3t9tDYzpYGU/1Hr8p/HAWkU2Cc8MhDfLy41+50QOLrIS4RSnSNiaPPPQhVtpt29ff7vd4V6NFyP
83aV/dDvAb08b7d7JGAu7bmLj6bxwnxG5yQLm/bz36/02mdEfgIgx3gWSd0Xw5K1aHSzT0peMo15
lKqKDwnqk6mNaMqdn6xLhpVLk69OX7/RSrwSlP5x/zk7yAKCe1mMFHNQ2irgaXbd3B88Y6L3BvDX
f9/fnlVhmMog9IVqyIsoISdfttM4cTywa7vYG6s/iA2/L0s7bym7n6vDF1mJSzGPJDMBUXpZ0lWz
XSjHrrmhuBRXQq1tNoZ0ZJU2DgnIEhkU/+7+76/vleOfgIDghABH+BPvXMxnA5QF6kxlxgkw1FS8
qx0M27qoegNE8spBOfMMMVCixvhTZ2eu3GQkGjeX62Yt+2XiItd7JQimfTZ4G+yOve627WYBahp+
KsvYLd4KR69UOedtDEGZBPMn7GE2o7LLzobAY/vVz8JiZo+XtKg/O6GUQzpFofqMWBeTWqT/6vCj
ZXqINiMVb5jqwK9u3RkP79OCIsM7MF4Yy/ZrWfqpLKDXHv7+Xl45DDQ9LCbJiDCDXw6VqshfdN2w
TespyU7K3cK0s5v9ogu8PZOK+r6otuUNsverrwiQJt0k8yW2DL9HjbjvVruIluZSR9L75iSdvDdd
u9KX++JUT3NzrXi+pDc7uPz77b42TKLC4CsmHdMxv7w00yPTYgbZXLqREdh4K6jYKUyVvc4kUuxD
TqaREkGRrm+zZWkcD5u72IOivQzWx7//mNe+CSgAZ+g4xSGLyt8fw9x69M5RIFGfDIc4pb93H6rS
H87WLfa8vfGmX4ljsGQgyTCLPZc/51/zrxaXLluJricBAf2LoDlMCDGiL5f/93ui3mUacaav/aFD
VFKvMDjUXEU60R0gWi8VtmkPJXnxjRt67TOjGGWgDQ37PBL9/YZwH2wGaw5hsAVFc5qUiqrM20T0
dWtW4bEv0O39f705WLjgiMBTUcxR2fx+RUSBIe0ntbp0JeLtaezjboj0Yj8HabdjBf/3q70ylKAS
ZvvJYDkknL0kprQ+Y0CrII7ES4yquO5qtKRbFTRfMBWnk/HVFA/ZDEGwv0u6VZRpUSTAx80YWOYU
kogN8+FyKQ7tGtbiEA7+2h6G1p2LFBuKwf/PLwTFYqSZzlUH5LaX3Z07oWvSIvN5CZ18PFTJFlwh
p4Itcuw2t3My729cL+Bx/57IYAmznQSjA3XoDzMP8HQ9c5euviyQDs4oO8asjrF1aL0lunjjXZzz
78trUX0wIGUYBc3jRX5GOQy/NGeWlwQVM+VCLwiyh2dZ6hQVCftzR9v+rZDT0J32aKx0ZqBrbCkc
1bqEKz30TTrMSoTvQKVvV3IrkydATKNGCHaz4TGU61rmUF3DNV/qlWz8xu93//z9LET+0dcEJsoy
9fejG+1o4EYDAKoqcsYPBeO2H2tBXQfV093DbCwC/xeNYwILSiVEoCby60+qaZS5DluJRrKAT1O9
UfT8+QUjU8P5BhjD4O0PrXKep8Zp7pyqna7/7FRWmHprkhwWtTj3vd6+/v0hvHK58+SegEuN9afm
fGXZ6yqXSsKcox8RqJbf6HoH0JSEDHX8vX6LNfNncuXTpSoGEBC/gpWpfUK81QRgf6q5+rgKMNmb
bRvI+36MNajRF8id12/UP3/GeTDNCLJjS0TByk799zcNG6CDw9Ysl31jD4c9nuRZZzp6I5GeP7E/
jxQrU5paqhz4cy83X6GqCntpZHI5laMnjiEslvKmNVFwSBxjiVStmJtnq9iib868dtNBBNsU5cgm
LCZVsbU8YcLSumdaWvgwb0F52xdSqJtgmPBSGx21DNewSuYpW9vNdKyZR1EC6XHL6VSYArGzoZy3
5cO0tjJMqx2f8WxrCon7sLbViOJ9lHwfbWk9+EOgPiiybMkYzy0e4rIUexpKyqoc2KH1vKNsZvJ2
X7obR5Xzd2M2qa6Tfdt+Bs6y1FAjgqXNvAZeR8atCJmiuIdmIICx6cv5Exbpxlg0OA5zIEy2J5Fp
PqBUJj/brWoeotrtHpxtr8eTcOX0RcTMtQ9Ote97Ksd1xQ1IF03zC4kY0V1qZkNWGidSrGkf4On6
aS3aGQMRuJGNf1rXkNVJYmnTfy8rjxmhMUPw0bK7+Ee1JkNwqKjD15OLM1uDjEIzj9eNxar0WkGX
KnMdbLJ5p5Vl7HeAxj3vxyKTykoRV1r3n0S0BrWtQbrA1Z29LbIqMfK9ckOLjDeOvfNBtsXwSQVW
US6wRbbEftq3IWkvLHdYvfe117GbxQp4s11Cc2S1crzEUxtg6pMbCx1m4LDajXrXC57YLLThOxp4
c2rMPkyZPnvlXGxMnJYLGS/ySRSufmBhTKWigDPcaxsJ7otN8j+koCzXNq9n424pCosRxkFg7nu8
8MQ6ZACIyue47T0/g+9Y76lulXzsTLlC7lblytJiiOOPCBs7EkSYEl+HoOgHKGaj/Daj6CozN56o
yQ3JLgHjBnDvgPmIGlLQPM6eql0C1ZFjm4C5gjH/VJTIr2WOA9gDOH5pyhycWiJzxr3bl8II54Yy
Zv4GiGhuD6KfmvGwyHId0xGvO52GyP3LLE6Q+s3GYJ+e+caDfAFecWempK3SyszhtdXqGKhdxOJR
dU7jZHQiTVYXfaizJRHVnTWNyP4G6CnrFJq/ftfUseww2+zGL+XQyHd14LUnq1X9D+OFKjm5jXH6
fMI3Q2YJIsR31dyFdWq17rJlHP+mxiYRRZd03IPol7N4xcOOU95VV2/VdoBVgzdYa0tP5rNNnrkW
w+BCLml6/0owr+5Su1+nd7qqDcjdqCzunN2uHhJSqERWvSo/dU1Rf7aDYX8UVj3tWVAJx2S1W5Q/
cUISVlq5i6yyBpZlmVrYkJm8aKI2vuidefviuYP3Iemlp9OqK5svW7MH90np6zXbBxPeaAWyNBdV
vP7sfMu4qV465pdjHHcCBpf2oP5PfY2Ad6QqOxfdYnSadPti8d91cqhjPRY4TXT1LQKtpcOdVdFQ
53rqgiH3zFSZn9D2+JSnpApE3rH/kxfWPPjXipXZ7V6IJFcw1FEywXTSpMAO/T2bF+i/ecdyT6UK
7b5MyWn9aHnhOOVmXt1bv/Qk/wjaMVf9Hqts29dAZCrR7UPVjPIZ21wP2nDbO7xdU0Yzp7BtPwwG
V/ssMJX+Kko5ldmwlWpP8T/hA1nGbUYZOmiHH02A6VVaEMxUPuFQWxxnEYZfQrten6cwll+8Vjfb
YQ6XOciSKRQfgt4KyxN4cohAph10mQs5BhqIFoPAnII/cahyymJK19JyT/7UqPLodSyR0qWcxvdb
49oNkU6t94XrMvxqfermtItq72dlV6U4mBHBqGPTmJjRDtuXb97e1iKPGZVh14oI3P1kiUJnqgqD
r8z3xvlQW+XYpfAy92eLPe+ZxrbFe7o7lvmK8XY7ZklpqYvRp6nO1qFxEJtAl7XJQ85MkjpW336A
41Y/ALAAA7ZM87KlSWLPj2VZDJgntZ39Hb+I+asEa4GEweQ2jzIw4XAokfUL02Sd0X2MKq6V1VV1
5ljANgvSuqj657UCQpSPQVirw7JsUZQNsS1vXegAdw6shC2bNyFmTNeE9wUmNzNIu9Jxf1/MdjiD
SFva7/sZYMLn6FjjYS9brBPdCKdB31GzneP0No9ZHIntSw9Lh9IUy9oAt6cWi+oGbU30UHAxcNJ9
dBHOZGiLxm/Y7nt0iK01AoMTWcAXwKkiour7vbns7CIoTlPXnxl/kV/xUNyNiX8WNI1rZW3vOupQ
r5b7hfFANyD2ugLQ013nPU0qSd7DPoJuGBk4LumgOt3ibSnNnbct/XXQiClK/XIE3ESKbG6NO5p7
v2v2+04OnFWEwsLnuKCOO3Q75TSxo3GvtrpB81WOZTwc/Q3bujTp9WyAVSIHmlq18uW1Nyz+ZVVq
8b3sCAu4IwrRZKZehvvJ90RzrBdILgtj/u4KKZ59YP3jT5dbPznfMR+sscfo+Rs0au8VYV7b5aEd
o/W5X3YPSW2IPUyT1UQYtKcueQ/JoShzo010ctx2GjKvCMI2Q/Nz/hW0hQzSvbeFONZmjhRfWZk8
Q+IesZAlmljp3pEtMwUMUGDmWmEFyg5aPesqXHZqC9Exi+6kb1IHWMGcOeVYytRZ2+RWlALRFNsE
W2Yk5lap7w31wyK1+NX17rrkRaRiw1TbCu9Kz+74/gPLb9k4yYACA1VTAEok1mbgPae+bqfbPXb1
lBlK5o+FBR3uOBH7L3W4FUm+qYLiuCcTucwKjY6BU1co30LVI+uGYTF+df3O3QHhlM3n0eyJPLQd
ANgUN6n4tkdvYMmjreBMdu68TRcNbLVfXmu1HxqrxVAnUL5aszKO+yZb62TZctOcoxZbDHO3lV0V
XtRuXb1Hqgr7igm7PvAcwbh8aHCQMCfTQfI/EiXsDzGO8BtFgWMOnVZ9ckMLX99hb0HvO/pDpPI2
MEDdjHWGS5BvDBF5L2V/sCtbzmlf2qQdHNtEhCCOtKtryyr7Lp3HTvbZCtmC/LhsPZ8o0f5Xu8/1
B+TS6P4dX+AZiyvJ7l7sc7s9JY4uT1PYBgnfy7x97kLTvRPGmz/btiINIrnP/qEdpqFIO5cIm+En
odZU+TbJ32oaZFLiCNxBOK7hNxnXfGH2PnpXRa3imTtg9JkWI0E5c+Ta459niaVLS7cL39PLVVsa
IWDb537tafuwN53rZpsYiIujtwVBDkgHGJFEncHlE0niW0BAOHNEhSia1FpN0XL8hHU9IUqh0n6Y
Fv6wWpLbTrK3I89EuAoXa7Kup2VmZ8j+TFJ41bgG/OrdQFcw8yligVMqjErl5HJWCqObJ/xvtwKp
ZOF8Uqov761AJw/RZJPkS0lM1zU2T6dViGI8jrhkIk0Uus7IhLq3OlxsttDiwLcWK5Sw7R6WxF56
JneNvsD3VbQXcqu8z2rU0qP/cCov7UcXTGOiR6c92oPlA+gOwGjkbDUQP7TXtrj147OlsvDZFINF
CpC6pMOSmHUaV6xHwapmRoPMQgZ6g16mUysMmh/abffxovWF9VEpG5GiCaD6vXMGiGTBiIBaWofA
x1PQEe5Fq6yN/R0KsFiPbav+lFT9YGfNHC+Pk+2U1wIvGZM1oyeHC/pkp86gVJBJLJqdhvJQ+Tej
X7TsBmPhXK3GctaTAnY3pTJe9WdkUgJ+tR1IjL5MaD82fV1frWGxNlkbIVaazUO/fR0A7c2pcKZw
xQjY27ZM6HGZU2Rgih7H8bURB0dTiGdJS2eTc1SdNmOVNP4Ujb+gVpRUUZ2SZSz7vWMBBHlHcxDJ
1EU2jVZqcdXHoaq6KUX6x/0J7TygBElaxKqjoVeHtW45ZD5GLWuK4MfwoQTS2KUoDxQ/PO3MX/Ze
jVu+UXy0PKdzJzCqTY35YpqZwXm8NWNasLQEfTMM1aep3pNbCAvk/z0043qcKJP8tB6S8uc8eMV3
1p6OyoJ4sJcsLPyeyyIjfNOxR3oa/YAKW9jhR4Vg4Ji21tjclL3NAta0wfYdQyGU4RMHHnTmd/20
5obK64cfOOPXs8KYdVypRx6s3dHPqPapBg6pjs9BWpk5baheviu5cHvuZBamy/AAbgr2MevRtWT1
kxZte5a9FBMLAckR9VU/NnQTy7CmtfAJwsUW8IPX1UG0RdJjqIkRU+HN70E0BH7WtL38iXnU+NMv
E7KG9BF4Swcx7VU+15b/4Gt6s8zfovWBhpZARsACJxkTnq+bUvlVZpxqETllXn9+PgpJkXmX5jHY
wqFPse+htwzc3XuEKErlY1XLvOVNkMgR/tLSPVRFtT4FWgHlqBWtUwo4xbqlYg9oX/Ugi9MyKGdN
tZ43XrMMhuqA0fwEeQGc5UxW3Mw3VSFCl87RaFsZCb6+KjBDIdqMjflhrWX1rnO3qb5rHaBAnaXC
LwKieHPsV5NARuj6xHuHAHrV5/GkylNcjHOTU3f2AFgcs/QntSDPkG6j8Urq7KJrgZ24ms5Z+S6f
tdpkZhfheWCsStI4zizjL0xz4yZdzV7RAzL7k4dz0n7cLX+b0xBoUJMTo4ubbfCq5zCc/ToPJkt+
XFy7avPzoX7X4aVC4T6E9pDBK3CxdKgjBm3TDHpupXr8FJtQj9m0rpudAQmxSH9Wo5+aYoeTllh7
F6Q0udtFWyeDk1JajfdlbOIti2oUKFJrHK3vkqTxo9jC7rHxyh3VZZloYn/QBXTEIVWX429OTPjr
rSSrZT99NTIKKmx1tjE6kvfNp9ruqu/AZIY79JfU4xjuTnTaFmeYswQx+DKdQtOTMVSru0zsKiL8
K+DAqaLDoTluhP9d63G+8Squm1Y4gjxtfaMkXfe+FugI1B6phlwdZPawrR8kf/ZRVlZinULlmG+F
UsnHYpnrJC8sgFd8CcNIZvYZ4Kf/UIRSAazhcqmLXWSW1B5wsHgP3Hxd2+q+ofY9JSpOHtc99Inj
SVsHxDtk6tO+L5JfaP4MTUoxOI6HZCx8eUQXIa4zLxYEVFOs6itVo3O9op+uU78PHNzYI2eajp09
xN+3ojaP/urOV4Fz1qjDutU8Ea45K/EccMFE6ZYoCWKwTB1GAE+zCeJbHe3DniEeW/2gPkr81MRW
ewUpY46YUmgQB8wDhuJS9DtzpGmw9/VUJ2vNyN6uyR7hPkYJDa2nTjWd+XYx4jFmQYoPLOcgJjm9
B7diTFbNcdWRmAZGUK1V8vbrQY8yndxWks48s8bvrH6177UY9S2Ub4qh3VfimqKZds0IWbagJKYF
Q+rFZWBX7ZZHXQjST6aiR3//oAK3vLPxDbloXbf7uO7TZGFmge1MWjjx1uVrIaI+3eNlbRGIiOMq
E8LwdWgoFYzLFtccYl/IH/viJI+2NY81vnuJw0J22BOdLrFxy7SPGZJnWvfeZ89eusd6TjZMTsd4
XRk+T719Sd+oVyrWdawy3O1sJxMMlss0iJFdLf2efiNcBnFjW4kcMio6YR0hJrLtgAcZfKxF6LS5
dDVauh4DLpP6TojgSR1t3VMoF2z6yiXayfVJPH1p6q34uG5eUeQsGdxfE3dz0yQufMLIkfHdVs0b
v1HVZzayGz0WQLJU2tQ0ZelUMNRO/TEpv8/IOZaZ6oaeDFOKeDj0dO2/XG+NRY6MeEdamRdvT4Pe
gxbaASy+KTxFTh0Y0ExH58ywu5r3Ybm1ZK0EeMA5+dCHoyZAW/bOYCMavTm3mLa2hz3oLA4DG28n
tdXuXnW6C31+cBE+oOUCmy2Wi7qzfEe8xx5kC5nobd3XyOjJz+yw2j6vtVvyvEoTXlljZ0VXwI9j
h8WSLjdEbssovMLHfHvu0WbD9gH83HPvG8YypW8jZ62Ao1CvzFI/9cGqx9TMjXtNZWb0SZ2pfmlS
MePJtrbfbkfK2Mc2CTU6NSzj7xPs4gQN+VR36EHq+BHfOvl5wVuBVLEhkwoOMqYXa/Zu+ZAkXS3o
tDvXOfhqVyGUqsj+xELQGi/bmd46TQo3vJFB4V0hNJy4abyU+nErA/WDCs599pRhFyDwEcacrvcQ
8umLqBFUbLsznoq2st/BIe1HgNVFt+XxWvbfK0+bmBVaUk6IOCThdJj3cvyyMGtzKd7Lpj9QCzBa
jPReIRitxPAs7cGe2AEV6ucyloRPycw2zte4s/jy9k19mBpHPIPQocd2B7183p1puzW+WL9xPryP
IWYVPwRTzibdJtChSGMWw6NCL+J9WXale9qbpfxuqBjjbKwNe8AkohlL98btvpbr0n7bG8d+WFqn
/zSiFfRgqWkMTyv4wVv4+tH3qiqLHllE09T5wASuzXfL2U7g0kAVUmS6v3ZQ4N8mRIweZLupLUPq
iMaVStV9UoY5f46SVMiZ03wkOvYahPNsp/kc+gXyeY1bACrxyf92miDNnKRGyWTMAnvbtlMyMmGh
bOnmLyyu3bs6SrpPOhDdO2eoouZiVrYt8gZtED9bSSZbOgvPxgXFxScxNatffi6swZTs4dz665oI
i7C5rVg4dN0Y/GqtyDBOZeXzsFcaxU0hq95ntN3Y/YGdz3rVh+sWgXqI5i9O6YqBoFZ60alFQjpO
OZdAnrk7pAaMtq8JRIS3qugKNq+9szwDJSSq2EbgH8lyqbOOPK/zto9j/tn00Ua/MNPlXHr9tgap
6dgjpn3SbHFK6bE8DrAG2hTaS8wsrqaWTSVbgTYd+srH2GQmwqQKAHbFykRzsLzSlb8mBgzMsx0b
MOY4ee3RB1voZP6M6XpuxAgdF5oIoXGwJC3x3qOqkgYMCk3eMT0tgZJI+UE3A5bVYlVhR87tkiQr
62G8Wl3k3fiJ9VLnCgPz93JQSZhh1mR/KbYxfJ5YX3xqy4UaY244nxqk78icMOh8wtNkJfj1yfar
OyNWnm5VVN0v2lu8e4xc/I8DULK+PcY9S++v7KynX3pwLWL8FGucUU8TuS444QfQv2/cRNPPDGq8
dirwHBcI8C3qYJaueNTEjksqw00d6x4MRSbDuXvyq6JGN72Q8Yh+a8joGau7hNa5W/T9MK2CKSsx
W5yWaNbvk3mGC44L/PIshvXcsdEg3gWm6T+YyolalA5Gb6X4r9X7tXfcD82y2dVhgKBVpXE3meda
hd67TkTmc9A7zVfFKQ1QOh7WD2bzxu9dPYRfWhbtTNCqkHaz9Wp9L4Fbd9cRvjkjHZFcaSsHl+J5
UU7NSGhZAnoJAmk13PRMV0fnQnaxtzQMYQITeIz2bdPNNmimyFUhw4JxKg9sBdqIKqc2VO42wODm
IEanoOdyvOqqx/+P/9xio5Za8ebY+Uh8va+txvsQMzml3ACK82tFBOirbibrYeS3OGmLhr9hLzQ5
0BPp1p+i2fNZr9AiexmIg/pqZqbV52Lqz3NAoswNwrKyg4XlrsOhLvg5bDW28ApqROsfbQFB6Ek6
sJVTn+X3jOpcsVDJJBSUKHLR0RMcgKHNaLgVYVXcBJtvb9liVPKpXYdtuHCR6jWnRaHyeh4u2P2F
u9LEHQJX/R9HZ7Llpq6F4SdiLfpmasB29ZVKpalMWGlOgegESCDB09/Pd3JGZyWODdLef2u3sg/G
+sfooJMFvliAdKhRbOLcJfa1LZq9OfSDG9dtVdrgSLJiHONUn4SaElNIpBgpY4ke33Bs7C3E/D4j
xU4MX0SXLeYrQIRUeZv1bvqvcfsIVjBtFvderd4RnRJuzyZXU8B4ptOq73iZGNMvEEOUIaiVxWGO
p3ko5mGYd/BTrBtl4I0uC6CoXdK4sh2Bx5m6WOu90oazId3kjvvh71UK+D9Gt1THKQwGt4yH1n7f
klVnhQkSjYM5hso6hYgvjhd+vtnPdQzjVugtnR64tIef22KCa9b289+OG6y5bihzu3Nq9qE9x/Oc
vQybGrqClwUIofWTuWHNiLuslB5u0ZNYIwZEAcA+nW/Xo3dXGyGTp5ZF4W/Vh5TXzVvwIXWzy6Lt
vXE8WdJZZJ71eFVInTu8z2gMmWxOwGE6vnjJ5OvXPRLr8RPQw6qnAwg8LkPGmOZU9ab+DxdfvV88
qLvhYaDyiJVgbZLhuySD1D97M1EYBaBgON8hLW7r85YsjXwO96myp9ocyXhngNMXNtGQpnDeC4Zg
0Gix3w9BqLyfHFtsNNmEC0GchFnW+NQL7uBn6/YienUygk+Ck5PtVpeYR/t3pqoqvnPtIJcX6d8E
Yl0a7X4xuPL4JwVQ4O/1Zt68aB40zSvvQtw1wvXKgCOvLUWN3y/fNJXpnLrj4J3ntF7ZTXl+oFI9
Q4ibIDpY83/KKrwnjSrWD9lt6P5Gb0hq/7a9syreYA6fU8f6yPelhLLPZK+uHG3SbReyevsgeEqs
jcU92+7Q5dgjWoB0YxqSQytu/PivjKMpuwDlD3Xepwp+pInqbCvhJrLvzZ45aAHnw/8b7KGyb30V
q7WUpusyOpI3RlQ1w+TmgyeFfzHTPpsnAmYd7+K0AlLPoU1Fnjnn5k8bOItLL3RFbIOGCz33h2f+
TXULDtJVuzUML5n3ufGHb49AcHN3DgAx9bek4Qy67MfI8sj3471IF/dZPuFQYMIlhifIPeJF9KPv
jOK6ThsFe8T1rI8erYrLPy6W1OQwT6P36lRzGuRNOmXOa8gANxHWcKzbc1aZFIqS99988eS6mCew
6iT86REIkpTKqhCmRe6+uW/31Ogn3gFP52yZEzmdmheiCCUu+dO2qcj968FzL0UqgObvAtP30x2w
LukC6O+5RDR+BMW5xWVxXSI9NUUUC6Mu/oqc6IRzZfffe+AhdRo64wLuuEDp+bxLOz6NieIu6Nlj
VWGWEYG6JbtmOPUkQfcnhBLug+ttLaCTCJY996cw06xGBKTeZwBv/45ph2NGm650yeJaBed6rkgC
rDkvtscxm3mOoLgPW2hGH/m1vZknuKsEsTh2tatTSCqlOz7mWrVZiSYgtnkl9fbL744tzDOM0ceJ
B07H17pPWn1W3RGzRWT01Zf+uI06X0K6awtFQ+FeViTM+UWjw3n/0aWD70JWhmv8HqnJS+4zuFWW
RHIN88AZ+eA03+lvy2wrHC7UVMt8w2Rqc0W381GIftsov9W71vb+luu9F/YIRVviqvH5Z8UHfprG
WYx8zswYvfGHc0FK/nHflTbKKw69ZsRbwOv/Y5NSz4Qg1fsVkq/5EVa364hm8dR9dBvrmvOUGSaL
yDBvwtg5jHlNXA/TfVtr7sWucY64QAFywH7rJJj2HBh1Du7pMAq/hqy3qO9aTcDdCbCyG1kbqvX4
Lnd3Hk4UL6YV9MII8yuztarO7uaG0zeICMUPs7VD/QCQgQpACa3BmOG34rK3DUJEdGcKKrvuve07
MHxTnw9bkTaKUyKei4nuH3TeUart87gmzlOEvCK9A06Ip5MzucJ7iMA+vq1bFQGWNgjC4FCVwwm2
ZCPQXNiFNCQlKA/zfg+Ixlf+MIHQeUPVnHVSx8OpFWyT99MRkQlMK6D3BjLLijH0C9l6OhtBUoel
Ur+a0JNHIc0hqnyIj0lRlSdDUbQj+p2PaRiYfAPoqfaUBP3YXxcplPuSdXgoz8M2pO6TS94dJ/gG
ZACnCU/C1IM1IIhKRghCffrKxPrCw3hQw74orD1N2wPyeih/neegQn7+JbolcvzodNM0kMEbbG05
tRV7b4jyOvo6xcLdinUjYPhfq6t0hizgHO2Zz8FvAGddHvTZZQm7hAuQ5fPhe60oHISvQakjk+nr
WIdqPWfoA5uv62IXxglccePZOiSJT/22y6uhjfl9II/6YaHieil8oQ9YRXQeRdB40fiYBK2c7rjl
BpSGVgCRCK0gChcRbLTXB2L4Cd5VxbmY06qhFiZaP4dDx4KAgH4N76Z6IZRpwwryb5o89WIgv37i
bbf/x01ciACt9+AMVOz41AwBD7xT3JbuVLeFyVz4U+tUZAkxEltCkCG9UBcE53EkOvCd7Bok6wld
hP+1q7LH/cghaErHiBQVCEceOfgTtI3hdfPf0F9I6eZDB/z9n+xN315wnHZDvsBjJ4U/JvF2nkNo
emxl1llneUqOtqP+23W3bXqqiRXfiCsGonlE8yq2c9zK+Zde0EaBUa0CZDFzR+IziPasOBFr6tiV
f2DQ77dj+cE2MWwvS5Q1j7iKl/rSLPsWnCUgMSjB1sHbquzwRmQ2Y1BRYNd1NI8bnaLuiRdAQTW7
YXKKcKUNJ+sE5knA2WcXYThMck9BGebRYP2dcq2FbW51lFjPYzdPF43Yqs4DiqqaRx/SbCiqFcfw
NSUgCxXuPnZ7QdXyOuXS372j0HUk1xyOgRuba14E8Nrh6uR7lNRPlrohgtRHk4LsZV3zrJFwoiRq
1oh/mPCOMhaeDi57Ni4f7bjUzxuuZbQwgs/tEQg8nA/2qO9NM8fPO597zLMqXdm+ayF/GNv7vwlB
6N7CqJ9+1ZU3oLzYjvB4vSlv0icv2ABd0S4pQmwAvSfq/FJ5nAwJsr9EF03NKdBpr4BAHKrpahVn
x+WwzvifJ3ixz72t9HimBzGKLryMOi39Jtn6M8kRiKS03Pfp4jtxZy8xigKVK1En0RlDkKret5Vl
uVjC8HYhjNr9wR/mLY+agdX7TedsFl2kdDy/kI05mvOUxio77y1lJm9rtYlvYRvy6gq5VB9dmikQ
DBsGv6B70HG1xIZ91TuAYWlrE/1aaiwkp5kFD66YoYVXnoPpuwJza/KqWeZPQ+3vUAi4oWcQwQ5Z
TayTV6IBFsQNabS1Z9h1y5vkN5V7cgMp0BvJ1R0JC6xjkPHBHb810mbf2j2ePlENh/1TuLsC8fKA
88HfZD/kiWzA2CJXTHjaZj7ZVx3Nsrki3aLb0G4g1+9rciMtmLTXL7GZ9z8eWpyBsMmUnTV15PwP
gq4Vj5QicuFXcazCh2DXSv006CWTc0UvV3hZGs6Xe98B4r3UhwrWYlbBhmbGNwMW1IrFpgVSsner
SPRXonl5RB0nnn4NeNn+GJTXX5yMJOd8rAmZ4Y2kTfraWuICimbeaBmZjsoNb+qsgNZSNLHjpZq2
7e3Q28A+vUyEwmgY+qzw0x3uqHZ6DVzXCLoCpon1FjGH2dUVIdNqCmeb3VcsRqBlspkXckXZd5vz
wDr4n9xSCzm1J5DRS82j97cb7VKfAt8ePijmZuc7RH98CQwS00lRETKcg0Z7TRFbHX6wXyAZAETb
h++r1IYbfN24kyiihdU+4Q2R5CNPvmrKFRC2fepkK743puu7YpaZ55Zdsi7yZzJXY8yPFsCiBLTk
6qvr6dCQLDS4f3RlEO4gxo8OJFVm+6O0c5CmMItVX1EKUZmQRBFt6qmhjadI/C56cZmHzb+eHuLw
tAbQc7lxFQ7ifnQaicJricW5CVuyZTMy90jnC6bpu/FJuj4vZqFBlzOpC0r+28ObsMKN8Doez7Oa
B23wo4rjp9e01Xgh4ZfsM2R7oS4rHlRgX5T239q+dpOnOa5qtAq19urSNhoM3c2c+H531gmwqEnm
Hg5nuU2ohGJGOVVwCEZqjOeAq7VboUiCgBnvxp5KmGIb09oWaN+aBpnJBIy1TbWmPXdKQQc9mTjf
93Fgk+Lr+nCdlGLddcJGBrMP/VvYrYEmQmvpIoLghKbos+ZXLo61T5argFz/fSgBfJaAHW/McXXH
oCGa+X3bRLbd2cZ6/8WqiatyAf/+0h4KkRFXZYOzYkriGz05rCW27BhLiW3CAj4xep+R08Qllobq
P7II0ebcQnRej9gf2ktWDW5yz/G5dQXjduBzRUwzG3F0uGiI2Oebc83YmF4ifvhPl+9rZr7Vibj0
CJX732ohKf/EyAEnfRLJ6F+hBep7nPHOeoepNOtuOphjyuPBst/7QJDzm4xB00/+mALyqTb17APn
ZmvyKJvSMr15x04aRsG7RgS3DhcWowa3X901/T3K5c4iyowUxvQEpO3MEz52Tx4C04E3EJSjxLBf
3Y/Lvjw1mp//fMSr+xXybHvL0iD75Y8+rHejuB1d8GmXhwehovsplszpThpisykggrzg3GUWcgMU
vkcRZgHC11ksb4kJXVPQmmOxdK7jlJ40wjmDcFkZvwR17yD9POGjHwejFw8dnSYLdjlP1xD54Fo/
kzGQzqMIGASKbIYGzkO3I67Ob3zn+IJmA+RNz1UWF6Z3o6ceDVjztkuyjVp6rAe15qhSxFOvrTe+
BIdZIPnU3mSXwBHilqSvvDcXHybhfI7w7Zc5kzXmYXfS/1mpW/NgwYDlCyPJfss0SCvm4dGV7gXq
lXEkjPXsv4JMSV06bNITp2va/pDKdOEpqPxoeT/AfxmnuhpsmCHcOj+8eXa2x733YOcOzCXRM/BX
v51pE4jCb47sj6BA1mWBjmMRpLctxeDdQLTUFIrBVpw602qHr2nKXlsWNOBriFH3iqA5+whQf7dn
vYY8N1nWW6SMQbD/Xbds5w7sZqjnGiUND1Wl609nWrLtDek4xGsIrbq8hk26oyIFLDKvR7BuvxDU
dguSVpR7p3k74uESasRQZa0zR5HqvCuVS5tsr8fa+huDbCU/NINQjf9EOh/75DAs9pGPqykLhs28
p/hA9N8YUBgpeWg05hh5TPbrQXGI+6oBjJBM+GsYzldhNi6oGkXcFz/ZwxAcJMp+jF7v/p6zJfke
oNRfb3ve/DHUfZt99asW8bh/DG32aNyp7l/tEdwQq1Sk88VHdovGN+C2yicfsvfLIUCWHpdlnrNH
b0rgF0K9dV8jfKbxs6NXv70wAVV+6XcQKTQVZZsDzuVUC5ttXAv72EbgUaVZ4+1vxlW75aqZJo5q
Jd2RItiZVb/yPAX2T/7bS4smcTjFYlqRX4xswq87AJIsyPoaqxOTxkB363T02wlZ7EI6JpV0YPf2
lmbA3rUxtUwHvccLw9itoe6odJ4suwQKk/4a5DXfO9FV62wk00WcTrnLgXsbYfENFnKH+wbYR0N5
X/EKZvkuwDDzbh5SyfwyzWNODDKfMM0md/k8bBv4zU0fve7lkvmRn3vA4h+iM7054QEN/HJNmiR8
UovkdwwV4c1P5FogoZ4yf1LvPRjtcd7pKLk9jRmgHM6Mts+PWI39OUSqsiPFZLtpSfJAE8V9zSW4
xdFPbwJoypl0veHSOWpaHszWiXdvmQaVb6rdnWK1qHRhZAM0yyH49ctBA4dzpux8CMpxquvp3nhz
2zyE6bQxqQYbGk2+GubPUZj9eSQ0gYivuZekq9pWtiydalSM3tl+jx+k7X/ieE6uJIaub3PQIB+y
8zT9NlHSf8JFpu+00wCJr36F/J4C1CffjbqXHufzqxmlXkoLU4HCc939t55BGM4buvst3LiE4DSJ
QGI2MovOq95H/uyuajubUQXZIzCllxRr2qhfvA0zVykQANS4Z2h1kEyhH0O6bZgl9gU53F5H6Wdt
M78uW6E6myOMU9M1a+bgc3CQt5Zxj6iCRZLOPaJz53aK4aM7+2fFAvDDKu6IG6cdq3N4zJ374u2c
8zk0hr/cBWKtjkuHZP0DlRQmCH8f0neP5uPlZUKkp4GsEs+As6SVfFnTnUNapRsxdptNo9+N6Nrk
AtQBWyZrJe6DZM8wNZBg31+51DXS06R2yyRKlqFE04p4TuHBfDiYLHeUdgQM3g9e5n2RWslrNUoE
Tf5c8Y/ahakYZKQb3qfJwCkbLFJ9bIPju+ekaTnf2ds5ZPmQLEmd6OP5t8eF8s02sVryhnicoHSj
Jkivg2DAL3FDhRNTzhiRDVXVMsH3MqEsa2Mz/LV9uv7Yd2de753ENXedrrfwLdVHuocQy+L4504G
W084+lABhiyxjwV1fvRwcHAVCMzbEVfuNGfnY43Yv8BubTOcPcd6AguDWV8bxxn/kfjBPry77vJL
ir6VZ6Ra6JXbbQPal+MkI+bz0f1BdZpq3vHhmG9sKHjqbLpnxX5wb6KaCFzcNQv38M6o/oeqQ2ML
R64cZBRkI89ygxT588CK+dyiufxGqAB0Wzg3898ErZo+pV02PSSBpEU7rVbAHHV04gHog+eHxFur
8rTxo18Uh7ffd5GK5KQgTJrTsiPzwHstju0U9o1Ah3UjDx9Tumds6VWKuTLRHkpxTNdIOUzg+CAo
aif9S5Ok8R4eQw1vgU7ib7Lidr5LNnPgo3aPeDknPkLxvHJtMF8CxrTqxutnIt8gMsrZaZi+SLCX
fwUvYnOvR2xrgIm+3xeOCThgV0eGCxczI+3jMEBpoOSf0ZagKERAP/osBGWvUkeVU1bbZ5KTTPzn
4JskZ4WJ0X2YknDAJdWu/nZuRLYGZWyCvbv2iQ1nvq+IM6I/eo3jZ2usKFhryK8/WQZJRecJXAgg
/SR/kb2F6YufIhAF3OhNcDS52R93Qnl1Qjnei+fDVf1cOnGKtouJJAz5csORs3mct2o9L5hl1DV1
AN2hcg9Us4v2wJgV2ldV0CgiMxQ3OxJfwfiNca+mRqwk0dtH2tLo5y4x01OSaFUXSaPr5DEOdu9P
YMkuhlndTHgBWLL7RYnMTL87lSg/Fxsa+fubWmwqqMUAAwHiS7cidmpcXowWaXpVnmnbp2P25F+W
4/2N86wTF5w04slR8TpdjK1F9IBIPHsnnkr8HfW6E3KGyjlEFjwu1H/JUTSslER4n4Zk42pGVTUK
thJkpzlmA+xI0Lc1IJNkTTyTmEad3ywCrmaEeNFBqfamw1eMVZ44V75uH4lhPnSpGHW7Z8WGcR7X
gNytzJkXTksqED8p8Qnbe4SH288srMRzyKZhC+SI+r86dpOfU4Dt6jnNzCKvx+LqL0lvg+7DBYE4
vh31ZoZrqvda84ziIinGZN4yRoQuUXdtnXC3cPh536xH6m3ehz2nHMM+xy434EquKFuTIo3WG8OL
Y9bQKfAqjG8A2OJTOpvzd0LGx163wiYiHVyH384wMiEmHt0FVzijWJRR03eMT61tSppVb5RXGggE
SkyzjwuIwljMLjJdvO1BF5adlzgRqP2R/BltA3nnbTiFmF7m7ijsiMu07BOBnnAjhi24xg4Kkku7
Hv5HsqKoKjyE2f3FjZPqT2z4qMtarSQewce94BpBarVaZDG3NBy0PHoYd30XgX2fu3i3M4oHnqUB
Q9y4/GjazfGheW4JhEsQGXuZwT5nDoUh/Y2HOPiCvML/w6m+xTctVVefARvn5qvXuOuEtp87Wn9p
OiNhcFCZVmU72N1w/USiu3p+7TNnxzvLJTL3URYO8PhPOTfhegl2Vi04rVoOT41PiQrevkqur24T
TarY5n177LZuRG+KOJLVKYAJfMJ4IV1kseKA/B+CiWbJUIvVXh0PePsEwupd/amPXXReFncPpg3V
FgQCjQ9RO87hC50TzXKOnRsMo7ZMvPKBxl/ojPl+Tgc8GfPa7jVACjQtT1+DykJ6rMemkfkSaY8r
xshd3beJzIYyc1Godfjt0OITVp5eOOPc7eo0CFgRR2SK0xGw/B2B+s78HM1+/VQv66ifTXYcKz7I
5EC94GKHgLrQeF7UitX+AqZfJW98qBH8FutOlZvKDb5VEmI3nzzBups0TVYhxhs5jLMGyeDurtjO
N+QDj5XvRMl5xPTw0HU89F8Sl+SkK3s6An12LER08ew51c++syt46CjNZ4QQ4bhj7VrsxYHmDe6R
yzNoxmMXnJG69zxIreieVukZ1Klo5N9xT6H+4jmV/RvDZ/YXyWOHbzip1znH0uWzsRIQ2rzHc1P/
RmeU7OeJKM+ITYJuPhxbYeKf5+H/aydJeQHvHZj7X99Mizmhp22fwIgWcU/Tw7CRx9WpT+s3oNyA
Qej+Z0IDeYDmkV9bMLgfZzdap+Ne8irXRR8K8SrqocWhkfAqf+d2HvECoAyonxrU0uk9wnIRFGuH
HRWxJDRuUe16fhj6oK1yELz0x0zoVHfBO8gksw5dO90li9c1954vJO2aFENg0IFiIj2T6nOw2Qre
O1/6UE0/jOx4y3y/JdSSuDRqEKLR1boE7U77F4S6pO3HdsedsvtT/UJ1nOTW3XpbQgKEVTm0Boh7
coL0G73qEkXKvJvqiZcMicVtmfvq1qG3XvsjZXKpkpQjIo4wKsWYfdNCeYqrPwsmGT+uNsF2kAAD
cPh6JnkyXXz8FEuEXk4Bymf5EFSwblnnstP47ba/Dvw9fCs4FQQv8MQm0vnJKHIX+UBUBjRvmHII
8AWWoxeCUMgaXO+0Liit8rj2w+6CHKdLz75Ih/BiHchSMrnG5eKmAnntrPZAXMO4EuF5E01w049F
7YvWppJo3Lp4ejmGRYxfeH9lfFd5jrF3GCmAi/twfWkSnLS5nJoNwShfIrM48VW+O3nrEwlBNr3P
pmV8rncM7XfZTuoI8pfuYIcQe4r6pWo/D5yuyx30JusTkFQm3NfBidLpRMRaF/K0tUdfDLqJZLFA
o/5RA1R+mShHLvmcgCExYh31F4UvwP6edQBHJpjYurJCHBJfpg226zptS8LkSD3CZ8AViccjoZ+p
cGO/HS/bGm7mVXuyizH39fv3xJDjz18RDymGhWB5SKWt3Yur0b2e1qOGniDygYN9rPErgkPN3DxD
hxTmZLvY44NWLbwH4FyPXNl14n9Zk9RLXvu2EXm67LNXDkRa39mM4zNHbUnMaXT48cL9ZRf1TW31
EcNT0a4kGZoYrZd63b+prkq/1FA8HqMDkv7CDTWd3h7CJPTOssH2PBLfjKujj5Q5RVUy/4YKgbbP
xixghw0bpIZ8OQLMgrmwuyIm97rSD5IDqCZeQwELhqm4JD6nTs7eAvh/tyOlAbQakZ8ygnWuAgxE
XlfMiRFO3naKu60i+TG8sweC8mtkh/QfnANmLOCgti4DO9ugPOSwf+Mthk7EjLmfUm+X3iUYyaIl
UGEL32f0h/JRZmbX9/Ucbd95wW8Nfdtal0Mm5b9AB/sncl2Bg2x2djRhKcNzvKL45NJI8T9NLXi7
m0kN442pLrs4Vh1LbuuqOsolCNifeNxfJRqpT0j0rEADePMigUwvP499O1o+XMwsbFg3sJZs9fwC
STUzHlo0L3dM7iZlLl+W9CSrg1MvyIh4yLHejLKkxCNC/zJzGhW2IRb+xFC7/9iySH8NZk992CHZ
rz0xReJ+Bqd+SEhKu5lYDeabniIVdLwJ+f9gWlX7OKOB++k3SzoyWkpvQobNwc0jn8y2JNOqAtGk
biW5psZJu2IPGqxBmSF5o0kRO1wmhH5EOjhziiIhrcdXisLmD+Jumzexd86Ht44QO0PCbfJINlYf
lACVW5QjfE8fk9ZiJKFxJ0QI5VLqF3QJAomh8s31RoJC7SG6B1dHYfekQjv9cak/NuVqQ4IICFTA
M56kso4vlv6ODEQQydGb3uOMBY+758SylH1XaPEEvplqjYkZqqL3CDVzC0Xj2/dkOOYfcdhROxV4
svmtOfVs2YM//5kdFF8nRMa1vZBK7/7mkSA5lDXFZS9KjH0hYCK8JeYdUUiPyNJ1pcpWpV7peVkQ
VQeH9zeej5FtBB5uLGRCmnZRH8n0VZD+E5TztNavggipf1zmSVw4a7/7LNJegLJ27Ps/I0ydRYI+
J+w1hwlR2QUdlNaySeRER8Awf0x4VtHGpl10TXyWs7xBdw945JPBfIoX8ily32tgNEJbZ2RUCOKM
NATNeulquVVc8yb+SRO7wd8SDNFLndTsQl6bBT+3KvH9yyoT+6UVfd0/xAhXPuNkEz+VM/EuD7xb
/4dIj7Ug8W5IcqKRmu+JlO12ncWBXyOpk+zqZIFvnvGH0fO1ZXZFT+mLYL9PY1SnDI8baIjs6DA9
ddrGH7uxyATsmunq0kFLP3iY9sR5oj3FZTRSN9gYQ2R4OZxjf1xnbdY7HwteVsQdSyuOQ5MlD7Ck
auAlnPkUzioBovFpth0cKJkSReTpdnoe64qIC55e91vHaTFekGzR9eQE3a7eunhtXzu1H3893A53
1sNVeePJKaTXm5xrWuP36MCclAJYZ1Wc+Xk4MQXcjfEcukhRHDLnQtF09SUimwFSPgplXdiQ+fIC
It94v6yy5l2Gm6POmBrjp0PXw3KJiYT4ECubBfDqNLwh6BzNyUR8cTwGJBXk3JikbZgqPt5kv0b7
CSBhR727OOSw1V6MmmV1dlYetv29vtZglKXvWhj+VgxeyOCyzf+0n7IkaKQF+qRNbEO2naP6MqxD
4JwDDAR/3b4P4rvQ+MF/6zFFA9BK7L5WRzcguZfp+vNWIY1YBOM/o0I4ZtH9gdCSqndSQ15GsquQ
MkMmrff7tEXHGbP5+JoCgHNrkED622CgBzRPI/U7i4fGuVuB177O+BPaE5Zo8axREbdwQFP46gGF
85TtAVyAv0tRPeE/FPg8uyV7UV7f2wu+TEp4/Rsjg4Jm/up4GmDKHf2sKSPdz7w+zqLXl8zUti53
01Mlpkh+l1eOJyaubPAo9OVx7KkOsmnX8zwlZImIEe1IU8OOcRLpNLhMfhih3/k/QjTcnKFgG1xT
+Y6/+yGSduOJG1AxMTg1MDFkuKxIAz04qz/d0mQvLdcb6TBcJL9i7F3LvWiq2i8dm4A/AEiYoEzI
GBEF1tvkza8OD8l7MDUDdRVL8qqbmVNerQx5zjDjjiUSB90ewAWE3Ak+oQ6Ko6sm8DV/Ss4uvBQa
p7EJonyFewF/dF35xpDGIGek62F1UxxTlyMK9pfe4ww9bTs0molacRuhF/DmY4tbkDEpmlxYdMCn
raJM6SGY3F7d7CiMkn/YaZKERJDIf+F75i6JIpfGMPz0+5eQPK4flZwV4QtNgA7/EJwgZ1K79HLv
ssG81SbpsOFHk0AihKFqO8kWOfoTsANAWC1V+L1Ku+pV10f15MLUVA+hjI8kJ3PDMWWWGW84HbsX
7w9THZKfZrU7fNI+OH04zVp93xGPHncdiVyfkB+CQrMRCcQJVHEjFXxuwMa8KhseiYfm0A3CrflD
nlGTXAiVoyxx3/s9Zv0hFuHOSab5pWpmDwQ+ZvEqowWqj5+hGfExRXEVXBMHET1+/PhAzbjMCxyE
TL0iHIc57ygbjK7QYlAVqGPaqgiPJEW8htKZ7o2uX8c3PA/r696u25dgkIpjGkG7Qo3f2B9LeNtP
8I9s92QxIBtLuyExD5xxlfuVpxEjRbwH44ZkLYq8sq4ASzCCol87sZjegvddbR6q1KKVjJyItEzI
uyGP09pz61NHxdJ/Mwz7TbKG0/gEaL99rF6KApw9ZXlr9IRknzScB4lKKiqrHQqO3KYaP1oV1OJf
Pa+eLZCME/1yy8zwTweSj+ocgbtoAgOC7EdU+c13otrl184KXhwRjvp/pJ3Zjp1I1GZf6EeCAAK4
PTM5OdOZHm9Q2i4zzzNP3wu31O0k0UHuVl1USVY5DhDDjr2/vb7LKHNVpQwTGLc06PhiFzFpQP8T
70RHM9ahSoyh6pxzJ9LvqMo2GW7cpLk/ZG2CJodEtfnSOHZX74pWr1gIyH880gk+J6ZB+Fg/TF5Y
OjsfWJW5r7Vs7uL2iWuOiq9FX2UdldOppNDSPvJTh48VhxNgfqV0yKBKU2+OE+0G6Ck5uySvy6TC
mRpT/RnkE9WfJLGLn7XTWdVO86XNUZG0dG4g4kAzYlQNSkB/NkfYR7qXhudKHVD6AMXBuoNskF4/
iMkJX0j1S/OBiZjADBWy9Y5aaXKmkfyndO63qK1JWpqlf1TjHiIM/2tXHsEfwy2IrAkUHv2MQP55
t/RckT4i8QrawYoOVdc30akGaRtwwQq6ByE6dYYI2MH9NOmK/ex7xviSzouR9ETELbfIHfmiogAB
b2AW8a1f2YkOYcepv3YUPYdzSo/9Q8qBgJ1ahi2sT9kp52ho++8NaOj/ICYYd4aSGqCNLNuz976B
iPqGTjYVgnORDy50IvOmqrBc3NHYgipiIrJivnLPN79rJES/aCg0CZvQHJHQpH3TepYi0YtjV3US
0g0H8r6mycgFRNGVZ/4siHd1P9B8kwhZqAedzqL0ZBvt+D2xejLbUxc4/kFwA06/k5S1j7T4zikd
vSJu5nqn6BcEhe1Np3fkkRS7NIlLLNN5pXomEprwtWA+H6BD0y+R9PoLJDb1eahF8lNhnnyr0yG/
Dwx/nNtGPHZQ0xuznzTqq3OHska6zAFi91+QKpjZUX+Rw27k/Lp1mOnjbWKkyaMSR7G5n9AFRzvT
QmrwFTKGT7cbPsR0p4FnJm8/cVPknKHYfGiGov84RNHUfMwp19E35VTN55ScJNJQQPRfUVj09hn5
mF6iAsrYKTGFtMxdWXLxvPRqrtTfKYyr2V70YVnckdfIb3Liq+lcIYsRx0D1FVoakHAB6UmH4Ik4
RHzXfI/oM5uQjaDZbtDATWpUNuB0cH7YldSVctLKehGdp8kZ6SjLEoLnQqoOcy7IDMJkNsDhlHKF
YxfIa634gMw1fqCZporu+iIxkQKpKaKr2Ncz1MKR4R9NcskFIWQ310FLKIxPUNBoXTe10M5cVDJS
36PL8l4hcPnRY9GaVXTCCkNkx0o4PaJMW5QPGDiX5U4LVX41jTZC3Agb+TcqbTs5J1qaBDckSHPi
NuyJOlRZ9ah+bexC+cVtPOPt9rn1NMrUQHo5RpXcgY1sw+cS6ddJ94exPSZi4MY/ia5GAKt7+QlV
XfSoQToCFZXnxfQQlqWO7SytNhjAob7104f/QRkolSZselfaXXADnrOw7jsRes5ussZBO/yP8PTK
QBSbupPX4ZSlpVmRgdwxsuTYQwUeTqjQ1Zy/akKUkEfFeCmqMbOOScuJNbZ8OBon4n6D7rkCEpUE
OOA1obtyR5n//C80LsXPkUJP0boAo9W9ZuY6uhD0u4J75hYcegZtLkCiQELIsUpQlPyzAIlGMy2U
jp7WbcEkHDygR8dQCvthBA6zJ0NkfVe8ifuEQxxITRvtWU40TiNgpG/QN9dAkZaOdTxlIQtbpgUS
VGFKky5TW7e2pubUwsMEkx125+vQzRUGprSAw9lCn10d9AWOUvFJ445cQ9zWq575gP4XHYX5XFtU
XPIHXKLKhIbs64Nqq28ZAL6GnhnzoKWnSUYLZO+RdHT7rtMekTHYZ0Noyt6gIHMi6oJchL7mmNZy
OhR9XO4wN3X2RZ9vmfKuTS2wXf/nh8xM0r+mFrSlyqokL7lLU+h7yKxsWwtvaRftNixaVz8ncg0M
oWaw+zvCqxxkYhlV60rqx2fd1s0HCTZug1m9OoplWLwtXUfYtvicHfqUVkMh6grcWclOGeYl7yvz
eP37rU6av0ZZkLH1xpeosIbWLWiKdnGo8I821aEvkLiym6hCSEnM122sh5VPheWPiompplr4Ci8e
DQN5h0Sj0boWPMSjWYzNQxv3HvA22v6uP9/KW0QLiqpGIleCVr8AoLfAltCDRK2LUZ2gf7aR9gmp
JMXzfx1HMBtUHfcbDRTtcrMJMrZzRCzMvqjWH/JJIBWdBn9jTrzn6jIKYaRuWPRIviPOAmtEF24y
8zxwiyc7L8UnzxmU4WYKI+GSB/TEhjX7/P3fbqL4UWEpyd5lAZBfznWB1YkFj6h2CRHaz4HJNUOJ
kvg4ZNIHqTyz/mOZQ3/zhNgA3/4x6liMbWGa4EiY4/itWvO3/XtFU3WhESyc3KZTpObGCH1BLxmK
wwW4yETudha6Q7dqiccuVAVkyTVFM2/alu6EU6w6Jfcqj55iavRwW8zEGtM9LRGeeclop0VEkMIB
pdJqO/5NaplU4Qvk3buElvz0iB0UCtkU5glKwWQyXqxq0ouN7fP99IRyzcFgoJgx8K5ZuA9qTpKH
YShGN7Bj+QIoCh3DFKhP1yfn+/U2jzLPF3ZozJEW662KldigpjFSqgIzECh9Q3NhINy+mOrz9aFW
H8iRju0YIBTBMr39ZiqtqpPtWwyFX/YxNsjMztLBjVW99kCYXOAgp0tDkmh/OwoAKaeqHAOTQcRE
+7E2QR9MXOroWdhyG1xZAGQ2VXKr3HosqnJvh0LbnNG3aA+uzwUp3yVpDx+q7WekEQBDEdyBWQ1e
e6dFdisSZQw2Npb5718sApvhNcOiZZW6wGIDI5sapa1RDi7pEoUUYkq9Nu+R6ZFxuC1LNTpIPd8y
IV95vzYZQBOnMrYZnJvfPnThFWFkNdXoRkqIpYfsk6NVtf1RB3vz75+SoWafBAMHD4wk3w7lywiI
fMzcjIzhqyGGlu4uar1SN9KNkVbf5F8jLSZNUyogZNp0dBuC0I9ot+RD5uQjrTGic0soJ9RkbXm6
vh5WB3WoJuoY6ahEHG8fj344LtA2DR014o0frBj/Z1pwebEzod2nWiteRyqvP64Puvb5DM48g5dq
2OqSF07bmk9RJ+5dnx6XmzKlx0ox6HggRV1tvNS1oWwpDLR4jiYgEr59PtjTXFH7YnB7Ayh4b5Q0
H4Xdf+3QOxsn0cqbRDyhmpQ9OAvwoHo7UjkaedZpsnejumseoYjqpxHzkE+Udss72/ORL4bqz+sv
cnVMrILoOeMMRJn5dsxwJKOozeXRDllwStW3Tm4TEPOHcACcBCNABf8zoiY3LtcHfn/Q65rGeYAf
rSpng4+3A6OFy2K4SCWHnhnQPk2xPcED41eetvl/OpASf+M7vt+3GdBQTc5ZjD7k0jSrYuH1gahL
WPZKzZ0Rllwah/XGN1wfhZCW4Fmwdy9mi1Zn0B2HpnTTfEA+4iDbf3IiKTYe5v2k5GHworU5WsX7
z6aROjU6r6ncqodnhnqnns6SfGJ/CKAX/77+qVYGk/PpjSsXSF/TXnwqqlujVYZB4wLcUW4b7AdP
weClD6NabBkuzVP87Vmgg+AkGpLabKqwdOZyetOkoODVblHUZfMLXjO3KNGOyQOAQlTTHcXH7oYm
H+8RB6OEm67GUX/9cVc+IRAklh9nO2Zwy2sJBMjJi0mpuqYXtHdq0yJ3od/o8/VR1l4q0YrDbQ7/
IHN56tnhlGMvlbdukIrg5E3pK5276dEyUBtfH2llpc1rG7Nvi8urWD4PxYU+0AarcmU0qed2sP2I
HDYwaGrOXXsGudr8u+U0d0KMfFWuQBx9yzOhyDFT0EETuGqlDI+cBlCF5OTcChpzT9ef7k8AuZgy
HOCcOyzpWb8673B/xdB0+gXoYIAiGfR+pjezYV1FxZz2nB1dFcZNbVb5f7TG9q+YEYgj+6D6IsB8
b+xnK9+TCSMEFiQ6cdvyRELZPIhSzLoFNL0vsGspU9phrVzGFHn99Wde+aKODnCY7QxXJI7Bt49s
WWki2zBs3RB1163SF+Ynr2xTGv5qEkVgIPGIOfzrkAYCcrZOA4EKRkKLPQClTpYlYVS7WExAcjDl
kdprfVDBnu+zno7168O9X4MMhwkj5ioqZURrEclMPemuoLErN9CC1gV4kZ8VnnVjlPffjFEIe2fD
MpVc3eI9JuiKDa/3KjdsnOkB3I59TnwHcfWMern+QMuh+FKqJcnVcfJIXLMW54JSGpD7W4UCetWV
N3Wu1yhVrfzkm+G/Bix/hmKx6zbMQeedZSMFGFRkVaK6OIlkF4KWrzQO9nNXlr/x/pZfaTnSPE//
WnoaAIc4bnIMKoKiP/WtJw+GAr7j+qtbngnzKLTQqFzTNW5dy/tJF40aJ0WruRrRCMRVU37Wdcdy
idmtY9do0REqpHOPZ0p9HGAcbiy2lYfEqUtnbWvEKVzF3j5kjFUy3kUgIwWii5tMsdtLODcbXH/I
5ZLmIQmHLAQvNDraJHLejgLMSxohO4ubxSa96Sl9qCEYT3xkQlTd2MH8o7PPPN7/jlEEc5I2nLfj
tZNCNOQpqkthUO326RRHX6vKgkd3/blW5j1vjjjIRiWjvjsJOtQ+o5JJQfcKHq50TUcTjKWGRC49
NvANNoZb+VgoT3mBpMMc2sEWh4GZl+jG6T/g2mzShFRG0R0f13KvP5Q+v52/zxzeHhs91w6hWhjh
LTcO0ciIyywqPFZ87XwO8ywgwWHk9UtZKGjAbNzdQnIqfnDKjHrE/aIUguN2gpKJfrUTe8UPNYAn
dmuFJ99RqwtzW6v3le2gcC6nYMQFgW2VtnTqeU95lTXKAaCOfJzQ6pC6SRTdOMk+Dp1vgJlHaCiF
6NBf008gKIphdHIzeGrc7iHIZMEelx4V7TiKz3Hj/F37wDZObZpKzcMiYfF2Ig2+gDsDtdQNVDty
J/oNd5GS5CQTaDa7/tpX1ghpU147Vu4rqaQoAmQBT34CmxV0XywcbFza0fpDa7TFf8PYbbgtz2fM
4iPrlA50FsqcH1leGOyqb7NJZThs+uAKTX76G6NJ+5OPU8Ue+K34ANsD5+cUv5LrD/on+Hs3tMlV
hRsLadDlaZsmflSXJXIrcru+eVtkRvgVPYTzsVNsc/ZatWHaBa3/YWqV8qtI2/KErl++lF4uvvSQ
ED50pAyP13/Vypf+k/9Foc5LeZeuTwdN88PYwAaVBu2LXzX1DdyP/BMKumjjBawPRWmL6quc83pv
J5VjTKAMFMmXblSYkXmFWscMs/tcQWDy//BUc5ZekARif18czGknSnzVOS0BmdC7BCS7OSRKEHyk
47x5vD7WygTW5/uTJMVtYDS9eKxyJASJanty0QdM8Wef2O7TgJjgvk2AAv0UYlQ2Dq/VEelknDNP
Ov9ajBgoaehrcTa5Wl9Y9NiDlET1htNL65OHTfwtZ+plOoGNkXNSN6kSELW9u7/VnVJYZdyMbhz4
4jAIuh67AiUV8owUpaj/U3V0+Y+R958xmZNsxEQ8lB8XkyVAx5n6JhtwZuUfEYfQz4kE+Jz3Sfj/
OdR8/PwV8DQ59Wu/s0d3EnYUHjPMB57SGG3QTklUMW5MzdWXaWIta0kdT8NlTAAqWNoBMhDXqXvt
tgfwf26NJPk9i+cv/lQUn+HiFhtzdG3pCbq4DGrYlJWWR9ssyiv6lmylSdPRwwBg8NwUVQgOiR7u
68thbYMlbW8zmGFLa7nKo7qizztzBtr0BUUKPy8vtClqtEvGkL96oh9ssXApRYC7kaXZGnleNn9/
R+CnkTJmPCTKxH2ZWqifnBGo6JA5F2PQ2l9dUKMpqGSebQytrY0913BZbFjb2stjpTSLjgJ8zFft
qirnJG+8DkXjGHYHMMGRvcdqJBgOGdeifi+RGLsjfa0RCH7PuYGjZWs7lQaAYG9nhg/imu5o6Grj
4Nm7yixrzIom0dMX3cP9OV7/YGtzgywQwQ91CeNdJJ4GqaeN4M7cMrGTU+8o1gF0QEL0qNobc39t
4yKgUAVxHPvW8r6kdiCejX6a3K4qx5OfB/UFu5z8oPrjdBcE+Xi+/mhraw1UIGVAgnyTVO/bGYEc
WPd94K9u53iOOBmt3t6jbfH8x07Phe2m3kyV0OK6+Xh94D/1ouVZj2KE9gOOeiLlxcjS55xTAVy4
uTKIArZEaLxWDi4wbmOVdnU20EHYJ5y64vDYV3EA3aCk/QWd5WB+7cEmZB/oOokFaPmQdiYvN3r7
UIwhqHgbvEB8qun9Vi952UWfUkhoMyvHK1oaOILKv0GDP32Kyk5FozSaEgkp6jXje+PTjr2nJ6n5
OTXTBC/CRiJ0oHumfBn7yELRbJcDqvwW4t0t1Bwd36DrL2ZlBpCthRHmcJoQZS+29SHKaknP7kAo
384Ys0JLlNsoDvrvyG2j5FS3bVie/n1MzSJFRp6flP8y7irwlAi6RiEDn9NbfyiLbGTasTMcEbx6
Gs2qHUmP/5cxqUAbpqOT0l0EIJVPdnioGHM0LI+PoCFobtgbTqYyDM+d6mxMuPmMWsw3BBcclapO
+p26xtuZDqBQ7zwg9K6f4t2w8xpsbPYm4O4t4czKkjLITZtckaQkLlh8QAdCLI1n6eAa0B4CCBOq
psD2SXErhdUag/kPpukuqsfo9fobXdmmDAPEMvEz/6Io/PYJpz6qpWpS2xNgxrGHkOHoHLHs0btj
J0yxUb5cm6fMUc00NHA35OPejmakA8xaGqncspla2EYNIFAjVMRwsJoJXokEYL6xD68cIZQwTKYo
l1eSPIspY+eB3+hBOaFIgqp538Rze7AMYonkMX2VinJvZZY+7DO78TbO7Hl2LGcP5dI5/NdMPIEX
Q0NDy9Sa66nLnlJe2PyTY9og0KtsI3JxlDUuEtuqQ1ZFyrQrurLaeNtr31Y6XK4xKtDJ3S1mLyng
lOBcY1dosicbKyEXw4MfEy4s5+uTSFsbyYIhPud+HOKv+c//ihFiDapW5pd8V8Ik8SGITJKqNB4o
2QFKDxWRnTOlxb1utfQG4/mSfS/rMrsg0rI/q2mmo0Kks/EHq6CUNyG6lcYFrUwe6frvXFnOHFe4
hhiCKIr02NufiUalsZx0mFwjoHdTtA0k8Jou5I1R5sW6+O70y9BdT16RLPcyalGEhoMgWEhX49RP
zl6XtsUtsmv/psUfiEblrq90+mq06NbCiBPak59N38jj5riTDjGtLQjos7NqhYj+LRqKf9Uqym5I
ykLH5GQSVrOHKAbND14PLSZcMbH68tKRdo/IcSLrh1RqoLYgoVVxy/0wGS92XWK6LA0r7gGZphaU
4KIZ+UhhXADgb9is77pxjH4MRlA8GaHv/xaFTJuD12s+3bseBmx7zEoxqoGUX93oUOn8Q6rIMcMh
pxc3ulqn2bfrb/KdnJDriiR7r803QWqRy0tgAjAWWIJvco1uQ/GTqKDo/2uB/XyhvzqoH1WjNrjz
hp3sb8t2gBia8WGCPYm08beFSDzdOIBWJjoZfZYS+TmC0mU1wdYAXCalZrh6jup955vaJ275xiPe
g8Pz9Ydf2Su5E1LvsrmP8ujzxvbXmlKdKuvzwsRbU2FvAeXWlKB0IguPYb+hb/QjZYbg3y80pFHI
QSKjYcjlZulPoQhB/+vQIFIpL4QNTnjqBR40X0dDs7aqbfN6WywUG1WQCUBvvukvQ4igHikuTpru
pjo93DpdC+dKYgEAeT39gny7P6Vq8XT9ta6cB8wnksfSoJahLcVCXB2trskCg6q2hf4U0JHAWtxO
+8eqdIiey440lT/Ft7RA+1uC55UNCEN6xI5Id9iSncU37dOJnnv8FlGlQuim1Ql8Fkj1f9/mOMhR
BlIppZFkqZTrQ7xT4jGTbtyaPd6UFjbbgbbld7+yFOxZETRLNinhL7PiUWM6nkFA5g7g7w8OLC+s
1hrlqOdUDq9/s3d1S/YB7oAmqCrH0Xh783v9ay2gw6dzF4tmt+osustlat4ZdhMeQ8WcLtZojWSK
0+ar0Xb6IVDs6DDhe7LxVlfW46w44cuRuOWXLH6DpAcBplRkuSZtR1+SyGyAmmveKbd78ws+4f5W
YXjtqREVG3NeTyCOtedf9NdT23UiC5p95BztZhjam7TLTBktmo5ZHKgl4ds3Yo8T9wMUVj/sMWec
rI0Nb/WpbaJ8QkR+zHK5xKM6DkGiWqA5HeMU05W7xy0HXhWSgkOuW9HWlX9liTgqSWvBnj/rtxca
SBrfExl5reXS8xTZAEKcGFKtkR0aG2sTqzBm22s7/IjwAXCUrdbY2pPvH82o2nWkfA/w5+1zCIPm
8/VJuPbDyHsa+EgJKDHqInjQchD0vaqYrF3b+GgR4u7MtvM3nn9lS+RN/99RFjuECSAJM/QQu4sY
1CvH3nd86cWXoTdeOwDAN3Xf6Bth6p9Cz2Ib5qChYk1ll0YaZzGzQdMTstucskWVtsqusJS2OuXZ
UGCHgiPwrsHGhT6dBGjAhwyeBb1KBYChexHBFL6L1ab7Bqx1vOBy43XfwkQx8HsQGQCeEVIKkBCU
WiAWadf191Xfxx892eNmFItO7smPzt3ySjJ8poaj4IDo+7WJO59ZW4cQxco5iBsYbDrWv3QcgvHH
MqaKNO+AM4npfbS9AV1Srs95RR8pvn+oe9gOQHZNY6uEu7ogdVJ99KPS4KAa4u2CtIBjwZGuJamw
fHROUUTwdq5KSw0uWozn666uDEfZaWNoXTTZjgAYBOpXGrICT56vT8eV7Xcu7TAbaSFBjL1YJ07Y
arPri3QnKg3HSPrYo0UCcy8nVTf2gJUjk6HIjM9S87li+PaxYzOmzcgWnFp+GPyK6XGCW1zgT+hX
4z2Nb8OlhUNwQ0nf3Aql+ZuXM3NWNZA+Y1Og+LoYOQX9GY2TdOsJ+Ftmim5vDOFWrWztVVID5ZZI
lIXt12L+g18c49C2TLefBswSfS1lZ4v0L4BqP/37R2Nno6XBRi5FBPn2eXDLwCNGTzmZHfye4zjM
X5Hc6vdhg5zi+lBrGwm5Ygyl52CVQuDboZQMwmBRMD/SwdJvfFMpX2SairuQS/edGMCtW7LaiK3W
XqTD7Yr8DIuDLfDtmH4EdC3CjdS1dL+1jgpBWLoPza44wleJNi4H64NxL0CNTdAqFovRqJwyxb7H
dEPczNkZ8plfrkUXEE/GxgJ4PxTXVpWAkYY8wmN9MQ3HMDRjo2NTdkQy3ZbVCK7aM6fnYgq2crnz
K3o74+cbso4pBQldQo3FUPAeYjZVYbomffZ0R3PIp0APT9cnh3y/pLV5G0OjOwvP3iXvnC7wAtFG
utv7ZumcB6oW4sls8z64xfg5S7Dlc9rbeV79yrCpgF7MsQosrI5fsDBUXxwDXeG+SqMSbJUWCcrm
4NossK94qeG1UDdadYi8xv48WJLecy0Q2e+J3obnrkCff/JyaZChHDzvp0zoZdwpZuB/olMsT+9s
aGj2LmrJPe5oslC0vd158mfSxqZ+DoEE/rRMWAtQshXzP5x69Z8Vxn0f8FW1fzTQdfM9V9hupC9d
FBgfllZ9DpyitV7oNSPFFU9T2X2shyTKbmMcGp6mzOzjk9cV0y8cFKv04uXA+w9jjyQInGYpXnq6
49Eglah89yi7Mu1ETg7nFyPJen3ngwn4mcRe0B3zMWoghRAw38eFIjHRS8tGvcGHESagpqbqrrVm
nHoi9VZuHOMrl2UK7xzh1nxhJMOxWBBho6q4JsS6SxSMQyOYK8f/oZYBpyEG1Zpx3xV6j44ijjC0
DKSTwOMUVv/IkaV9mezCqTYipj8h8WIyI5zhGqkxmTVreZ3smq6HFqlSmEiDZxs3ZjAfEUAyeNZD
dW+PVnPE3xn0RUTpKlcM5xAYQQRySNepMSnAg8gqv1yf+tr8GpY/ikQ5nVncJSjALvbgKc3BSia5
cI1kbGOwIbaS3YUZPA5mm+N/sSY0LJchCyGy1IDPo33qqJNyQ29Ok9ykRTpEJyNM8ajc+GHzjrz8
YRSVCfQReZOqXPwwyl/oTMccXFWQ5x1UMq+IjsnYl8796Kjt66Q48bjr6tjO9+AcVfwAKGThtWLg
I/ZZpM2gXhRYT/pBxym3AAvRNK+U58cPRah1v67/2pV9SqDrsWdVNdHH8jZkYu6JJWqlUyxP1ecY
x9JhP+qAHDfeivP+pZCAR1mM9JfR5OIY61oasexA1V21z5xvSedj4ICI84NOqArbBruaFMRzD4Bo
qBOgRyVWCtqGMOD9Ucrpguof+AjpQ7SC/Ma/7mEKvd9ggkr2ZP7jmU9qQ4tNBbgRiPE+aNvRuSTI
IjeuAmuvmIOAqg7ieA3989thwwKKU91MJL+mTmDBm0Y3XBzExiJdOduEoSMHwGBLp469eMFeQic/
PSmGSxUAm3ioKc7P1in8JwOFdHT651nDRYNQkoQ0vWfLLYqovhsyoNhuXqSmO2II8jQ1kb+R9155
cVweLXK81F4ROyweqeztLIKgq7uElf6Np4K4oZmrfLj+LPPfsliuKDdQ6wmHVC83grefJ5say9P7
snez0POc304vZHygr8CAflmzAO8zatYbY67MRINeBhqNCQ7e18OzSQ62ldP+pZV6/b1XZ3UKuJGd
BWbnUMAOvBtznPyuP6g+P8niSTEqMEl+0H9Cwm5eo3/N/1rHtjoc9M7tYixN7lNRopUDzU/tBDlT
9cjrwckKq9FmBsj61LghfplH36yDYobE05vTFwHOIWGaRtrBh6jofxjoLv7UhxN1rlmocW8lZYZv
QRwU2kvgE/LsEOPPnssxG+6rjrlK/K3gqHpVmkDLLzEbRo2QS4TWqU9iQLEp0bX/MbG7VO6CfLs5
c+3dM6fQZZL+Ufnyb9+CFTi6ZZRN40aRPj57GLpgFAJYEDlLI04D+WusUbSy/3j97a9Ms7k0h1qf
+hx9t/P6/evlB1kJwM1Av67RRPWY+NDP4QJZe1pe7Sc2q2Zjw513leXHJkdJLZIL7twk+nY8UmAt
ATRCcmxVzac+0+qfgLuCPdQEwKNVM/1EaFPuoT9lG/NsZdlyt2QPMrk68KYX08wsRF14FTXQ1qjB
oAEZO5u+OZyvv09t5YUyAqto3h1ghi0i7HKyo74sJD1qYQuypDE9tb7ISBOuLHrpM2HzeNphVqQo
hwQM0XRr1syJ5xYT0niHo7LX/Kp8DAJObHQdcDNRCXQ/udJ/EthRGxu/d2XasVtSV5t7l943FGEv
gndxFVHEA/dAeVgWj2OSAN/vGj1ud2HlJW4+NIlzuP6e1sZli0ZPgORZiKWopIh0wDFA/l0lt4pL
0jbhk1HleAJ3sfaBY7IGyFqFn68PuvJt/uTGyfzN7ZHL+n7XDRDV5/5B3Z4KCIkq7k52Zx+HNv/s
4THlXh9uZcbh80dxlvNVpSq9WNJVFqtGh3WlW9ct6A+rc7BhMIpkS56xFppTg52jTZoMHDaKt4tq
MkvKgZhYuiZa6OnQ+3r4mpFhmtG+2YgtclAZrga/t0OqEYfPKrx1ce6M0sT4XBjj6/XnXvm2FiGN
zmcieEN8+PbnDF6mwJNVazfEYhM77yS0ngrm8blpRX4bgxkTRy0J8n9PtMyRIstCn7/tu3rPFMdq
SEmCjsIOELjn4Z6YxH596QgLjtcfcSVuBL1M/oO7LYmW5dVjdEbuqmFRu/kUaHvTl9qurFRnr0Zh
cxr0wjtrntqcQtbSKcBM7+X68CupQo1JRTWJvZQcxVLQEU1o20NRNC7ojMk7CKsFSZRhU/AYAqum
S90ChIVSidl+1MPEIMsaaf4XNYD8u7Gjr0R4FjEkESz9gqgRFvvqwC0b1COdO0PcjgeJRkfuDGVo
q0Pd5dVWjX1lCbOD08HAukKKtjwmue8i3Wpqerv6HMVeE7QXrlntzsFD5wAiP9u49q49ncUGSTKD
r02k/HYuBzizFboTNS6gZpq2y0rHS2jIRv8bnhy1+HD9u66cjhRluZ5xUDG1lqNR0C+gKFYN3WRt
s28VDSi/qeVuG2nKyRogBA+aZT6V0KA29mNT8CBvD2bSLXPYzGPONdrFZ0TeEnl5QgMRHX4xS7Uj
VMfooU2nHWkMlRIYrSMPU2L3z04UYKSYG/b4Bfi30h/Q8Hlk2W3bk0d/mmwbEnShYhllez0Avb6p
MXmYyiHcjXgoaAdoUEV1rPsEeF3tI5Y523E+zBT1CSKor3va79TBewamoz9aO8srrGetqJVkN8Ey
e/BazfwdW5oSnMyBqoGrkzN5yX0PEnBXZS1Cj7p9dnoAFCeHRg0wgI2p6Hy8EXPKzuqdDuqfjBHz
YkZ2MOlKhK4TeP3vPABw59K011h7fF/M7FDBmvT2mgxxituZKdDlvV8G0tyYZu8/PEsZLSfpMo07
2VLhIqORRj9QbC7s7MJ4nkEMzm/stdrgDB8dNUmQVvSaROy33o6QTWxJ39Z/AHERaQtVeyfxK/0A
SzdL4TyWRhN9nGq0NVCK6/LeJ5o7UzOKHhB31B9GOkq/Xp/179c08dJc8iD+YFNb1uTCmlrbFOsT
zGXOBNWCM6piJLfrgaicxp6w6Pp479c0AQdBIK+a6w60mbdrOomtoMTthz4Do86OIQTzo1mp/zVd
2++vj/T+JHw70rzo/oquByGyENcK1W0wQj82g9NiwNQBwedMPIkACyBzGMvz9UHfhx0Myiq2NeJ5
UlGLCLSJRvrRAx5PeCRR+1C3b7ohrjaCG0rE73cMoug/OWvqt+82/iwd+4b8yVw1j7L+s96Bu/3u
lHmsvxYWTRW3qhGI/ky3GWbqTVjBF/fgXIOJT2AsHo1aOKVLqBKTkkK8Fu0KOTbTATNegeVvnk7m
TteaotwlGIPNAL2iiG4jJyEp7su4aOHvoK09sNG0pVsXRtI9EltMAv6/3f0qDI/O2CAsG9jTgTcp
4P817DHLeLC6QxnU7K1arTWQvxMPj2EfN7uOLppRbx+VwCIKRdQdDC9IgpRPMoxgY/qJ3/q3Zmdj
KofJvP/bk1ZsHYwCWu2hbEMqj4YM6t3UQx7cT5hfR2fy/sUDFe0wOc7ZpQlsSyg/GNRKArAjTfYz
J0g8GaanPdmI3x8rfvyt6B2cS/3AV3GrxCSsPkwTqQh43FFU3tHQbJJ4hvn+WWs0O94HeJANPF4j
HvpGm6Kv9YQ93Y7MeEOm3SMW4HhMq+K7HbV29aNJcpKiIL+c4NaEHDg+TKoSfW7GMfAOZVn3+Qnk
qXPuRKY3PzHFCZ8Bh6bxWUro0Bcb4678Uc1ZMj8zcgIVz6sUPraMskbJ1UziGZY/LK+6b6PkWAxF
mz9GJa1pe3Uw7fBV1KRHb2q74mhReDH6XksrAdXQzDrnAvjfC10WL/SQCbsNusiLBvh8XGnjDRax
tr3PAlrwPiQNsix00RkmEjaeH943WUTypmkEPl4kx0nv66R7vypmVXekxLV4eEmmQjgHm+4X/YMX
RkZxpOshjfcW/Gb7c+8jILybSlSEnyUM7vzVj2NF2wmrai56BX+NdL9qDTsjghJ6pzSe3++GoSW6
mihZG7fVFBrRxU/zivtUjZJ8BxRY0XDCHmWI5/ZU1ieAiZx6iV1RA1AjUy++dHVo9V9qU6nFLimF
ePVLPahv8zDD+8OvA4BGA/uvehlxCx1wE5nDOafR8w+mKdkmab601BOWFCpARwmgd0gR+R74EFl1
aMjEhwBopWZEx6bCJx013pTcqDnex/upMMV3rPU8qLoY6KGWTZrxCRstvPVsH1MqB2yzzn/K4T5P
47EErZkF7T5GYPHD8ypJbihOo+I2s53hl1NbIWdUX/DZSVQNWKIHlqm4VkOrwi7BozXEZZQY55jg
CyF33CCw4+NoFsm+7uxGw1Db1n9UJjqII5UfKvz4h8JcSoOmTg++qNTwf3F2XrtxW+0aviIC7OWU
nJE0o2Jbcj8hbCVmW+zkYrn6/dAHGxGHGEJ/giBBDryGq37lLYdiVJL8Tst7LQeuFiLXn1Re+rXE
vPjexs+Nprgbik+q1dnW0U3Bqp/h9cjpXHla0t44sxOeuIOz4QOZRPKI14ha3orB7poA224OlhNP
NBfHeMqjB1XrBuNOCHV4ESgvvUJ+x1XXFAiQBrNl9/FhGGSEeU6lpKg+2k2fBWGLSOgtfgPz49S4
9T2zxqTTwaaVVdOCyv3JVQvtOKceJo+AUez+66h2jfMPdI8eC9q2x+6LdyHErLrReXsnq1hM84CE
QOPiyfqnwN1Dex11VX4dk674qAld+2JBk4luk1gkp2Fsc+0wlVibgVusm+aWP8I4SZfMyy8bi5YN
QkF7wetGP4Za5dLBXPJr76L86maVlaQicU9hl0Q10Vzs3pi5bv4yEZB7yczJ+FlZlnhsKqN5TJLI
vWkj3R58p7Hin5EsxvCIIyga9dgMaDs56UaMgWQQAgOQ/vXLVr9iJ7o79gpU9TCsA7Z9dTN63nhf
qM10r8rCev/LjwAgB4/qNxhpffk9/3n5uwhDu65iLlLywk8NPhqjzysm7kL2cuwXie19nsqw//ru
tx/8qEZCalFLvGjL4zGERG42OScPUYoDSap8COnb3Vwf5TL7ZQop3oF7p86lrVsHPeDkzgs156QI
wxM+SWGInXQ6GE8FPvNfmzou7k2rkg94Cg7PczPXr9d/wEYEh8CVTcFDhxtirEvwaPiletcwu5jH
dIfWAIdYRUBkR9yx7q4PtbVxDDCIhMZLfrsGHahQUtWx1/lWimN+iGE3KRmPAjLz3pMGBWovEbuM
qpYCvE3xEAGCi+hNT9sW2wLDOWl6/MuM7Po8C89+FuGs7nzZRpzocVRp5YJOoTq1pAT/2aK0yPWM
6wTsXRSTHIlBe7LkMD1fn7/LEBi5CPoXeHVCq0IZ5u0o4WTrtdRG92S1inqfppGCz2jsMIlddUdH
oAwGnd1zfdDL/QFdfMHIL8SIhZrxdlB7xvg8kxT0dFyTEGTE1IEGsgUoXWrH/2UoerbsEHp467OA
aUcdqkNDmWvCrR4tSMOPTWu6zdMw3jl2lwtGyQmoEj1RzvYF8BZTryQmsHNPdQzAfgGkPxL11js1
iMsNzyi0ApCnAaxHleXt3M0CcE06mM6JmzxUj4A2I+EbkeVgB6VguI6YJWrd759EDwQ+1VKq0bwi
b8dU05bTgIUbgqb6ElNxCrSAh1gJ7K4ednLty9sL2LKNvijyQMhGrluSbdvGHS461qlfLAt85GCi
+G7AoB3o6wCc+TCOhou/OJEd7rqgAA90/MZm55z/LaisCi5/ETK8l+xT2m1vvzl3nBIxL9c+DbUb
KQFWTtYTfVrLDOhNeJ8hJKR/oARauDOCHK/8hbTRBG0zFDZOH0AVfdoJTnWDBqxS3tqhHLSDrKI0
u5Fuj8kDhs6Ne4g8u2o+Dnmn9yQUU1S8RAoUjsdpnpFngV+4mG9RUcXtAFWcIQCe4J7k3Ey0gNLM
eAXM0us7t/flPqbOgdoWV44Hg2UNu6tLOU/oYDmnri7Suxg3z/tZLfqdCb5cZpRHoNdRV4G0eDG/
npfIylO4SEv0n5/7qcl+YMtZVr6hd5qBnaYTn4scTwRfb+ryFp+4+tv1Xf1XzuvtEhvgU7jM6YBT
UFhDLtQ2SZsQVb+TMTiFfgB3YhcvQ1Y1/b1bUCINgFZ7eSBIkT5L7ExbbKNU7KFh7ifdjxhN2eHQ
KVhS3UFowy9MRb+1vq/TwTGOkzJgUqThJ7lHi75cHtaExjN1yKUPvD4fYnaUik1jUrTQ5mOSajlO
YhhoXJ+cjSt62c2IPlH34tgvv+I/r8+A46fXJJ51KhbH5S6jSeBXCTt8roW+p1u0nKXVQhho9HFr
UjZeaAVvB0vxX+kiFWKEQk4c9N44fZfz4KSYrcTTR5MgtQ762FEfEqPblbXYmE+DL6Qxo1ItYUrf
Dm6oMjIyG5x97VC2iyY7C7rJ2nscNsjLYDuRTIMvi+AD6Pa3w6CJ0jpN3bsn1Gq7R/h4fN6EYfqn
VlfQpCMvmRQKa2qn12TpHArYLxlZQVYoxgDRX400zO3t+RckLoBtVF4jTkmZaqWPwEKX46MzF9iH
UNMXRzdLm3PVAe0OME1NHmt66QCRs775YUsiDrylYreXB4fXXz1CxvNeXa1DbQtvXOPJy8nySf90
pQzQ78GJ25gLlG4xjfDefdcsUvhLQRMAOiWx9S0r85D/mbont2/FEfNq484AhvP+9wvxR3ogPCxU
T/VVkFN6amhHI9lFAi8/GDsnw2mgwFepnvZer63dBKMJUTH1r77HqngpdcEriqsl8WGrHqiBW4eY
YH2nurd1Ov87yuqDKOiltWlmTJuezKB2qvwmGkP5OcVQaGeojQCRKBRZjQWGTeSxWqFwSESVRbF7
6lVtwHp5wmCSuxuXS2pDD15Nsx6qvLMTIW5EOTCYOI4LxN3V1ySmcO6wH9MoXpoxJjSWmIcbdcAr
kobCeGxwUvp4/brbWjbaOg42YuyvC1hgrjajNIfBOWXM5dOMu3YA+MzdCW225nJpwXGzErqxj9/e
AZ4AMZRIBNmoQHo/Sgy+PSw7qavgeXau2kE5YSAl93TFNzYLFDtzodoRlF48GC4lPtEQSZzEiNVH
UinRCZM3vOK82N2JtjeWjdubRhxJLvSzdTbB7Q5Or1A91Kbigpwzs/RXxVDGJ7o84hFKZb4Dztvo
tAKSQwIY3D4vB03ft1M6Yu4Q4UMYnqj+Ro/oazn/AJQ0vlGf8j6P4B8PRdZxIc6Zd8j03P5Up2U4
7kT+l7EM4B8kuVH6sAFNrN8vgtkSRbgyOpc2pXU839Phfk6nEZ0SNAq+xgRUHp5VcRYHnl5EBOla
USU7l9zG3C/qN/hIEb2hdrmaCSfOoVIDwj51mjpPvqcq+QQKVJn+FHPIlRrbcblze2+825RsdHS/
ABQg+7Xaz6aFgGg8egoeOnNyGsFvfCzxygtkMjV3SVyPfuHFsy/JKG7ffV7htS+oTOgvxsWyD1Fu
Vd5M8dJyOufjYOOj5hWe2Dmvfy+3VWCCUBuCSWSrS5S4erRTiKTR7NUKjgejquG0jiKV1HD79LMB
jIEPnFv9V1Wc7GMKLxpTK29KPqiYjf7StdmaP+dxloa+TXAYkzVZ8/hUJnmZ+0DMkZattNrWAk+R
Hc4skZJoN12nOSF+TamKf1AfeRQ6MZefjxIy60MLtxK9kl5oAwQngT9YbE8uZupTMmQPUtBn8CW4
deuuiiLtM0wGb7jTQFfT24ik8dwObfgNnZ7kuWsKoR8yrLnbI62UuLud4MF+mtG/wmBpWBzAO3J3
kOpTbWI7my0OwzIxxxc7g78fZEjwjdim99oHHCds7MqsXDzLIs7tA66pxWdJtIbDo1sRaXShgmOV
lQArDZoxb4Bj1p3THnLpVXnQYUNn+12k4TZn0R965pmRoPuRXOn9uB9rejnlWHyyyhjHJrwYMA93
CzHqH4sUySEg4waGqWnmTueCZPRPbnX6nz4C4F1NzPFxiPr8J6KUmeePlLPbQKVx/RuusfG5yZP8
Ny3N8EffRM2rK/BeOKd9On+BW4UpnsunNkhv9O4DVFqIXKmjiBvswsj5QupD2GIiKiWgtqWu+SVX
HDveeXs3bu4l+gaAReN5oYG/vdym3m0Nre8V+ObJt2nUbboDjeYeTbNIdh7AraHQkUYkgzicKGkV
UdQYHPMzCFTUohg/Ib9Sfixw2Ton+LvuPBIbb+0CadQp/kAOuHhrafClISZy7qmjY3KXYfL5NKUY
Zl2/ITauQ3dhQ1gLyo9MdjV3NsZSGNc77gnHEuU7C1jfx4mnJjBVDJeUqXRLebg+5NaHgUMB+QOq
SiV4WS1X2kYpDT4S9AnZDcWR8lHocFevj7K1UsR+zBvlwaWq9XYUNx60OgEvfhpabT5kMh8PZj+8
AifLdrbf5vdww8JZXzi5xvLs/ScHNG1F2HbM9zjYUd/hP4nBaRXu9cO3v+f/RzFX36NABC1EARCN
YqcIMtQvbmkcJUEHB/bu+tRtfRDvFWX/RewGmYO3H4S/vZth5kcdS8OlvqXc9U+rOOnvd4/C+7vY
4S3ktIv6Cf7HrlCa2DtFrcyPRl9ON1pZFu8/RXAIVR4lMHWElKtpS5F/yDG583AFSFyNDG0IvTtc
pYduZ9I21oeMiSLTIlm6yFG8nbROncM8bxt6FlXff86GFKCAbqCeRhe9jnaCmK3BTHYa+CowXRd8
BD2UlF86EhvIGOEBlj0o3FaOPq5ie55wG8GLBxQYfzRaFA6Z7tvviuyCyEWnFyMofygB/p70x8PM
TQ1/KpWqAxAg3d9FjBueRt796fom2bieUEhm6UhxCJ3Wd0VsoGCVz9TdMa/OfWVScAQd4sqEZVtN
n9E1iXaWcetzQSNCw6UlxN+rvT8Laq0p4IwTghDZK7hfDG9lG84H2n3iSRFgMGFkqE+tbNDHu/6x
W6sKTYIGKUJTVPzXY6NOlvRLdgW8dz53trQIdazGeQT+Yeo79+PGIYfeZeB1QkaAptZqsJYLJJyd
0gGVF9nHxvDyJzfXxc4ol5+EKgVdExoYS410PZ3S6DFXbNvw5AF3uAPZ0Pp9G5cfRmfX/2ODs4ai
MfpjFiwdj8L46osAmGp0qePwVNQUeg5k6VN8WMpGCWUMw/1CStEMAcax9nBou7wdgzLH9dw3K7PA
Ftc0iQ+PztjaezDbyz21/DCKxHAx4KytRUBUFIbstkiW+GSOohvqntlvBEbNGxyItQqZvbYzA32K
msQXJbaox+vbanP4BUhFZ4LLdn2GRrfEcEPVwlPS91YeYJg9SeSNQH/6StSW93JQjW/gIkVy7AaU
zd4dYZgqYR6FETS7ua5WF0jZYIqJ10aIMDisH1PxvEOhVvJYhJ7xnEfZXqtuI9flQSGvdlGPId9d
p1tNU9d0VsvwpBr4p0uzg1GK2oF9O/V4nfZapx4tLcUFpHKHj/gXYy9pDtXz9Unf2vgkXCBIKJg6
F/0nnBZk23qNcorHwQgmb4Q8K7riqBeOtXPGLk/y8oBSMuXOWKjsqwl2staOyqFUTvqIRYWZkk87
em78D7uIHjU6aTw8i1T523fAmbu+Kgp3mdV0ulE1gY1jV6THMUNKqsc65SCywTgkDiKO16dy+ZPf
Zpe837hELGKaIKbWRa64h5gXzmZ4QvfXDmrbMB+jvi4CV1WKDwodiL3XdUMt24T5vZxVxrzs9uL8
ZmL01XmnGXjIkrflmf4ThbCofrbkbOc3Rd4X35yuM760sjBF4OBo7wRF6CYl/tRl80dC3ftklC3V
neuTsXXLgYcEVL3oWoDkXk77f6JNK3NnoTYVkAxhZfmNHLLsRbVTHbFW1Pm+DZOqVTfQx4ufquJF
po80fvHJSBy9OQy9k85BrVRatrMFLys7QFAJRzh11lJnWv2oNlvUUBrHOaWJ+jz1+UOJDPlt4rXW
eYo0cSQ8+AeP7fkQiVp8vz4jl9VC5oG/yGEQjLjwA7QLPTbsnGphpNmPfZEdsrgJACKJJ1HGwN5Q
27y7PuLG2QYdhO8tz6ZLN8R4uwRRJDPFqGvv5IUxAHBPlcdYaOo/lTa9H91AZZegkucMVWNekLdD
9dUE34vO6Slxcj0wlKY/QPnqdpZv84NgmiydRnS31oFHlhgEqZRgTsD0MDMl8SPDgGr4Mg8Gycb7
Z8+C5s4fQ6eQsPztJ6FBpZvhSAod2YAKwZ4WByRxLHyew70ccNl2q5sDMDYXFu8eDcx120QtYa27
Su+dcsvqk7tOQiHzwxFrDB/TqbEMVDsBia5LN3pRsXzcO6wbNxfjE2aRE/CvNcCH2odLiMU9orrK
fHAhBhxno6sPpSNFAGltT9974yUACM4HOzRsobOs7mj4p7o2Lcl831rDI8mQiap+stfz3Poqii2Q
tAjIeeBW780kFfoAJCanaPLs5GxFWvmSJwbXsFo5YX9EbOj9WHduYZdmLpIEG8iKAUvJVo/I4pzB
+FdX2+ahyufwkUqc2KN2bp0F9GVRhKHwgqHJag4nJe+9gT16Git1QN4VveOGmmSgIm68U53dGIru
IKrdtPcXXdDVUOoMAsaYbOMUO6Doj/NA54OSmaX8qeI2y4/Xz93Wy0FpFprVcnGhrrEaLqu1eZhR
LjqB7Kz/DLmBGBi4YzXzU0GOfDvNZTk+G80wo7YfNQjESA/29CHL9IYqbAub9TiqlSp23veNXesC
jKEExV6iWrO64xBAqbM8gsIvTKX5NqvRt9EqlOfrX78xiLekdaRviFNddMrUODQ0/Jrtk1bpUaBR
KTwpE+j+66NcHo2loAUaBxw77/M69GzDWuvNBbjYu2X1SbF7b8KzK7EBv8zpr2SKzJ3L9PKGY8BF
Q5VCioX2xeosZihdOq2G3h48vvBTZ5v5zZh41UsJNMifp1h+h2tUBF5qtTtF/81PXR58anhAs9fX
eKuFnZGq0gHkPk63oMYqmkmGHegQbulEGu9XRUC93aLJybtBI/zi1sk8mw5/DSw3lONtOYbaXSMH
591PO3I/SzFKR5CYGHC1F3sdoU1qRM4J8jI8L9WIHopm/u3psnz//KFaSqFo2fV03FfPoOn0MtMH
EJmoZutPeu8Bi+5adGcbRbuZ1cTaqVJehkl0GiHSoJtHxxjF3bfPbuPINLZhXgEhQPw8tZPmOKI0
EUglHM9Kak4Bwj3vdS03wQ0trGyb14hneN3xA5jh6XNb0VNtPPuQlNiDsKGq46IA/+X60bs84KAW
gS8sHTaPPGVVhQXs0zP+GN6NdhJ/ku3QnNxKG/ZstS7v7GUYnlgU15jENSt4Mjo0LuH23ZWuqVSB
omnlAUoiHryqnu21ADYHo+4FhHY54WuNZCSSTa7GPLybVFvctn2FH5Ndh3exVu8hvf/2Pd/ESshW
0tYnJqFYbl3Q1zTMztzcbuKzMrngMmPkOZyj2mfIIDWT2b1OeTWMhxLlddtXG4EWUW91xa9i9tLi
GDlWgYL/ONbfCqvM/x0Kik43/dxPJZUGUf6OGReuWD3UYWBavSOCdK7BO4+GqzgfjIg10/0owq/W
F3NqOggdJb0IyqJEYTfXUUc7zH0WhQce0+mbUYf1v8OUpeAJAXb1KEgB6OBmn9A2XhitAXe9g11i
NrHZit7pZFANYf3BUmZKXPkcxXhVzkb+bS4GRLLmppB/5jRq7sAVWdohLjwNp/ahFxA+1Dl7HmcX
Gsw7N+wy4YuJDp1ZKo3rnAkGYl6EOCCdw7GNDrR6ilOhA3C4PsrFFgJkywnkDJJxARZdXTNqrCBR
0I3KqQUT9sVUK+MgZq1/ikPe9OtDXZzAv0P9VYtgpAu4shsjA2FZoDOcpk2Ohmz0+7nI90AEm6Pw
DlBPWsoC65h+Fn1vo+9BMW0Q3i0qksqxgL+28y0XrxtyLciXLDqfEC0uqt7V7DWpdK3wRHNRP4ZO
JwJN0ZPvodenZ7MZkz1vg411osqNbu4CfONBXz08tMJae8aj+IyxN5K1rerchmDx/DiWe1nRJaCT
j8Nqni4FXcxF+/7tU1Bqk14Dy1ROcxzWX8gsje6wFNMetC6dpU9xQ8pDInoxQHWcB45KbHdnLAOj
51RPx2e9GNWX0TK6GEe6Uen9stRT98jBLX7Tem72Wl8bS86thM7Kct+yHKu50WY7HTuobCcnL9JP
atMnPyFXqjuyQcbWEjAE3Q7aoMBzVi+kFmWKqG0PYpWrJDTh42jweJMNUoypgSt3l8nRnf02TJBo
nXC9Uu4imvZ4hGud+ytPPCP+ZBSRIlF8l9Z3nIBgTMVIRRl3WZE1k0//sXOOg8rleS9R7MkCK7aa
+JMWjpmFWExup8jI6p11qySJ0gawDrJfxWjKKWilBV4RZcyCGw6FQeNoOX1d38SGFZaUulWwFuCM
5j9UgWu4b2Go7zlEb60CoabOP+RFKE2/3TWKlWoW7gXUcVMz5rKtp7MR1hBKr98iW6uwwKpRD0Ls
/OIWka0+WEVfhKfaVIrX3jLix0oTo+nbCNi/G/PFSQBgtjytaHF665RIk4h8UJ4PTyKVGbTDWfct
XeQPIOnk8fp3XUTqy1BQYahUUTO86HojpN6HRkh3YkpGMxhsdB/yTLjHSZ3lQ0th61YpsNKpR9v+
9/rIF8U5Rl4E6LhcKOBe1IdljFil4g7eqfaAKPrVlFl3SU5ZAO3GOlBcJBl1WwCvy635CAq/3Ik8
tzYOaAkSd0ShuHJWG2fQZpXntPVOVhHG5yG25wA1gPzm+lduzS8IBpWiLdIDMOTebk/0MmdphYp3
Mp0GiTv8aOStsGLxY+Hy3SnK8KsZnDYAlPfuigHzS8dpeY7ochAbvh1ZKQFv4bQdnqxhNm6rxlBv
R1BOoIur4r0VA+J3zjIng14atZdlqv9T/G1NicLfsl9Dt8keCl0t7ou6d26aSu5llhurxlYFEbKI
GV+W6aalRIfmSnRGUbz9WhvRwvjM5Y5838aqQata8hLay+QKq7mzS9gco4kAnSHd7E+ky+G2kDBs
j1UzeD9nLTe416wivs2zKtzZMVtfuBB1/sJ1l07R28l0MsV1O7pg56rsrVv498ZwUE0YV4frO3P5
hreRNUBnagEk6PSkqFW/Hcfr5qygbRCdZ9h9R3Dmd3Muj17SjXd4muz5am/M6EJVgyZKqYPdvJrR
yZgSU4+j5BwbVX0UwvFuqn6yMdWx0y9Grdcn3c2b7x0coZ3NeZFhLjwkGCocP645mn5vv3PMSg8R
yiY5CxuM36hJ67YTIvsMY9a4F3PzB358uFNw+XtDryYXMCcCXJhU0Jha3+BTbgMzdIQ4Q02owiO1
ZQUJIbeMWt8Z3H48dm2ZpzddkpbGXThqrTznINqArck4+ibw8x39CZW4V5j8uuVLMymqI2V/nEN0
r7d80ZZt5xuSbeq3phLdaspoG37jNZbLNWapH8bY0MS5kXZXndu4CTu/dDpM0xPUL/9x8wkugeIl
J1n1je5XpZc8ga2Nvtv47n4PI3X4k0QqNl1RDdbLjztPfwVvIX4UmBVERxsxoPjJsvDj7TLLfKZB
Oz85bFjI+rNqTwFay/Xn6/t1cx059+S3IFYv6ru1V2j9INAsoEZO3yuftU7zc90bLL/No8q+HSbM
24IRTrCxcyQ3niqSagbGN5UaxV92yH/uN/RaEqTM8/icOr3oboXMInCMbWRaz2XWNo9s+OG3Al76
A2Fxrz+g7Upf6/rnX9ZJ2cd/99QSj3M5rd6rRDNEPxhJcp7SrMs+CYtnGzwjHXuIJFxLfo+i6hwo
uCf/hqE+fhzxK1IPcHzbONBqR77M0kiVnYzksq3Nz0LdENw90n9QZFbXlT0OYdR2XJVl0bbyyEBt
Fci6gtky0oTUfC/XEutW02TVBe1UW8K3WtssfFeY2k5WubVOQIoRlDLo5FwgVcwewATlgOisw8I7
LG3OY1pN4ZMQYKzC3MafVSmKQzJCOMxoGr9eX6LlU9eHHsAifT/0Hi8TmHCS5dB4eXQuzKb2XWWy
HkKC6p1zsBGJIjCOkQkoNTbluq8+uWSAEK0YJSLTBPaEJgqj3Az1vHd1bg+1NE9p7YLWXgUvpKGt
E3oZT0Sme8euH81PRqoNBzQs6p04dHsoiu18Fhzcdf5cRT1RTBpF5zQfOpytVPOQF/Ps97Lf6wpv
blnSWRy3sMBcwEZvX4RmEHFRYn94EkVm36M7UxyV0LA+G0rRPo1JiUKYWohARSH0phs1mF5GKL5e
3yubxxnE/0KhXBiB62y3xlksiTUCmV6bnB+0ORNi4LqpPrSqSFEywTI2vx0zMwbTnXG9PeKnUc6H
MjKGH6WpKZ6v24WxZ0i9dcmygxdjCpyWLuCpapbPDrdIdOZtk7+RYh+BsotI/eKEXXuPpCaMWn3A
CO76bPytT66ODqJRZCLE43iRm8bbJcFzUtJBVJIzXRc06GuMU36X4NJ/leOk/ij0vn6WkyOKZz2V
JcoltdqrPmy/FH0d0ZCUel3nPKOAk36ZkdEVfu7Myi+8AWURFHOvfTYqb4r9pKhr6avGoJgBKjZa
f3DteKKqoFTNjSxNHc63x8NaD1ULG69PnRc8EYR1NuD+YTUVN/jWxnPc/qR9UYj7HNPDf7D8lWT+
wqmOOML9haojcxOgABQDW59E+pxOdf2PkiblEJTwAADIo3eCNlIep8YxK8qw5Wacyl+tq5Waj4B9
jS5bauQfSQ2V8nvrWuU9ANHWeInmMTvmZju393U7pq91LKx/kyge/tlZkMur7M16rI5IFU3ulBns
zsHKfukycY5T49RBYWbz3btHgnQPZB0WJw3O9R3TTyROA3HQeTIBvVkS365ikM6hSEbr4/Whlh+9
2mRLX2PxyqQ95KzTlKKtEWBWuuQsS6+872aUEeyyKQ/XR9m4yVD/JBei74WA9fpBdADBYjkwpmdK
4v03M8ySp8ILk5sC95ydMPNSmxSgJEEmyBbABPzX6oKmOouerxWl50Hx6l/toM4/J5iFX1W0X176
qhs+DE2V/9JqmVR3iRoP+CwNRl8dB9MNf17/7o2rg3eXmSWtR1pj3TmKLRDGsiY+AfvWPLndjAYR
1iw3dHydo1Wm+nfPEvbOkm4kMa5LOYZbA4TqhaBH4wmlqEstPtdobR0hI0DuQAD5KeqbLsDDJPry
P3zk0oijTLnBFUOYq58jvvKcJgk1pkWt/CXSCof/FEn4g+7/OPsmVShj54bc2rsu8pX0QACNXCBu
uAuRdqJne45JdxPfKNwZO+rYfb7+fZcYM3YU+cqCS7cwn1m/wxO+5J2jT/G5iUMoygAE5WfVFIh2
d6GJ7FkViY8KHMzXugjHUysrgdRaizvrcciHOug6NdVu6lnWOwu9daoWbiJEBjb7RZ8w0qFKNH1M
9K9r2dOgOMPtELreQzZne720jaleBPdIFolDlurU27dIxNIuyqqOz3os1Z9Ooxs33QwL8vpMbxwX
D4FZeAxcFniGrY4uJta1N3tmdK51HpzRmA9JHwaTmk5BmEG56lGweP/NBJyDZ5aSHyX29VU7jAWq
mx1WpoUlxMG0I/XW1mjI2wi57NzqG+cSbC3C83guMOK6uICYWKqoYkjO1dQq9zJ1+6c5SZUpEET9
3U2hlHq/c0I2KgwkhYtA8YL+oan8dtkqEL1apHFCVEM0jzWR90vruNM9sqLqOU7i/t6yW1ehw5cq
/fH6Ym7szuXQ0M9ajs5Ff17qs+3kqk0ZsTLyW9NJfshaKT/qdf3v9YG29iauEnBTQK8DBVjtzSkD
ZSSX41miNfwBuNAvFbjBThq1NQhBP2hlxD2oIq5mMsQV0ZgpRJy1Fp+dEQXR+BgbZrNHA906AjwG
CwAGFNrFJlEsrUjijo/pO/lSU4a+pXft3JidSBqIjGoVJA3c6p19srVW5Kogxeg7XuKw7QIlFpz6
uEkUM/zYVEMeuBq+MHY57Zk4/70tVxHHwn+nlAcNi4t1lbPD2DDayK7EGRLvGN7ofVunH5DJ7/80
poXyI/QRFNrGLjIPBvVGx6eH0X2sUJsAPDvHP9JUoibpJGH1qwUq9KpGUf9SiA7NxbywqtofvMrZ
C8Yvl9+iL7NEE8gVA8vQ3x4kjpDZTvkkzpXhYkXUh9oRreFqp3CwNcrSN1OXCtll38b1eoJdJ6JC
NhTJIUUX5TjVWfXug8k2NqjasNQQuS8uhT4e466rkWScbXHDhhe3TaNVp6yBbfHeo0mzBjrJ0gSm
aXOR0DVuqrfDkJ4dBSx9Jdrq2JT5noDU5ZmBO0UFiOOiUWxfdwPzqevzqEvTs9qh/+rrXT13AfoY
zoewozPr69WoNUcJ5GQPivE3B3u7melIERYsfSJIkutesE0yhbJkkp/BBxlLINLqbiD1vhkPFbYg
sZ9qs+kNJFlR2d5Sj7VtX1FH9Vcl9P5LgTyoPAxpD6WS19Sm2STb/LXOOw0TqTpC0zAGExA9eGUS
A34FJv4vZcjxg4V+qh1AijA/mF6cPNeajV5KrXsNSIoyN8bD3GkC27+uc+0jWqUGkPI40qdb1quY
gkTMKLdboXQFDObWbGBoa3kXuM0izSLa3EyCslLNr7NRQpeWnsWVk5YTCaApGhcxIYv/fX2vXN5B
TKVF3E7tDCXDdX8BWDx4SkPneSy69FZg833UyyoLSifzdi7zrQ2zcO3h/4LVuRDIqcIpHhRjTM4j
Aqc+iFX7t5k14Hwd2bzAScGhbWzfjcXlEaQfyx1LFQ4l6NUVIvtOM+qMMBnkiHbXThBe1NLDEm7U
lQNwznrn7F0W/oCrkNDZJHdgmi8qOm3ToXRUpGfNLS1xSLLYfE0bO9QWMmCGUiwv0I0zecVwBPHi
vOpRjUz59TW9jD8Wsw3CHQzTtoS30jhT2lASf1RpEQYynKLP1KLFfTsN+YPdqfXJ1JseWRl+/87Y
W/uJdJM2B9N+iShvAGJN+sDYhRBesOAfFw1lE1VcsVfw3bq3F6czmzyESvx6qjOlJsXJ2U8hIsLH
0S2qu9LLu517+zJ+RF6bYArVEypCKDu9fYPEZMycWzs760oelCLPb0Pq775aI+0C7GInFtc25g/P
oSVp5ZMupTCiVGSKVYKhifReRxlgiuy7FPTbZzcu2vC43AbjwYpaeMeupJrjN3WmPMgcVFGTJCIo
FKwL7+wB2bAghKh+n6rRnljKX1jd6v6lsrx0sICA8nCu5mSMuPHQNeMti3AGuJ2Bv4CEoSOALVOH
PPiDhrqgeqz7qv8QhaPZBeC8ZHlM+kp8VrFg/IMVcD7f22pSnixd7RZZ68bEpDhJnaMNxS49qDJx
ISAKtSpPgvqXcsYnR8jAdRc/qBAhlvGYh3abgc1MZbuzjTf2FkAjFEGcJfVEn/LtqttUMpKpZxk0
1EA+m7np+QY60jsajM6i4rSeSNqrmHXCdAAxuZrI2Ugq3nGARp7bjNM5QS9e80ub/hjQPKVo7gF0
orndJ7WlfbKq0lQCI6N94bfWQmXTgeXlqHlNQxikjlq8hNFsIuoBI330x17tKOm2Zo+woXRLX8f2
IL/xesCJQRoVogmicXIfyUeAME52pc5Br2bJa9aZPa3I2f6d97PxbJXTYPgaELnEV9s4SY+ZPrr2
IeoVqz20AkrXUetrWz8MkvYuVRZn/Fo2Rm4Gcpiiu7K0hs7PE039WVdJ+G9ehfaTZk+4ODiAYj8n
gzB+Q6FHIrErvMq7DwvEm/2Kwmd4M2Wz/NHMca74XOIoLYhISYdj3kOofXAiqoN+OQxKc/CwUv5C
hKVkNzNGY6cpE+o/blg4g6+YTfc7r+XE+QW7GaGFgiq6T2Uj0R5Tsx6/ag3O6zcuBHiLuGAy9tLd
jeoYWQwQLb6CIvvFKzvZMU5EaIGfmnZEmpla6SE1myiI1Hz8sNQJn7w2LemYdcVjrnT9oaOHEjhO
r/8fZ+e1I7exte0rIsAcTkl2GE5QtiWfEJbkzZwzr/57Sv/Br2ETTYwOjG1sCa4mWbVqhTccRLNf
lfV2x4F2EgUVOK5bAH6kakU2LfYDoiWafnKiMa79Ju2a9mV15oaTpcZJ9Jg5zpReip7sAIV7KUuu
XTq3htv3zuRcgGmFy1nTJjToCwtplQwdZMM1aM3bT4xNluE/WWmT3kMoibZ3wXb5Ig9Gl+MAu8ZI
xkct/J5ZGuXqYz3YY32u+mz6XuQW9gDonivVs22vzrO5Lqbut7HZvk8NKf1q1xi8QsbQs4K/Nnf8
8r5YFk/qrCl1JdQEviXVKmfnwpJ74OJLQmGyxnoxfYRUzoFZEEYvg3EZqmDqkgFbYQLM7OfOoryT
tRW7OMthnx0Ek53Eh+JCQHs45iQG4or5bWg7NojnrHPlPKgyLrmNWjSO21Nj+ZPCHpCyrvFjMt2D
Vfc2HcsiUAG3nAHTdjwXVgKw20r2Q4w8gZuaoDemrKj8pB6YZg1V7tlFF3p9Rzoqq/X0iOpWe9G6
5Qhiu5OPcD1TjvBbYPre4EjQWE8ZffBDoJb5U5OtL5I69ydmUcZLP8gzqvaFdTaMo0bwzmWqCm0L
xCBloUK6ieIWuAFHq8Vml53yHHap7KWNo5+FVOPlfs61067komJmSCeET33TqphLRq06PgAPdjb3
HxDWwfY3tcFgu522MgM2i2z9kCYjkvtWIzPJhBA2JJ+HSVr/0VTEExrEGWE7uVESyuWbEWbg/sli
BEOSSvqmWTNjuTIJKRFbavNTlhRroM1TcbDK3j4XkzPiGySRG5wXf1AUCyR7vA1TieEWwNnPS+a0
4vYYnGAeMgtHZiNOjjJBZSfrFswGZu0G6NcbBB3I/Mnqm1h6iMK8m09aGwnRxMIxwK7wRzoI/b5G
F9oYl++zkcz/EYv6j+wbhqtltiiY9sZa75xMJTSaK9lmpvqhVY9/LwDNGOZZqXS255b5fUpN+vFg
6+z+elHNkm4Dqd7OaWgnT4oawU+vVyIVOFJm2kaad4AElEJ/WjRsLCB/Rue6UuTHOYzU1qUuNjz4
YPrLhFeK10mj9M7RZum82oP8KVq66QoWRfqq6d18iXPpSNNnJy1GMI8bjdoZGOq2+h+c1eqcGMgx
cSR/SNcivky1XvyXznP2OSkk5eAl7RxlCDJCiYnuyW27Mc4aOCU960Gfyn/kMEwarxqH9n3EpX/E
PNhdjIa4hQ82igzb9nSPeD/Gdab0sMxD6tOCwqUFneYrUmzG+f7H30k04aoTGgVC61bKsUL/DZEY
notB8uwpK/rN1WJoB1Xp3tcSGGd2NI/Dd3t9A/GEpFNxSY2QAz2pmzU/6bSILhGJkB9X6hHGbu8F
ctvRBYeSttNPhYrSYg8SPsyFOfgGmdVJwkfdRU3j7U1UIrsQAWMao2DFvWls6mFozXkkHi1Z+ieY
qTLSyzamX/mYHMS33acCqEv7TvDEbqAB/cSYdcikB70ek+dBcuYHupbdP4USW+79bXG01OaDYTaj
xHOUcrwQZTlbsk1rDS7xlyhM3qxsT2eda8HkH6alYBte7w0LDOAEzTd8SLHkid1h0VoPs5fpOlsE
kfuPtXND0BZBCUEU1MzPRCT8LROS2l5NwZTAN8+G6NTpa/oSF2PqW8b6TzPE/+mdMh1czDtv8vcl
7U0OMJWrkc3G6jwoZgI9DHe7+VOFdupIctodQQj2no92AZiVX2jnbcrVCIiNjN/HQ22b5YuEQ81j
1nT6Y2l2qM9O0cQluFoHfbW9JxT2GKLrQl9tC2jl/1z7bghtPFblLDDjgd5rtarnyJiqg225E0fw
whTCWgy30LndbMsF/1al60kpq1Hq/RVZRn/Seozz9CTxKNXN0/39sreeEGUVGDaMA7YzYNjB4TCW
qDtkw5iek35af06d8U3vezVIzNE5qMd33iTVGZ0exqCkq1u+eaIkpZS3AmsSx2gSG7hWFBjvXJCW
PPIb2V2Kb/Xr/rzl0c5VAm8RtkFA8J2etNJYXuj6mO8HG67R/Ze4A/Ay0EFDsAslDkbq23mAYea4
npmhUB91lPO8FJJXz6Xuz+AyLpJiLRQiK8RaCGovrVb3fxVTVnqqUkuPUUTH+/7P2Xtyxr4muAX2
0s0kSmtYv3JUyFWonp4WCHBXcjrpFNGpPUCl7BxH9GfYOeLa4/pTX4ebsR3DyRrh9uGFtjzVXRVd
lUSSz+0a5ae2M97PUpUegE/EEdgU2KACuIcY19M//dXy+S3EyV2RI2y/SA9pV0YnZymzD8wi2gO9
4t2X+Nsqmyer5aIy8X+QHkYzTajHsbV0U6dJXHShAS/d/2J7lST4fLivfC3h5r25IoYwX/Ue+7cH
aB7Wv5iiGw8TUhT+GMIQIBV1tPcNjm2PfTg7fylNpltesmpAyZrwzSx3qgsIF2JaQZlxU0trLcV7
qpGa1YucB71p5YETOUemEruvF4k7IV8DdX9bsUpyakVpUUdBpxlzYOeAaGwj7l8cp/iDYR3vFEoA
aZLgS2/e7QSiMG0aQLT2HAPBVJ3ymo/Fp/tfcPcgCNU32g805rdXBEIETmuHQKNDXDjcxVpwAzEz
nAZTZHDHPOm8IYsPrLj23uGvwA18h+tpqxMCOEmZLQRyA32JOnqDaoU5LG8zCyEN33+83aWEqATx
jf/ZFiMV4TNHvwz9aBh43rJkmG10cvEQIt92kK+Lz7E93oA6EOmGQHIL7GaC1lZyQ62GQGt+GQZb
RnJlyM6IqKZ+MUzpNwow40sfzX/QkgacaJJ8gmQRbI7XwWyaEdBBLJooHtfOpUJyy7eSYTkYQOyF
Lwos2iWk02J29noVFPqVybA56gCP0QJpJfkhU9Xs4A5Q9jYkhaNQIsBtC9bf62WsQWHc6iBZJrXG
GrlIVDWgaPtxUVwTi6r2Glqr9h8DMgap7arMtd92y9heinw1RN9qHmuXSUDv+JZjAacVeyN2q3wt
fsrl2nYn2pvq0Shob5sJEWXqGjoppLCvf7SqrvGMIZv0UI7yEqx2m/9wSlU7mdas/MGBtYDuM8VD
lPAGTYhOVjvJdU5DoypsX8Co3MSUh0vdl+M5y5bSLaoqPeCa7X2UX85+aLfRpbc3OwxkoxO3MnAz
KZxGtB8VLDAxgjhlhvTBtBfoClCy/uDoCjK8SXlKk27bmXJUeDQqnuWBpUT6p6xqEw8l7vbHYq3f
7geJnZPr/Gp6swpV6XZnF+mq1F0KzE0qUUpinKC3j1oSKS943znYSxpR8cns9Xq9AC09Knx2jhW1
KQGeTiSdnm2EslL8rXCAjQJjBnzrKq0MZhMFXPngde6uQw+MTpjAmWw7F3oVmnHTGbDk26ye3NGY
rPOEbfv3t79L4QAJdk8mv9q+y7hASWLVR5qYKCUFDJsRtVoAgzLvDQNk53vPiaAJYvlxVO7vPSCt
RfJZB5zbTWtGZdhldiFt1nYoxo8MtBroJu3RpbyX8VAPo1+OAI3FGdyEwRBfFGtpoKzGsZBkXZOm
s33ICkJjt15W2phTWVunInWK0IWaMs10b+OJYcmqDZantaVWHySze08uiLRgGEBr3jSzK3uOjLSC
fV/o8vLS0X2AETAfZee7T06BR7EgwKA8/+sgZ+QIJNaQVR5gRyjXmc50gC1a5UcmFA8tl1TwoEX0
Avpmdp14GB/k3mn8YbKbg27L7i8Rs3dsE4AY3tDsJmOQRg6t/ZBLKJn4RQyEAV64kTR+aS6WeUWC
aEDEUW5wnFYpVE41Ii3tWQNqYLuZZE7pwU/auQAc0PRAV0QteqNIYgCtbBcjCx+yJcnPLSidJy2d
lbMAD/7B1waTJtQuAPDf6AIXaxUiLpawzy05Phl9k56kuTkiIO3U10gnoqdMOoGw4fZGm5cy1LoG
XwozA0EVN3V0HWUlAwLUhn69pj/uh4299wfyjVen0q2/Yeg5FNNVXglnXhOKv9wiDVGXIw4yY5a/
/S4TVo0CZiTIxdvOAf2JBm2qSELELAkvndalkqubbf00dquhkYnGiuZmRrz+df8Rd+5Q0myiIqkJ
SktbnGWFmHqPQS6lEj4Ml3aQ2sC2lugxTG2sL5AgCOZOO0pMtB0cgQOhhMBAyKfc2tzccQ29HSNR
8vtaKvVTUiO+5CUxWizMP0rKMYicQzDg6a25qRa3P4bWxqrLagDJQcUMuejlTJd8SCjWcu2hamTu
AAu68pq2XYaTHefTh2V1JLAnbQZSVEmGOXWx4kj/pb04M1kv1iI598gffcV9M4s8+L7tN7mHefK+
c8YRlzlAUNe0bm3LGwlh0UFKuXe9E7LQnUXMEgTSJm5ZUlwnTV3TcpbiClH52cqemqV2zo2V0nku
4q56iJ3MYf5TJ5f7H30vNAOht+HnE55vFFZzAxJ5qTSIeKtqchoarb8USXiEItg7rI5GLwRslVhK
bL3fOgtVwXxdnrj6pCbNr4bcyuBUMX0OawOLk0rLDvqKv9DVm1qHS/b/L7jZVW2NayLEA1RPrcqk
v94VnhDofhfNAAT5N8fVF4yRcgBvrhqi82UlTEruv9rdh6YFSJSi30jx+vqhcRZHRwVeGiGjbt7N
ktOekzVSPanRDDdyqqNJ6W2Igr/DMIF81EYy8Nek8beXLDVdOsZoxuBfMmIgPeoo/8BKOJlhflQE
3YaKV0upm0erUgBGTipkm22r/L4W6+Q5qCl5zO60l445Ne+4OJIKEh3219+UhxLSzYzshIXF5ps2
ZNhMN/mmc6ryPkMHPCQglJOdhPno5mZXfcgiun+O1GFAlZtv9j0WjGEQpQpHFPL4tvDLOsNeZ3WI
A00r4nfxvJZP9tDU60MKuDU82MF7H5NzgvwB+rK3Uljd2E2qhJN9kEVR/qKFXY+bSji/z6s+Pbiv
95aiKkSx9xf5YttqnPVo0dM2B9xqOrXfpzYmQ0gVnLoM9ev7R2JvKfpfWJXZMM5u6G1yW9Zy1MOM
TZZEelwUKf/ZaWPvW4s2f76/1O3powdGr4EUTAjfbftG+VBIC9cOEGtqT6njtjC0KTpn4ZT5NEnW
0/3ldlI+1hP2a8IEjdxP/J7fTl/bpUsSTWjmIpVofx7bMnTnNQSNLBXKaRyGBQSaqZ1xZFh8jK6y
pxobK2/OFO2gDXJ7m9BqgXlAJwSAOe4or3+ImU/xWI/8kHDq0/dOZTieZlKbIltgefq8GG7SSGC/
y9E4MPTY6da/XlpcNr+9A0SOcmMclixoVlnuQOp0dW+cZCPLnlcbjT63btdkdGk9QyAulFYLBkwF
6mDIQ/nccTH3vL1GOwocO7cBVjRoXiB+yBG+kTSYB4ZYI/V5oJbYRpRlZ156aU3O6ThT7hV5/aiN
Xer342jz0dr4klaT/AdbX6gv4pBHjXtTw3e6gl0FeyTIesPywrKVvynD0Hsm7mYH32Fv69PrEe7Y
tGVvICWjHDW0kCBSZfX6N1IKpezZqNH4Uldbn0o6CQcBZPf9ksCQrCI7jcfr5jrQYh2tCkOKgzAd
8rMaK3S4kqXQ3EEJTb/SQv1ktMStSlXid0ZDzxYLovagf7D31GQyAtNL/kqN/XrzoVNvl10EW05p
Uvsfue3Nd+OSlWdkNbpHnQzuSGBsd0HeLwad4INuqByWkqZh7hA3FZutZRRy/nGR0uLRmqT4Q442
9EGqtnfpUuggt4DCAxF0E2GqeMi0GqPboBhQqrCmCZfBcsaorhzShdJ2DP021bWP9wPb7lOC7hD4
z19t/tevNY7I/NMRzaHWGedvcx33binF6ctkhAxro+SoS713yzOq+cWNgdq0vWXVpi3kvrTjwGpM
3PcmpGKUYvy2mKGBJn+xYhwYZ95CteyW+fLz/sPu7WRUnJCUh1lCPN/29Iyxok3vYGMZMqfCXTBS
ELlUFNSGLlJvrucC26xAbVXrjFHA9Ey7TPtYjmtsHZTrIlJuch2FfizsOkTBEH/efGuzMeY4n4co
yJlnuzkCC5/qSZIPkozdVagygXFrHJotesvmDdu5zaxoSRrtJ525Lw2ShH8fvNOdC4k6Hecsxvz0
Ebf7VqPv0QzCIkcupdVwaRPRRkzWpH8e5Bof54UOQSDbsfWVk5tnYF8RTXXLEXSpmw9gfl0pDtfW
XRw2o4tt6BB5q4nnOG4QjdH7QzkKb8kqy6SjS13cldvPIFp1BNE946+cPNtJCoVS3NQbx5OmeH1K
57izL8mQ6PI1JcepSD3V/mtUyKPhW/YsPyphVv8b9UP4ZFa5XfjkAtWb7QeE/TlZFILvAMtu2pgT
PIy8NCRAZVI0neem184xWPqfal7JH+ZyPRLC29sqZC40FNFJELzu12GArWJJIyLPgQovPTDUEPGh
AQ7t+/ubZYcfhzY/CRQoJarFm3kYej9STBcsCoo8zW0Xklz8bxya+pduVRt2QhGiZgg1KfpXHSxl
fpYWrbiiWdSO3gr7tXvRliqzTmohahLonfO32DJBCNS2KtlXy8jtFlGhcfkKyt/63o5pL1+UmRPv
m3baIHywFsWnyg4xFHWZ6dj9dUJRzDlVQ4XfmwEN1XZXzCem8zQj0XBdentZ3UWvqkfQfU7kTqOS
fSqXWjWf5TgdatqwQ9ReVLAS/1j8R7L/9TH8dKC1bWSdupoU6QRfpok+HbzJna1L/qvixQhs7iaS
WeqaVevSw9CVFy0AvW2+TF1XXu+vsnMnMTckYBKtaI5t49ToJBUCAMxd6rSSH9t6ah7NMumCfM2K
F9iHX5wqVL7eX3OniKAsIpSAC2GcuJ1w92PdqUXF1kdnofbmQi8eGmbAPgyS5CAA7Fx+QAcgHTNL
RzJ4G7q49NO8WQENLU31o3bskW+aLZ8w+3DehZFTDgdJ4s568HboGYgLkKG3CKW/JdBLaEeASgog
AqG2QKAUkIFzk0s0rCJJa2cPuqWcfrn/PvcWZSghUiYKzpvZIC69ebMMY/jQJ5JyWif1uxWvnWsu
NdKM9XpkCbHz+eBv8C5hjhJYt136xko6CErMJ4a2msi3IxG9+duG7lWJlh58wZ24BZiTzi335K/c
8PUbjXStjuRG4D+qBoUIGVM8MIPawUW68wqR7AQHi7qIAHNvE2AdEnZtMl5tZYYo50alO/HJnJwY
CLTTrtWpbqvI9O9/t50X+QshRK1JuxZsxOtHwzDW6FATlB6aSW/QPFylc1anjAcpdg/e4s5SzFWA
QgguBAOWzfPl3ZLGiJYBWGnG6mxRvj6PtRYXXpMfBi5155OJNJfiRYiL3fS/oYCakrpqeWChu1ye
xlCBjmmusjG6hjG2pptQRv5oByv5JymKoXB1ZZwzaFq5/l+Wpc0zEbdefa2FuXyqMxWN5zmK7bO+
2MpfcHls04udWnUgXg1whKSp774royr/1OzIxDClSqdPNm5aR+7ke89FkqXS2aelc9Nq1eeBDsEs
ZUGdOC1i90vth1iJHETkvVV+9VboemC9uj1eOjeRMUfU4Ia+5td6QuLG0ZajXtjeKqAaYYWRoJJ+
iHvh90AVKVFia2MegATsnxJ4WV5X9UfmikerbMLh0LDMpHZ5kBhACbTZjM+q2ch/sLlFOBK8A1Kc
7X0CPB8mO+SSoC5kyZs0+kXM36qzDjj1IE6IH/w6nwQrQJBADPf/iVu9fm2gRuauW9MsUMIoaT2q
ifYUmoX9cVTMIvK1ybDOKP9eNSuLD4r02yNMlk/b9FfnEruVzRF2yAtNedazYC31EmOnRHY1fVyC
WBqWg+Jl7ylBLTLAsgTQdosLixGfK6m680CLIbld4i7thnNrzXbk5SUE+h+qNaJXoBdaGPTzAgH3
fmDcXZ85M6RnMknIa6/fctJmE5No3nJfG+Wjvk7RC/1T2bU7I74W8Zy+QGOTzzDKuoOVd18yolZg
+ikabnjdvWr1CThxVl5lZfXwiLe/GzA+I9dW66N9e3s6UAXi+GEww5I3eVA51fnQoeQfJJCx8Zhf
4ieYecPl/su8zfBgDABBIm7B77/xDkm1cmLOW0KYRlKvRL1vNgofHYKucsewIbY2cR8+mzRejoZG
Oy1VQVZADwT1OpLL7T5q5agcOi0rggoJii9h1c7PeZ6a8qlALexH3Bvjh74rLR+F/eEx06Qo87Iy
r3LXtHEV+4NPS9sOVjUYmlsyfQSiOkVTI6e3WX9u4sJ6iI1Y9WEdx5/f/sYBSwiUqMgDt7JPoIzV
fjDjIgCZnqMt7MgfFijrrpPX3efWGcqzBQryYOi80/lAYAflJzEIQEZwGx+6saF3W0RFUI5VfV7M
CI0JxZjfT3Sa/cFSfy7N4FyytkeUMe/KEz2Po1nw3obmS7PT6JuIumVzbqUpRK/AyoKWBvllaGzN
S8H1HoT73ScFlQCUFCTK7cRZ0u1IkUMjC2anzT9gdDo6rqzOTurmSh0LlPm0PFV9FJ9sMykqt6zN
6cuKg+EROPk2axSAVmFjD+DavokWoTpBV8fmLsBTJVvdWrOm73UG7RPpzDk6lUr2J4eZ6RlBWQEK
fUMDage0hAfyAkEhxj3H5nJ9nDqG/l42hWbjDlkyZl6rjq1xcHz2vu3vK4s//y1hoP2Nr1GX5oFd
SeuLPjVmgHlxe9D53l2FapcWBXM60M+vV5lpkEZFE/JpO8coA0iAITqnSTQ4/v0zuvvpAJ0g8gT4
70bUN5Ynqg2HKy7U1eZsaD9RovqO0ZfqlQ7SzfcX2wnBRAPiID1YURqqr59q6OU5sjItDbJJVdPP
zEmyv1UcM9R3mWmFF4wQqgdZHubr/WV3nhFqHyMt4gK84G3Lp9cXnSm1geZ7N4CAHleqAy9MaYEl
atY9quUwHnR/bnu/iJciDImCLdqBN4LvwDrHOmnpNZvlRHfdnZpJbZ5sqZdAxdrV+HGV1VE7N2WS
x//rUKTqz8UU9frntz84YFkhXEh7/+bjoqikZiydBDaA6GcorZVfq+0ITK6KnmJrOBKF2pmb8dwA
6dGjhu9+wxUaCYiMRlCesbUBk6w4rP0xWfSn1l77S2uZWIfEGZJLi9p5eOW0Hla4j5kUKd9I68aD
z76328S9C7pKgLe2ty4i7YOu09gJqjijo5kPulScjc5Z/mpaO/HHQe8enFqJ3i49CN4ZvhT4BQG0
2vY+IlTcwqxgahVFYeHra5n7rX1WCuD+yfg09s57LbXKg2tvJ2CQpGJII3oDtwNpgEIgGEaHUZkc
It9S99aLs1ZHXLCdtJBVUAEUEgpCNe/1AY4dtXAolBA8NaTEg5zRnldlCf2lwLP2/t7dWwqinthF
Apu8bemXAFoqa0XEyVkn+E9N3+L6lPVOiJrziIPk/dX2QgQUJQg2NPgFov31gzUSLOMultKgkGec
2hLQLT0AgquzJt9XcFVvj7rUZ7THACPRHdjmKFG6VnrSqmmgdkXzwJjb9stJ6x4oEbNTGhrdQe67
9zJpwol2NBX7DSKuRERkUCXWG6cuDuIpXE89qjp+hbzQ6f6b3F1KIDOZ2O9QTnJlXqQEmfRAKkhK
6rVUT9ncKX/3+DAdvMXbPQ+hTBW9dVQ+iXKb3dh1keOk9ZwFqNKTX1J5ntQeOuT9B9pJs1hGx16G
G2SnZwQE32TjqyyDwLCHzWx2EeXMqXYiG1q/Zr9HPqy5WEiaupIy676pt+3BzXl7oYjfYOH4RWWP
6t4mo5zTHimhhYzSMAY2DFH8Oo/S8pTyvb2pdmbDJZ5XLq5faOss6REXWvz3X9f7rI/WIOq07Nib
9rjcRyYKgzb5iNq1qWua7WNmd+0pYr7nDSB/3LFelw+9lSUHJ3P3I3MwaaHh3c5+fH0ye6UbkFkv
ePtF3J9WZNMvXalrb961vxrjTEsF0AS2x+tVgJOWSZMhZDXHUuhV/C1vahXLj7pWOghse69SQeKS
eSiZ6w24W/DoJaevWSrsq+tkWf25N+bateTVgTc1y2dQlNPZ6DvjiKO1I5DCY1Jnq1RlMH62FVnX
6L0i0cYImrG0PsyVnv4oRgP0r5hEjBdak5hz5LGUPDN5q5ur01vJiYtg8M25Sz53awzWBHHHN7d0
+FmMXQAckVrf4DwibRxLSTPICyOzWUBupeHHFVnIzpfaFtDw/QO9t6NgFQAfR4cBguFmR81RnVvY
RadBiHi25qKPZX9u7L57uwQgT8VhBRArSFbbPZVYDN7XpEqp+od2PKdIOn6xEQce0euw58eqL6jt
ISfnEYqEWnhQQajKzpFFeQi9WSCbt1L6lj7mde8UabCua5N9VIt+RrNMi9bIV4Ty4N/FXI9IOZVK
grbYlE7q4msg2TRXVRB/cxNbr2N8EdKycqUEZKA/G53dXfN17b72s1pDyRjqET3HJTTPdbHMyVWW
Ry1010WPtYMAeHutoMwmOBeUQ+zdbW/TQPW2qMosDVpZLYIim2e/t4382q/a0f7YDfhgxzkmKOnQ
AtsEWzV0lKYbxzSIAVO9q0ZdQ6kMlarTgj7bKWmS+dk2JuScILj9Z/cxiDwF26S371I0jJCkg6PH
nGkTkdI+GSLDQEAWnGH/Mq+j5FlFYR3Evb2zQI6KFx1TePLGTTMVSeK47G1gC0XWjA+G1UpXNMPs
owbB3tdjDYQw+XjocWze6DraY4XcHNPVVjH9WE5Mr+thbDp5ZB2wsm8zORoQIOPQ+QKGfqO4RdCe
IKZMZDlr3T8rCMRj2U7Lch6V0V81e/Hvf6fd3QJWkqkZfS66OJtXOGQz2ovCiSlfNfk7akDLeOqt
ctQfc8UqFb+lGd64OeqCueuUWWW9T4bSfidnPRSm+79l7zWjySvanCREN5UHPdtIshck3WNIQr6t
t2EQp451TnGoO3js3aWo4Znxck5uVBN1UCSQQYH1VmAFR1/J5U55ntD58jBvYe57/8H2Pip1Ja1T
PugtSCTGGkW2pIySqjdKbwbS9BilYA+cJNR/AMI8gvfuflTwITCNqHeQpN7cEWqNojotN5xvwknN
XTQO80et1/X6is7xmnlTRfcAdaro81LGaXOqwza6ZnOtHfVndt4z4sqi+Y+emU7+9Tox6Xgrk4Ze
Fy2TdfYKZcVRBrhVeh3LqTm4MnbXIrhSHzCKheHwei01H/jUeNEEwJvVq+mk7cmx4NNlCiSU+x90
J+4w6qXfxCqM0LfvN5paPYZGzPZBK/BSFF19DuXwiI+ydweS62AsSjeGq/DXZ/6tWactM7RdCBSB
iVqr7iJIOf/AV0r5B2CT/aIpZYVVxxSq5eNQjTWXId6D879orafOCbX2+kvvLPJw0pHvv1ZtH8n+
VKdTpriasmCLquioVnsplXfrYm6SCQCPbZ30pc6dtx9tIDAUw9Te6KJsMzc8x5kwo14cSKaGJW9j
K25eRNk1M3Pj4GjvHDaWInRy7YBB3dYaxZhoozoleVChL/6sSENvey10pG/JIM1nTQ8X5eB47208
KC6QhkiJwXyL3fLbZ4r7FbWOguwbl4rleeh0+9JIUY9o4uAclBM72TcuHoBOyX/BZG4frl6qdYTW
xxTIjpL3UumkD2ubmdWFl68/Q5mzAuaaDXaU8AwPvuHepqeIIY8BZUTuL178b4+JlhTQjYK1E3Q8
TgtgzFNvJP3BE+69TKGMxZVOuOS+fb1KpY1K2ItpmtMUjekCazLQaJfS/5mrnh70Ffa2CjhSsO3U
TLekKzQ1U2Tu+xyfNjM9JWpcP85S9LFWx8ovLXs60AbaWw4YhUjdIQWwY14/2oT4UD0BpwvKqtD9
jtvmr2iA3izpY3YpNONogLX3KmkZk4OhGcVgfZO2GElmtbpe5MGKLr2fqVPosyVLv9Skt4+M8Amg
HUTrEI7/DQaGegUtFVBagRyO4aNSj80pjYqjgfLuAyH2wNAEkNSNyiHw6mHQbdpc/RJZ3kxv9qWq
Hd1d0ef9cj/C33ZfeSCoOBC46bnftAqzsQIdVedZYLf9epaIi8zAYvsd0Nni0nVd9pA3ofzmLiiL
ImdBvkycvEHoliD4mibKCCQNqbIRKSN3Wf3z/pPt7UJIKfQlybQYe4kn//0YF1imq1BmAw0ULxT0
1q2cZjlHy9j4klIevMej1TZ7UG/KjmsBFeyxSoynOi/+TZsse99z9Ly6W7LT/Yfb2yGA2cjVafOg
tb5ZzlEXeBVllAXLCM9gAHLgSTHs06jiBNxfavfJACUD1UMh9iaFxId3RdCYzahLknNONDW/ql3U
e0mayKc2nsfz/fX2wi/7HjY7KONb2p2mro5V2jRenEzJz6TydRAKVeX7q+y9QHInxC24pm9nXLWO
la8zVIjA2aNzMqDhnhY6lddoUNs/+FZMGKhQGbeQJG6+lU3LOJ9MwmGUqsm5CpNY86V5nU+IP4/F
wWJ7X8tCUpfBDl2ym2ZrFa1WG2nEQimWISkq8eQlFkLO8sq8zqq6IwTKXvwAdQMyFdIgADrxe347
ZaBOYJ6UXGOLU5Rf2qLvXAR0k3NSd/IX9GXWk5pIR7DVnUVJErlhqIT5etssi31YtJnok/MCuqDK
UU12897svcXsI8+UCsyMh7b7en/L7K5KjBTKUFzcW5UmyVLhmFprGnQlVocJFfQlZ0R0ztvYekSm
pzyva6W8fZ8KwU5mk4YievWbCqcenXWs05ZFly57Gco1/pgqSeYX6qwfgMV2jgR1P80w+EXUFttP
qVqx7owhvoSzFSv2OTTz5l2UgZx8qExKm4PSYmejEk8E9gNWpFDReL1xZtw8ci0Oqcez3PqniZvw
Mg5NdzGSSepcZq3TwaWz9/kYQlCiCXntG9gxL3EtxxGLR2hxkpckeImoehxdtVgdzyXweE+XscK+
v2fE2d405EU5IMa6vxKizedTG3sYTWzag6ZU6veWMr9QxprnxMKX04qb5LJE5XyZMev6fH/hvY/J
mpQHSN/d9qWUsh0ygCc04hD2Sj38epD+LSZYTKNphn/wLQVonbY/cfumPbWopAyowyeBZlZx76GR
X3derdUxzbAKStV7u+SiP7iXdu4JLkDudRTbQStssz48ZwuR8UKHE7MW0ynzZxsProMPuLcKOmIU
WGR8xPDNB0zNBlpUT8+7KYzazxbRbqzH8iBq70DPOG+M/CyIPxRW24dJo3yqkc4GyKeQRHgjdd9X
p6ml9y3HMPUyVCtKtyubsnYVmEB+FOlG7K8JQBPZ0vqDDsP+zxHgVEGaFlZorw8n5ISqAMFIeqGB
9YjGqvBK/DOelLU0/8YlvP5aolOOd5RUXHPmbv6QNf1zNKMaeX8b7/8SOqtCzW2HMhY7c87JVSio
88xovWXWkycjlRK2tJk7QRdG/UurtPp5qYzlHcrN8nPc4imPi07/dp4rIA3ZYTswf0bzaPNWsAY2
17Ki19tm8Y8czRmqtrRzEV1VL1MqNX+w9ci6iPyE/VuccJR3QFAMk5RSSdePhtVk72KgCgdndydQ
aGT+Cq4OQixv28BGfMNcInTTA8Bn06nT7B9LF/dnUuX64H7ZiYUw/gkSHCPB2xZH7fdUYQzt2Spl
yPhtVf+rx1U6PxR2l7/IsBdqt4uLEsxLg+nFYM+mdLm/k/ZWp/GLvCtaTQDWN4lKtNp1l9OuCCR6
rwyAgdukTVedlXaOr1mjm5cW34GTSiA7+I57b5g2JDN9AjF3q/hlvz33EEXKsuQFrW45W06pJdl+
bIXZhU5VdRBHdubPgAeAR0DFJyRudyhKLkThboqCbO36QJb7FhuRovCKLpo/W2j4uyV2aRcrxivS
Zcj6dpYgBbi4BP6Ps/NYklPZ1vATEYE3UyjTVW3lzYSQOcJ7l/D090N3ogKiid57oMkOKQvIXLnM
b7hxCMzLUT+2EQPm3XzisU+OMFSm09RO8GzaJjrwZXde7MaNTsTkZ0I9oM27RIPgeV6gwVj7lzx2
UGOSjP7BtsLRq+V6PCTMbY/hIAcfX99HG4zBmQGJpjPoAcrKZbOyIfMugpQbQcY1RBynwGIqbE5m
lh2nqsDhpQcthnq1lhQKvOHBfB8bbQgF3zD93hNWqXxRlADbAtse/shDmFYHNcGKwaurTHpISj9I
4VmrCNTWuF9Z534SwbtIEa2Om1Bb3vtFMskushxBfGrrpviq14UynqmlktRlCN/+YFxUhSeGXfVn
LGojnY+OYuphTJ3IvssNc4wOmRIULzn0wO7QIQ2Z/qI9TnGHlsN0nNpOD+5EVQTKF1Vtx4/4zzZ7
SImN44hiLNQUxru8zOXUNUEyEYJjFF6N1K/OGU4Np75DBy+Vyvh/cclAZvTzEDJOJN+9/gE3dg10
BBo4KNaReS7HhqGvVHU+MORSy7C44isJe1OE3Tu6Huhj9EGNIGqyh53fOJjk7/DosRUB7bzMrasU
y5zOgR2ZdUF5dKZUPiTIZX+pVC1FpSctzyLIe6+xwJ/1oui+vf7MG1kM3YLZtBAY0wyeuA1BhdXH
CbRQEjSEyC9NZEUnOZ3qHSWQrVXotADiI4/BqWER4MsMjyxnTOYRW18ELj6+/aFIc7HTXtxehnHE
3I6AcbpMyZqJ6yEEvWgMU5652RhkP/Kw2HO22ChQ0DYiYBPQ/maYt+8smHVq2PnYPYaO8Vja+BFF
jaa6DYIJh2KY9ubZm49FMot+DKQdNsntetqAU5STk0TnrVReY7tNP4i035u1bK/iMAd1uIv543YV
hP2NLuCqp9+Hyv8hGGXDC5I0Ut+eVuB3DKyT+44sfInesGJo7CCREC8a9DZwe6Wg3iqsBtryIAFy
f/v+ZiW6RdCqZMApt08VFooaZxWYuTTH/qwuQWSH9a7Q4FbMgmUDC5i0DFTKYhWz7bqyAoF01QNN
euI4WYcYcbeHyU4alC2FdSCi5J6iiLeLbP+1poJ3o6LEsWohTZIDVywBNqpMDDDHQsaWbpK6d7AG
v77+JjeSFSbkMyoYTgajzMUuHEJbE3WWRdfALPtvhZFXPFnUfBQApXc+2tYBm5X2oQIzVFo5m8dO
r9lRi6cz/p/MIWrn2qpp6pn59LkN2y+vP9fmYnwz+sHztl/mChDubUlLdMy+u6B9dIwodLNOtk8l
7txHwbvYmZVtnLP5sRAXoIVPk3uxV6JJV9NBK5CoyeLxRCIxXia4pIfXn2rja7EK+Sy5G3S7ZWoZ
tekgRkVgxq1G07NocMMxmQY+dM2wh+Lc2PwmGBsyS07YOtkyZbyDMEAJrwxaHP0ay0kaH8ypq+8K
W3IMvAXN+FyzST871WTuhPyt5wQ6CmmDmRJ16eL+yrUC3xh8hq5iSOvk4A+Z8sGPh7g8yKE6nl5/
qVs1J3gCkClMOWlqLs+AlAZ+blZmfk3RMDwqo+YfElmkbmy10qm3VP8uUpyPFIp4IBu5AylZCQ92
l+wcxY0tO7ux4f/A9cOocP7//9QNaM1Xfh332TVVi+CSo4TjCbDqJyNzSNL6eC9H2fjCM4lwDnAz
xmj52KpcSHoVWfl10IRcIy0ShV9lIanNwVL8kcwlMp+bJIwOI4TE36+/843jAsgP6AhYFcZry+ui
sgcuc1/Prk0GxI8P7BsvgWy1expKG8kf4DTyPoD/GJcsOexqNrWGBEvzmg59gDJxDzWW+/iYN4D8
KiS9vaZusrv/8HB0HMH8IHS6KnyDuEQPrVbyq+7LzX2m19mlHuJqp7zeejRqEliwtOHA+8yf95/t
Ag5VLxNpzK9MhoxfTT+pd75iJd+cstBg0wRIOaE9nOxh1re+3DxSpjFiAD5e6uICUwG+6Ic5XfGk
Oya1FSG6qQ47cLGNAMCkB5oBEyEkHJb9MZ/GN9SjtLjKWlnILjAe7VsdN0WPLWWwa2q2cRJoSHPy
6E0rGK8sgnfVkqH1ks9J8E2nu7OtoXlk2tJ/bRwlzA+WBnTSw2e3U8BfjqIwzq9vmC0AMD8AIhSj
SwqGZY2i+0rCrrGZ4kwCcsrU6YnsghOrfzShE2PEVxnldNcTNkLXSoLst4Zr/ecpbMTPqlXtmN5y
GyiuBNfa37m1N74ENzZHSAHktQG5wj8eDUGTnxagpSoH9niytFS/o/KRd17DRgAkBWEC/jcqrQhh
EhB+kx5YSi5XlQdjKvoHzBE7rNFm63Uo1ztBaPO1E2kJQkA/1o7kkpEGsItBfnSO3z41sWm8kPtX
9gm31dE+RUKWJvwDRSIfGiSfzauWmvUH1FZRcbc6KZYvU5Zod2DwkbN8fUtsvXaqnbkdCC0Ng+3b
0y2V4VAogh1RxEb2S4pGuO0SEh/+YOhvh3nzxucLYLYRXDV/JdVOBfkG+gRa9MfwdefBrrv+pNF8
+PT2h2K2BQ2FFuRsXXX7UALGkB+pRnpNxqQ4jHIUUV0hMJepo7VTj/wtcReTGCblM9iUInydQuOy
aYxhVGXXNvXj70NeT+/aIZ18d0ic5KIMjn426cCYrh5naO/YhXEcWto3bz4+DoGFEZtNgbzGqsRK
LjlxoWXXSlMG3YNZ2CUHsG4zqG1U6z2Z0PW2cWjWk0HM5d5M9rt9w0XS9bYcgi635rBZJGP6eTTN
Hwi9am++5FiJCSX5KETYVXO851bPfcTnryoOWq4h+9OlKtI9/M36kmMVdJhQtcQhdxUYaZMPWm9H
DCbQ3/3EPpHvSOKSXxp4O8uVQ7M79jIa8ztfbR2JgIPh6kTgA9e36hkl3NlxFQtECScz/YASsAqj
uWiezFGvgnOvRYp6ev1orK9VVqSYpScPL2AFV7aKmgLN0KPrEAU4bQ9tdpBKS9mJsFuvk10By2LG
QazSLq0g2DWM669NlQZ3dVEoxzHr7KcIb7UTpUD7YZbzfPtRZGyPUO7fwo8/FplKGFGoKBPVbBTn
qpv4HL3J6UKPRuH4oUbZ9s/AtPSidHV6QoQwcEs44/nOJ916wUQ5gEjzNIek8PZklLY+8E4Y5tBJ
z85+6Pj3JC97bZB134+hIbxIOlUmCOVl2AbfMSpYP8TXUpLG7jxGunMncXl/DFS0/E5q28sy/Pcw
fQ8AN+o8Jqn1y9t3EghDOq0qO4m4c/ugyPYFbaaGcAf8PrhomqQcBsRyd3p/WyeEowlmk/6VQX50
u0rHS+5aDGquqh1M3piJ7iWpVfTQg+BnnAJ2ef2htuIawdykhwVweIWQy1FxwZkH+oCsENykWtNw
pQntS4vs2M5G2TojuDgqM0JuLscWG6XPVI3tZwHtDtPy0DkGEHO0SGGYWGY4qyy3wd2Uj93n159w
g6RNVwTy7sxR5tpf1rzdKJWDXFBwB0YlfM8GaOMJ4csPAZDXP0bW1K0HZ145G0EyOi61ou4fq2my
n/Hckhjv5IH96/XftHVm5o87M3DJipcVaYYCol2PfXhthkj7mQR2/qL3/8HQdb6m6UIBsQRCvawF
JVuCqVEzGrCN1r9aAzIsjtqPj2Yt70nm/x2I3WYFfFgk8AiAjKtWeE5qYSSnHAJ7nEQpZq6oOTxU
2ZCN7qRVDRiNJMAmLbCQ9TrFXKEfcRPMgp91UISwR9TmS2+W3bPctll9aM2q1862xZanRddOpjuF
ha64SDhqzGAEqNiT3TrGEcecsjlLnVwey8bWU9oJVfS11Zxh9LSmZw6giAn0lqNEheVN4HU1VyhS
0+9E/43POUt20S9FiWotlIroNLmeBIJCFM5HpUvNxxRh9p2ydOOksgh7GJ8PYuEyAgZaqrZJq0VX
yEXtAb9wZgLqVN0b/SDv3JkbMQhwLpiQ+VOuqyY1TMqxmjEv+iAraMpPw/PQquGjNU3qj1wW/U5k
2FxvnnWyTzeEvHorRzLf4o6WUkQSo8j8ig5netfTvXxGwdfeuTe3Phe6HNSF1FJrloRUOj3qGCE6
dbXcMZ9TxBGGeruzytb34nnQIqbTtm5yV8GkNAXMy6sY0/he6czyUEiq4kENK3eK+jlyLg7fLBlO
AjBLh3ND3d4ZBXqMuJAAcAhrY/yVoDXpdczv70SXdl4p2fGDhVPUSxvvmlZtPCSqidRT81Sedr56
u7LSKgwXNcTJHNpAxgldz+QpyuL6WxpL7ffXg+bGLgGkRB8BxhevdKkyZNbaiLTyTCeQx+iEjUPR
ep3OzDhPGql261xXdwq4jY2CMS9VFXMXCHbLAJpo2pSLqMyuUygVntnn2nn2nDm+/lxb7xA6Ae2J
ufO8cigyJQNO4hRl17rR6XAHYXTFqNf0AKXtSXVsLUUOBYyb/IJe+WKjoHvVORiNZld0uKYfOAoG
vsdAzvwawdH7/fpjbVz3CMIAujGYlnLhL9bqCc56bGCYWqhD+qiIYaw9P2vUD5GvRrkrVKVALbVI
d2Lx9rI00bCKU5jxzN/0n+5dN7OTyxEcbW2LvHM7wkrp9mFqHEOhS4ZXo1p2HeXB2bPb23q3TGFA
fYIjJ0tdPO/IKfl/GtEgOvMQ4S/4MddwPs2ErL5//dVuLTU3Xemrz2zEZSYlJYYqksziKmhzA8UZ
BOZdq9TTYzZowB1eX2wruHDfgMIFe7NWnRiwSB4zEz8OeTDML00qFPRttca6mGltXOKp1O4U2EOP
cR7re6TgrQelxQw9i5eqW6p2+zF1kLOj3pJVGDa0l6LSp6NcRdUpiuxg56xvRZd/l1rsm7Qb0qAU
ClNjO4tPeWw3p4Hb48+kRXgOVaH/9lErCGhcBf82/2Zyxe2zaVJTlVGOC0GnDH8ivfcf0ibaA2tx
z/DPLO6G+aJju9Aaohe3iNAIoUSMGQBN+WVo6B8zypupcGHLS/ByO1U+pVPUWK7vq0nrIaZjdF6I
gj/lMsQSrFfyPPMspZPGs1nZZumNgSG/w+VG+2I1WWC5MGviGj+BTBgHWU8b82WckvpPAkUpdm27
dj4GiZHnd46J3MRZsyslODZhXjSuhED3NVUUXN2dLPFlL8zF8MeUcxsHlsKWvypm7qiHAJTku74f
/PdJb07NccjUvDyYqkDA3YmD/kESTtOeKifWvtq5JPqDnnRB5eWpNmWHlDGNc2iMqu9cTHQlCaPR
aXoSqlaal3LowLoPEpB7z4Hm+stoKCzf+3TaiBm+mShntawb6I/jRJ+2R3LOG6MiSb3WlyzhjkbL
SH4Ctogn4pjlzROEI5yGq9ROS7KLQvzMEBxE4ZreEsiUPBCfRSCST0Qpa3puHIu5lAvWPzV+IzYp
kIJolPBbE1fRcMlK3TlnPZyRi6QOTXAkm1diT0tkOz36cpqYRzkLdFwk9EDViGuRJnmFFkdPE3iB
9IDXU/M/oocw79VUROoxkKQaXNQQ5/2neKTIOUy2nuUvU1E1H8q4Mh+R1wsydzIHUb+MZhmWblqb
01fbSJxfgzmNJ0fgYeV2EUI/d5Ji1tY5l6sMhcOh75+6JFeTx6EZ+sGFfxrYB+rKgfQ+M5LgMGU9
3NHEGfTpTsYbL3ADmVvviEy/lR6UsdNrrxxMnA1LelPNXSL3SuYGaVnph7p1ovt8HJoO4+/E+YoG
2WB7rciNT5VjNLlrAdaxH1VpGK5GqQwpysJwfj2Zi0bc9WExVsg+2JkeYW/SZIrbOjCnIPqUQ3tI
wUdVFyUJTby3uCwq1+6D9nelI/Pn+qlkVtjVMXH2Glzk5fuynYzPneSHAMCMOPfSLkdU0UyYUbsj
KLfgpaeYbNzMNivpcy5q1fQC6NVXqWymD1qMyP1Ljs3u5JKzxT2b0hn7i4iq+lM/Nkbr6mWrfSkr
dVJOCK2axR8sKdXMUzHT2GsgbdyV1IX0/5jkkXcsK+MyEQGMP4gYRpdpLwBx/Y9O5di/MmrzD1Wj
/K5FOe5cJ6uQPhMwkIDigiTZWSmlN4k9WBUMAux0xshrZqxdGUnxcZSMn69fXKuWER1+1JopSdHG
ZK3FhSxo68vGYGVXs1HTb7ZwsneB1ppgjpy4/Vqiz3nukqbg5I3iM3jduDy+/gNWj8rIiTqK9iPp
KqPERYQXsWimdKjQja6c4p0IxYhDoz9QttXJ6b8shXYG0G6ulCVKIu7zPHBkiID+AF8zy4MJekJp
nFTJ37Opmn/18kIhm2N0iILNmqMQhRNgRztn3lsN1e/ZreuX0jEpe/sDzdq43JCzZtCyqxhEaLsB
5qd60nqObT2J2PFsOzZ+zPKx086m3LokKXgxPgVyN4OLb+9ivS210ckpoBKY+g9OpA3nngGxOJua
IG2tnEhc9D5XjoWsiL1TuLVNcL6mLca0GRDKouOXV4DvaBFxChusI7NWr2VXZd1LLrXt29VwAdGA
C0CXF+jaCk6Tm5HchhN9VFWB85+ohCi7FecGM5Kdd/oXeXqzUWboIlclbxTf2lVdo5qSWSDJykA7
TuPhMDdM78faaX5Oem7/zwx17is5sxPVzeo6f0zMOrQfR73UpEMbSnZ68kUafZP9XGZkO1DYvr7D
Vt98/nnYrcFEYDa62mFYdo46dqXZNfTr3MNTnXukmQbtkJbOjz6wtKNti9Tz/XyPQLVKNVmZSgF0
+QwhRabzdrcVShQOQdVllCG+OEpanh3TsuzPRmJND2pkjHv9ldUOmxek4pvpu1QNy0iI9HDlVyEL
5rgaX4tRFhyr8j2UlHSnSfU30Cw/OixaChMGkbQE57f+T/mF680IQtdiEqlOfu+qQwBiW6iDERx0
ra25F/3KLlwylplVWeUVkrZjXH9Xk7h4J2Pi9FE1In08TCOM+Lu+QyzbzSOjCe80p7I+ZU1jDhhB
lMl34ALpt1T1wS6Ngsc79mqhTMeh0qZfuZAQ+yx7H3ADgqtKinVeXauf2fNd68bNJPp3dUin7mg1
kEqZssGwd0l7TJpqoPS+VUFgCJdywIo8HEZjx+Uq7Fs3KHB/eSJsJR9qZKB8Vxnt4cvrG3MVYPla
8AbpWaOABz9SvX2FeR6aIsyRtY941qM5+e0nI5KSt+Lq5lXogjHOhIGzCgSyFeN+JafZVU5blTgX
SY91Vu2pWq4hYCzDfIr4RRGyng5FcZyaKZjS62T50TlN/eFIviMfRBR3fH/F98JU1Z/DqI1wmTOm
72Ftac8Dc+vD6291levMP4QxIJkfJEJYULdv1Rx8mU4Wc/8o0ccjZkQEe6lhNi1r4pDYEnuS4Lhz
HLZiDMtxFHT8R1fUOk6aM83AE3ogQf6/wMj6SywFtuVSX1onXy/07/DD4kcfUe49wt3WoUfPZ0Z2
gz8gA759YLZWySEr86vZjcN9Lac9eDMfa7Te2ZP/3VwKkWNaqqy2UreJpZJyb4YuIUZt0+CUApgq
iAWIZLJ3Ep2Nz2jLDFhRZaUpR7//9qmoIgJtRK/nOjZOcR71pLyWiWUeFUYNXlmFxb1s+fnOohvP
R0MJdRhwk0yQlslIrVUmmfmUXZHabr9rOFKeo7prOzdSJ2sPWadsXA/0y5AKoh2+YXpJ44wKomfT
1JSNbt0bysWs68wtmhRxwmiUXeD68bFOOvvPwKjwUEZg7hJTbu5iSDRnKZ+MC12wdlarnFy/kvfU
jDYya8a9dIMQapLBGi4usFk5SBGC+yQyLOBTCDxmBEtE6k5YOxQfMQNqvk7gh08iQSMKtY10vHv9
NG++o3lMypGdJ06LGFnZwF1qSu3rpCbmvdwZLxhUoMw5ZDClcDjZyWW2lmOuQzOYseVa2rA0q3xi
4pRdS1uRPtlFg/CAkaE8WvbpcbLGVuwsuEbZ0IaE3oLZJBil9dCy6cvcSbMWzKpvlk/giIJj1pYh
uktGEn/Dm2g4pVVbWp6WO+NHv437C1ynYidH2tr4tNyh6FNFrf1BVSGldaYDssnMJrrPYD+h29tX
bitl0U583nzFOGdRp5GLAR67PdhZKk+VnQzZ1U7N9mgFkXNGLyW9c8rAum+n2vr2+g7aejR6+zrA
OBApPOPtemooymEwO/iwQdh8ZyVj8lBe1j8ZfV/rO59z6+HYPhw6Jk7orS4OTIfZdICFVYLWEu7a
iZJMZ6VSq3OBMInXWSL8Dw9HlY0jJi1Ndu388P9kYamSJ5Y/4ZRQclLOk5+/7x0hjhGWqJ/f/hr/
XWl+8n9WAlWiBBPp0LVlyHwAFpbQ96Lvhn/sXsN064tRT2CNNBMijeWZVxtcYByFknBsysItwPE9
pk2LqxTst0//4almzCjdUPhty2RhhPeKGS/oqFjO22tkcdgPhU18G7Bhk3ZK3XmnLVLmGbKtMTX4
q3e2eIUJrTKZLlF87cKg8wZbG+/D0p52UpGttzcLa5KaGxuF39CYkd4Ch0WnetI+xVOYHEVrTKdy
avZaPFsPRIFDuUFlNc8Gb/dEnzr0kyoGdU2QokpEO/kKeGcPwbaRW7ERSF65Bph2L4cgGHCbsahw
G4OwiS6q3ISubo/NxejN8BjatGejqm/OJIR7oWrrVZKhQ+EAB7jmk2dmCqqASw1ZrjiCryGPd3Sh
Ei8VSXF6fSNuvkpuOFAiDGxX1IXGFJhMhWZ6Jb2G7Ty2aGr21h64cfO2IZuC8UVNzHxwcZ2irx2K
xppLDt/pjnETTzRK5fDDqE3xieQyjV30kdqjlkx06oauwbDYKna4KWvUMHfezEqBvsDFt8pY/Q49
T4qfFC/xVg2Oseqbgl56rJ/6GCkCQCV2BitYgmjvFrlTd+eiyFA0ThIcW6m2s8wFStBdyLn3ml5b
m42Ywy+jZ7IGa9d9EOe+yhAgBy59P5gVQwzTkl6yqPg5+EL+4SDW9r1n5LBzc2xtAEIDxQN12pre
q/q2KWlOmV6F3JuPVjtEX5Aq2ZOm2sqqueUB78BXw8hj8f0xo1DzpMyyqxVZwa+sE8FXR2pHVxGQ
3IEQCdcRyZ67+9Yx4pFmTZ4ZELoMsq2OhY7dIudkZIb8mCljVrq+Y7W6CyRL/fn6Qdr6gLMCHM4g
Nv3uJULarBt7kjMW48dAqdWioTyjF+GTH9ehfkYTKHwSlTwc6E43O6X2HMAXAX7GKlNfQnKn4zMr
V/9zR4ZlGiDKSTxkoKS/rxTpdyJS5w9WXCE1cNfXO6PMjT1zs97ia9ahr/bOPAJvU6VP3Vxtx5/O
pMaH11/p5jJwoeGRkNKscnDCP/TGUEvg7xfSo1TBV2aIu5PJbIUmBBhmJiXQD32llc7XlJlbYmPW
h2rf3yE0RCsJu3bzYEapqRwk04wU18g7U3XDuq1zF5edKD1k+I29eRyNYBXyrQB8KT85KIubWraS
muBHzlgV2XfNSHARtjvTA3VavP22xtoECwRiMq4gy9GB7Ou1FrcITXZdVnxuC5uuVV7ADkxH8z9k
BvNHRNByHlSsALw9w32tS2nE2ehMfCitxHgO49I/WKK3dsq2rXbQ3BQk1NCU4OQvUgNsQHLJbFBV
Mxq9g3syqt2fLCmLn7VclQ8iVvyTkjYVJH481I5QKPuLquWd4uJlp+3s3434w47CrRfkGSoUjnN7
LMemLm1JIUlWzTD40tWj4hlDUV/TNBiPrx+V15cCKHW7VIHNcT85wKTC0Y+8ouuqA6JV2ZOkUTi/
vtRGKIc3gJIhfRhnxt/cLtVomAE3c0IeJgqYJQt+ggjj6OKINjlXKKPfjeEedmIdCUAuARdkv1LA
cYPfrinUqGrjvKaVLnwc2PzA+EjdKO9pAq/jKMuwGWkAzXn5smTTwsAyJodeYt/b4zEKIu2xGaT8
4Eu5+RA1zZ6QwNZ6KtKGUILZtHRkbx9LTapCmxTaPlFYKm5TKv6jOoTJk6r1JvgljHNe/3RbrxHG
J0ANhrJzD/h2vdwUTttU8FQbv7c+dJKSPLWyUu2sst6LmERhPMFIUiOjWZZRkU4tbyKKcB1I/X+h
meufki4Uj5qc7AjFre9cVqIAndnbVDfLOiDRmWeNIfA5KCXlr8nBNcmzWtk4275gKIBu6cUwmL1G
NoaRO8dg612y5kz9oOLBl+L2XYLjgG2sAaorsFW6NEIoD5Eo95CkWzvkn1XUxRfT/TDMRjVnRxqt
/BKoY3Iqw3E8mUr3TQL4fH59g2wth7/ibF5ARrhCQMYdiTkseaSOx7L18kGyYhcDi+A+Mrvm3PB3
dvTLtr4gc1EyXgW42WqCbTaa4g+wEq+1UgnXDC0gNmgoIPUn/A8S2G2akn38DWN3Zy+O/bX8u82a
6DmBi2L/zEX/qr4Dz99RUGXXIR5bsCEWGZTb4gaueD3zkY9llShEURkkiuZ310R00gOofYysMIP8
Qj5n/kBiNaldW2RxhlCV3+/s7zWzAFIuw1ROLCnlbEFwu8lsNTEGhg0Q/MCCvA+SIjkNde9/RMOo
f8AzeroD4oWJdYqlSJXZsotms+YFfWM/poUV7hzsv3t6+cYA9PCLKIqJxoufY8igoaK2h20LoT93
OzPzay9ONP06ZINdu11o5NEB88NsPElDURYHW6AA6kaKltoesCY9c22/Nm0PMC/O04HShtFLHNeN
5bV9jB+ZlU1gr6LQpsMv2lqVdx5hPpXLJ+BOJgchJAAbnQ/Av5lyZYdF5JjZ1aH2O+o0kU4dCkNw
Qu36UfVR93FShOLGcsjRYK33tGw3zpeBwSb6/DNAdlWRYMLr4Jeu5le7r6XnQe7bk2KkxrkuRsej
J7Qn97iR3HKYNdQXKUzopC8jJIdLyoMAg5cqduTLiE+fVxnaF104ReUZ4zRhk1QWIBAga/dPVWVk
n+FBibe+dRC6nLJZpAcFjNW9WuQmPvFMMy84yX6taj17gf5uzmNX464u6+xZm2pQYPKUzngs4/J6
UFslLMynZoowlNxZI345XOHBTKxChHlxJLggBbixZ2ZH/SOjB3HKVCxOaZ7uka//Ro+bnYZg9gyg
5YKyoCIai5pM2M5kx3LsXBwd2cEHTTUhqTRDoif3uiGcz8hN24g8pV3kmrVdvfRdKZsurvVxeEiQ
9XqmlydLd74zMjmc/CT4kLN5n2QTXdRJb6Z7sgd1r/5Y7U9+NKIEiC3T2UV0aw7X/xwPGtVCpIVk
X/oq/BJjMHfWrSA5NVD9vbbRq52sdWM58mITwing9zWnB1PAxp8NUy+oNYr3vtU0HhNi/L/HQPpp
V/XHt24EyKiAE2iqzcKdy41gW4Hc6/i/Xgot1xhoJX73oPXqVyn19ZcM0co7kKDtzpW6yoZw5MB3
Fs9XOrc6PcvbVyqysuqpjZwLYKPxYuuV7ekj6oLDgLjh68+3SklYijYdLDuGiQCNFsGt7woR+I1g
y5no+B1s1OWCOx0MyO/X11l/NqgK0IRmMggvdKkI1xucJnpV1qUaUvsQ66l0sTrgPf4URae2rJSd
bbIK2uhT8dkQVGKmTDt1sStbdbCrTG3si9EF9TsnKdq7CkDFXWCUxVURTu9KVlE82QKt81HL9trn
6/iBTAfFDlp09LVX4JZKTx15ahXrkmmy/4y0Q/qNsWXHqkZufEfYkEvZsarg8PpbXm8clkWOi8uC
BGmVrHd1i2o8HItLaEnTOQFf7CEv6pzQEo93Ns7GB4WgSRJG84jRx3LjBFmA6qDWSxx7+RMAbfUy
RLJ1wo47P/SlSD+//mQby83mH8j1ABfn5C/SCNQKs2LWRb/EZj1kLnSv5ttgJ9GTKDKE+IfxzXgo
0BEw5/iIjPXnie7tGRwbCHR0ApyLPeT2B6kqZTdG8/ErsHOmO0r95/Xn29gws+DkXPoT1tg3t8t1
+P1RqyrOxZ8rugGu7dOYdMqzJlmVWztKd5lkrTu9vugqk56fEaECJj0zW3uZKkJDAZ4y1c6lzXQn
OAc4nZWuk82wjwmUUXJBxFH6bqS58qPI6nbPqXgde1geeMas6jaHocU3RYu1G0yTUF7z0KfR1pI7
n4fc6VptrcK/jjwr9ziHcd5Z/9xPdqxpnd/azqWqK/1LhYbotYiCN/cdDTYLAx8DUAvc/mU7NQsa
ETgS5FkrymnDS4167MpkL5veON83qyzemF3rekCfH1G10WmOlVOCG/Y12aXrsHetb7w2cMLsSe4E
vs4yYAcF214PUNS12qk6KN2oXrTO9ncC1uYqfBqg3ir97yX3S4SlM0hk9Mxns+miiASsfDC92beQ
j8O0ymKOA7GCC+F2CyiBomRVjdijFuefp9ZPz1mtRF5lmcNO1koFyr91m8ORp8+YDLTviItLyICa
VYMqIiyTm8G2nq2iCr726Fc8K5Mcxm6nJUgMRXmkC3coMkTWwIWo6ee8N6DU+31ngoQMQ3C9+hDd
IeiB44JOU/I5lNL4T6IGcEA40sB9ZyZZ8hiZqIcdwriTf8lFaHYuVA31vdVagERz2no4S8a9/hja
WTq6mU7/2U1IaTFxlvD3sEDdRp7TRr16SpW2Uj+SlGeya6DB0x+RH7dINNNMjg9FhUugh/Ers67R
KswXc0pymZpHstKjNOjcbE6n2L91O5FL2AsB901SC/3FHjtqoyaYnMkNh2oan0hyjXujqVGM7IUt
/yiEE/8JQ816B8U38A+DhN68a+J88j+9TvP3aYrk3Dkn+j+jkeQXh8G0wF/KnZRoXo/ry5dYyovv
Td9ljjcYRmYf0r70BxwwrfBjYsOsObTQ746abw/dnd8J87HqJdFeiy6q04PU+NrXuIWDQatemzE7
YSIdh04TgWuiwyidEiWqHjIxNJE3JFLyPUKwKrrLkf0SrtUotXPCFzvMPduRKvCjEWIP8F8EcmOd
alTP+Jsp1cEXrVp6eppV+mVqEHVCzyn+UqALX+HAGEJxkaKpq1yjaW3TNZOwlw4wyqzOiwv+c23J
KJ8RLZaSQ+VDFj6YpG0yH8mU6EC0XMBPYw0GilnRqN1bmSXqR0nNxuZdE2jy//JiUjQvqVBdcPuq
mqoX1U+Sc2wWuGsE9KwkF6xL/avkO/feMCV+7FVNDmdEt0XxbrLEYLlG7FT1naSq1R+UCNLwUrMk
n0KFTOMakR07L2ZcqvJz35u0ZihMmgdiLRIKIOFK0FhWav3AHCVMIEn1Wfzeh1da7GhVrEPKPOWf
SYhE5LUihm+DidIRUb5wsRvf+sBvP3Or9G8NXPAOAV3hrUTqvEbqlOEkMQTHLQ1noOQpRkDquxUZ
zk4Wu3qWeRViF5kcIx7A/beBK+sTybckM7n2hF6QMnV3Bc2T3r2eBqxWITzSWmDWDhCIqeci1TGj
SpGh40XXsQ2Ge0Vr/KNh5vVOSb11d9lcxFSJpKYrXs/IvSXwdUEXphuiA3yoicl993+cndeO3Mba
rq+IAHM4JdndMz0a5WSdENKSzMxiTlf/P6UNbGjYRBMyDCwYXraqq1jhC2/IwjaajkyG9oaiYkCp
Roq80SB/uWyYGqI8mhaowa8K/knkasBK0vxC3tgdsNx3hiIohf5NbWuns6HqnZisrFEeo6w3gqxp
y3Pd2PErox+9I6yR/NqbpwWeEm4BvMZ4nW6flt6y8ZEDBI4nhjmc7EXNT5awiu9KGRevJnwQ24MY
f2dj8PgToyE4L3tSm6C0gCqsi7GKHlenm8MSh4qw4WI6qljuDiO7QlLB/1a8qwddXWAXS4RG7BkW
zeAFXot7u4s4iG9Puvk/a2zzB3spjbC0Y/E0NssPDmcRxqtdPUy1PgR9K8aDY7ETklO3RqGObAMQ
wjZwpKeEhc0au4+dXWNdEHsJyP5GPfWOK76Zi21diGCPsDU7+4lBwYRL29xbZmzEFb4WALEfB6rM
YYR2yHlcY2ABg+IcXJS324kitmyEEMRI8XL5Wf4IjJfVRVbQqvVHLY6LwU/iOUo/tyrU6alKuvS7
mKIjTYjb2bGd6MrTK6DdSm3v5ZBxBRd37kbtMZ0nN2zRzTxFOnj3rGqOLmgA7dvjwiAkU/wlJ3mD
H6mRc17chp5SZo5uc8Ix2j7rahzZQZ8g2uAvc+38m1eYsZ/zos9cXzVLxz0bIqqzADV/55NOOy8O
Kf6lUThPMZxSsEIz76xwhJ8beteEyYCNOU60Qn+TQq+f8VUWRHjIA5v5Wekm663XYjh8Kaql/1YA
2f6lZXn52fKWWL94VOe9RzXGTeCVwZVlBiXNaB5Ub9Z/2n1rdWccNKavDuKAy0ONKpBziqgE/lNh
/pPCWy669dwbRXFetWmkG9gKy3mUrPH6rHnZ4ob2iBjIkzJ0hCoxYjtmaJlF6gWqMg0IVeACE50S
MQMV1ogOv5WQhgUuGWWT+TrkAStMXaXX/db02g9dB+GZUMMFzoC4n6MFIhooLiALbziof49t4hNW
ichXPHvRfbOIc+2fuRS2AATfFRBVciP7YaVtGgVEAfn/Yrph5rlKPe+rUrtwWLy4Kp46zYvaS0uk
I4LCtLvkPMC3/5GXWlScB2vu32t5PWT4HqRi9itIaYUvjMF4Na3rtD4ZtZfEz16uuGMQgef6ak2p
TRybOMhPl16+PiXqMhWhi5xLH4xqi3e5OUTiZ48fLXZ+AonAUEujXIGnbdSvXK/IxwCBmcX0szk2
fq1FWX7L+954wltFTCe9iOfOd5wsbh6yvFMfMN1Ue3/wSjAgU6X81G2kD12ttb4tk6c85KNe/Bja
rvnaVrgzwH14j3aOGKLUfCgiw/uw5MaSnbqY+PQkb0OYy3aZVX6yZuMvPnrznBnDqr1F5N+2T64+
DsU73K8wMR1hP7ZhoyvLxzGdYRuVxThelGxJjZMZlT26DHXqvUHmSWngn08pPRR77U+lq2fJYzUY
kQgIeepvRQEp2jfT1urPnbeq+YNjR+YvMddeE5I1KqDaEiKfsBhWGKxzbkXnRo3rKtB7c0jDqhti
toCqzO3iT9rcvY+g8Uvvb2E0r9SYxMHvq85ywkmNjNzHbhDS+bwq/YM9Fqv3QGsC4cYZA9g3jZKY
nAZ7er+KyHvuhKl+WBJ6mw913BepX4528YkeXLHwNc24PTW968aXzjG6b9BaIHbV0BnH77G+TlpY
eo1G5pEvVnNJUogBZdq1ub/2jUiCRHPrKXTrsXyYU61uQy5h/X2vJdb62lPm7p9W2N4PBz8C5Qk3
eLV/SpKY9EKJU/E0JXbinuI+m4D7zEah+ZAh+jdtbhRwGaGRK5dFQVELfnHkfcJ0bZ4+ICfFUuoZ
O5zzySX/RhBC9B8QA027d6tedXEwFOS2V76KDqR+7b9EKJVZF7Na64+1aJs1vB8N3jx7xJwSTUSr
DvjNTTTolih1wzCj4d+kwQzdETHWwTwVaQs3f+3s0yj+mj8jh+Q2AWksZbq25DJH0BsEwwDMvpym
c59ik1F3bRJSn2gfndVJw9HMloNU/SbqkIOCLpSCnTT2tkFiVYvfotSQAucu+jzoufmO5O5Ig+zm
xfs9irTnBapBeW/z4o2akWJtHEOZmJsyoBmqBVDwm/eDKY4Ev2RU+yI8/D0UBVap+YXC0+Y9J92h
Do6M8pVnZUz9aagxO2lzoIuILER+jy8Q2CZRnHMjjb/+h03zu2VFX5zqx2ZskVLG6wYgVJhnOUFX
9w71dXM+FU6PqMKc5krAQ6B+uz/qzuKCXaRDSbuEessWuFWWCXobk1TBqFP3VYFJtt84SvYNAdSj
gv7eUPRI+IDYEfExN5U3qL99NcvFXVczD8YFpW3NKKtwwJLibwuWlIFRQUX/gJjztuVkuFFnzgUm
F3qlvUmJfJ9ahBcOgu6b4I/gCDiPPHQeUp+3OR+Y5EoKt6G3BlErVrPx5Fr0YtKmMn2PVP4gl7hd
QArMqpQ+oJNONXaTS0xqgtN8D0M/ztgRvaIaTwivrkEM0/lgAXfmJnNlFo/Q9lZN2RkjBUYs/nZl
3JQPTV7lp7bo+0sj1DpAnOSwb3tT85PFcy4uMmiSTeDKL8Na0BWW3adTfjX7tFjCBm1HBadqo3hX
Ktna/tK1nNgoMfSJtmyeLG+rGdenMVk0zV+WDOkbi831MDjSpfn+Ebm95bjCIWtxNqUw8vZSiMyk
HBMTK2GlcDuMrLToXRcNw/v/MgoIeT4wjbetno9ntJRDcpei56DXoYLO9msilvHn/VFutxAHQ+K2
pFQYrafNJWP1EN14PRB56JII18Qo9tH0Tj72w9wewP73hsIfkYuUkj6yXZuhohy/ghzqxDXq9ex5
mQvrXVSu0+z3+TylB0fj9htJm1RqPHSYAaBuASawYA0vnlA61e1cDSYjSc+G1h5RU3amxPsjVc94
idAd3hRFFjtfBVX8DEdd5VveVWU4K6X+iAbpdLAbbkfCmVQiImm/orSwLeqPQ2MNdYVinGmJ9VXU
LD8LZ8GwPTX+2ihb7jgYvvL9pn217c6b2bR2SJTmSLVDIh4rKrRw2RRfT+ojWMxNQ1kOxWQoxoFI
vsGj9GC6VOSgeV0F+ozx0Dr/eDBOzwUqm1+EsO1PTHl8rNMY8q0CDO0gW78losgfAGCRWh0NbSx8
X14y4+hYQtS8QEvvNPOlrFLb841G9eqTU0dV5Bv06Zx3LW6Lv9y+1vKw9+g2YO0ZIVFQ5C6aNn1i
O36sKdZf87r5cfRWwOtwAdyaYCB25RmdRaHSjDPtWq+2eaEgr1wEBp8HN9pefEp5RKcpiwgbG/rl
OqDstBDW8SFw3oXbW2rFa7uyc3+agID4SUQXQHTrESRj7/MDGAV5IvulN+ziHrcA5NaRzccn3Toh
s8BNPjX2xSAfv/R05T6heb0G+ZRctOTItun2QSOkw2GEEhkw45tL3DEmPP9q4pxGscQnPNMUP0bK
0o9KI8993HPUg6rm3hqDZobbBfyE+p9cjT9KQ/gWqpHSw2+YLSv6PCaxEuCYE/l5P5XPQ52tsu5R
HwTkt9cGs/z/gxLQvRwUcj5XZJYSYiFVfrHQB3+aGskkbw6V0XduXCAPwCPlxQuHeLOHwAA3gwuz
9zrOOsUQartv1Cg/ekTkn7INyKWXhhTrlDqa8rP+sYpGMsCTjpgQDTL9PUa35bkbrSpAO8vUfDGX
9iVLpq+K1h31DXZ2KzpF4Gx4JYHI3iRUDUjKZlnia5Pr448Y5auV8VqNvr4OXtdHM8xr3tWV4/zP
WCq1fULCNDsCBu8ssg4zhdq4NJ+9EbfQRqOBOl3FeIDbC7jNJD6bijjiPe6MAhVFAou4gLSbuLJf
xUykS60/Q6HgyZvmxAqcrHaPdufuOJQR0Q3ypFfAZsuAyJh7G2072NKphp1uEb8pYAQenIGdLQPg
EVMiavy27Mm83DKam9v6VCrKoz6UVUCP1sPWW1upGTX6a7fO9CBBU/5tDHLs7yMeskP7N+MGKMb2
0datRB1TxI2vaRwhVWcp0Qlldjcc4jU5uF12lpKSLIcd8RGcXbewk9gYJ53LG8tchAvetpOjfYcc
lx2MsnOHUcXgJzLUb3L2y6Vc0yYdlCGKr8LFT/KkNbH+y8ptD7WfuWjdM4SVen4UMbnOQW61c5H9
PzYWfS4gUlvsWVGNrXB1UBr9RLXMS/I2TJe1DudKSR7/OiQmDna5XNCVBT+0uWImrUsLcGzIyNcp
dqfkDxUYxTg942+k/4dp8SDIphqwr5t6ej7mSJ1HToyaYTzgrFIk9sMCB5W2clpNRwade4tI04V0
CgwypHe5if64PKfW8lol7dJr3vC4O+gzhVMTWaGbKkeNnr39KJNSsHoOEeu2RuPqWu8W+kouXEXx
M+XF5aIY07/3v9QtrBoHeIDMRCyAamgebSYkvNaabKK2K9lRfcqMvH2HYhTW6+1knOasb0J6vbiQ
Zop9itLJQplz+WsgDL9BCiOg54b8Drfzy0VNUmfI1IjIfFLL5rEwGu1iTKipN3G3HOyWvUXldEst
Po0H4GZnKqmnZhViqnmR9A/unC2XOXfTA1bp7qrCQwY9Ri8L9ZbNjCgo0gGFQXBVa00PE6E7Z7GW
q+9Agw8GdSjCCUGxQCBC47fLUL5rIvOvyUtyVWGDALZHtu0GCpkuy1jEap1CpRXinFIAAXApJh/Q
S3GwqnungjyeuxM+PMDrzXlPcMGuh67Fz32OsQsbFsdv57n9tnSHCIfdoWB5A5kjt7qJXhrHSEwL
jvkV0n120lFFC405hQedGn8NW0VdBZAlh4PiAdyUTf1EiosZXqGVcOyH9gPAGeczwiSIJXh2Yh8k
p3KFNkGZhFMwHD10dDQ2L6zC6XbMCkkXpejHs6qqg79KCrbeZspFrWr3x/1zv7OMjMdwvzFoN8de
VYYs1lU0c4Z6LRPEh/X+lUE69ha4VnSwO3aePMRj5FASOH5D0B3NeoKzICmPtMmz0CLWC1FI8CqE
E/KSf2Dm2QWBW+fD/TnuRC3wU3gRwMNAXN3Wv1RLGDXisUTuulhPrV6n3G9q8cYYOxWN26yjMTWo
b6qinP4+aqGQiXgrhBVZqdmch7ksFU6JhQRCP82hFSdJiDdicZrLQ3/gvauGPYoNohRnJHvYXDWd
vaDkVeAqTofXbHwntedTrWvzOatsG/a+oTfnwRbOVVcAXoVibgb7qfGM4ctfr7YMDSk5UlC9fa5q
xUrjQlewN4iG9jlR8i6g9kavN49+5TpuvirONeE8wzK7P/DOlc7ANsQYqXt+s5VxpjeW2iZrSkrd
e4Yqbj73dZae7o+yc2AofnOjo/HE0+HKTf7Hw1/FRcMbRfVWpzHzUVOH6azHi9TSOBQ53Z3QH0Nt
7gK8Qkdnpv147efaDj1tLUJHHY4qRzunQzoTm2RkUl/4N6fwjwmBcE3qTibT+TSV36Htxp906DuX
mpjj0cyqNINBaFX0be2h+nR/MXduuxdjb86Hbixjq5LaXs28rE7Icjm0nyiecntofsraHmyRWy69
5OtTnqE4I0P7LWJNNFm3dAqiUgA/4wQQQVw8Zn3ufqF4hQvgNCBn5XdAfkJ1iWJm7hXGKysW6zOq
geURCGRvL0nJAkrzaBAjlPJyL2XmytfHku/K049Wv0NX9dkGy1D7pjENH/9+raG4w3E3LEBDv++P
P74zhcDZ8IA1oCtUf6vosZ2TDGFlSI5pWGjzXyOFWGmUSuS7wlV/07/0UDACnbpQDU+9+pqYZhdk
jqmESWxbB7XHvR1MRkrUSILt3Nhr60kTTYmBm67Rgq4ALhol7yZFoJmeDEBeJiemhdGmdjSHII3y
v9/DRB+y6Mq1cBvzgEdYZgs5wauarjZQneaXuiB1Y+n18C5zsuJgC+/sGQRZsHPhDeUO2j4p2mS4
SwHy+Dq2Y/8W1Sjz3yaemn/qURmObtTdsSSzlIKyfQsxcy26QYONkE7vWPOrKrKtRw0o2uNgQa+8
vzv3hoLrQUBu0QC4eSmrSKX3oHGtJv2YvF6VaT3bcTl+zJRGv9wfaudaJcbl5obHQsV8G87l1WSr
IqJPU8xW9nYGGPwA4OM/fCfCUlZOhzm1850ims6Nq8qeU5P8s3R9E/QAdp7HoTMOJqTvHAAafDy3
pDNQYrZHW0FCLotQebhO7uoogJdrpz3hiW565xmITRoYbZkNAVwzcFZ65dg/ospE4DdrDfVbv2LM
TGoiFvCalpZ/7MqZ/yTpJxtzFGXs0PEtYv6+txYLOudEIOyUpYuo1YB2GP71SzYGXuIpaYjbEBs+
FqXxCz/rKTurVoQBQdq7IHfuf8WdDUNjRcb+kKBk2+3l3Qmaa/DmEiIDMqrNCUbXcvIQnHyTdNPb
+yPtrS6GkcABUdIgkZL//x8Xp+LmUdciZ47+io6yMXjMizvb+QWPBoFHW1kGxhDPePFhgXd/5J3n
EZgwH5W+vuRAbuY4OH0blbrAU2zMylPGevhNnk+XrI97v6zU8WCmOycDhCvtdpMX6RZzQq97wbQJ
DPRgm/FJiGj9CrLeOwjH977cb764LODvwCL0JFnBMKbXaIWfl4369F6ZECZDePco8t8biuY3/kUg
SMnzt5+OOqEVxyoFhdYWYZPG7RmOSOHnkPUPvpWM+zaJG11FiYKHZ8VjLtf2z12yQLpX9Qh3FjNT
povdG81XXUHEKvBElJ7LOSvfQTOt4/9wDiSWAD0wArib3nYzac4aZy7jJgAD4UvN/5TR/HqInOb9
/d24u5i8OsCSiCBu6gj0ZQHEWlZ6dZQ4Q2kuNgPURs1g0cRRkL238eUWpJZNxeLmkeun3+2PJUX7
ZykDG67s9yIq1MDy4uWV01BAuT+136ZI26+Htj+BEXxqtsvmpOElZoPtRAHImRLrK00H/UsDcvad
Cqr1i1WXyce5aDDnSZ02GVFij/R/BdiJDy7EGjVQB0dZAuIdPDqdsake0SIYFt/t8MubMEDtz0Pm
jN9Hq3Nr2p7NDM1ptpoybHVhPZlrZR4Z6e10WKgdMBH0jPifbXmSt2I0UYzJrtXgjjS6lfJnTd77
QzhZOwbmarrUf1p9Dlc6RJ+Mye3Wg0dp7y5BBkiWnSRzdHseOsudnbZxYPavlvhi2CDLRB7PB1ia
vVMH6oneNl9OKkC/PHWQhPrRksgOpV0qgIppd5nT8pPnzc0DYOE28LBLfri/WfbOAUVXiROng3WT
aK9knl1kAr4YHeUHlCPtuc6z5EEv+uGgYLJ3DFzJJyYEo/i0zQ/WmAIFARfomFVVvrmKqX03uiKP
0TVbxaupq460xvaeOg84zm/AIQzBzXImHn4dtiUdu5O2fsORWAIvxWuqVlzTV+up/2x0ynIqCvbu
/UW9/ZAGxSyIlkD+d0BRnQFRRQhu6t6bihMOzBOgaXc+uVjLBvOAn2VTWsnB7rmdLoOSx0OHRMnt
BqC3NkQwWYZnpxL11YOumD8mOzeDYo11jI4K600XCSvUsb48qAvtoCUYmZMpxarpWWxPh7tYRptO
WIqYos6/0nAtLH9K1xUWIrYCJyjJ8J2zNkd8oPeUiXvH8j5HXSdeN3g66X5HCKsH3VgkR1fvrUAP
fS/oCJIJYexAstA/13WSQvIZK3M+g+WowDEhox6FljZWvzAYExbsAiV70y199aOMVwIis9eNf3JA
o6tP57AsDh6528uE34S+DWRfskoqai+PuSZmoRQDwbRaDv2DMSJvardwEu/vwduDTVkB9BbyBHvi
jE6V0foWhFteVFrXUcndJKiLVNH9wfTKI1eZvc1HCgcij2KEVN16OadBK1N3ULii8yRVnsrCUn1P
LeYTyaR6KVVjOQ+xMJ9M5H0OQpXdeZJMgU9GuPTGPAfaCczHAagVmBToACPI6bbhGVM0NJfuL+ne
JKWeNpRH0H039ZbG6LISJiWxXpyUjwkEkDSoIk8xQ7dQKtzglsj93ERd/ZStSLYebJvb+5PWC+EK
qn4Sj7ONn+MstjOTL3htjKULliLN3zmxk/irmLKLqefJwZvn7N1idFWpbiOOIpV5Xn5TIE9L2gjp
UT0a2XOq95OAA1xXPUSLFvl3bBnLlo8LsyJYhQs5taBj+d3Jvc49Oe4wi0coGkv7HnE3GCOr4cKe
TaZ0ej0aa+9+GdNJ6U/UzLLyeXV0wa04gLIJye8s5aG18zm64Dyc5n4XLZoXJib2d+e58TrjVI5g
XJFyjarOp1QxGJAKxuZ5ssesxysqslH90rXoqcxHqAbCXe0vdKPd2FeTppJ0GWE+R/WQqAG42LGG
1N+L94WToio6zYohTugvlempXeFH+E7RUjOLeRdxtDCLUYKQDHTGRhp/CpNOBaQbQPRYbg2LMaPb
ZI8/LFC3ejhZs0OHsx0LDnnqLk5QdStWsrrVt/DcOqWawlXtelgZ85jbfr1aox4WXWS7Z31IE80v
arWcOb+JWV+VDDf484AYfvNAHGd8KqtaHZ5L6B512Myj+lalw5/6Q2SPSbj2k2a8v38EdjYhaQHq
nbIMwJ6Qe+aPxGCu8UjRa97UHEszv6TXEizNZL7O+N0/7dgZP94fb2cPYoJgyRKnpyPHsAFHlZpY
e6VJs2shBl0JTO9ViaJl4UdqbPwcK7V7X45uffCS7l0pUppUCrrRqd5u/AEBC55nMAVLFhshtSus
F4mBL83U9weRwu5Q0puFSxNdp+2h7unIN6ldgCnw1vLMLd0GiMpETx0G6fdXcufLIR5DEoIwg3wZ
5Kv0x5ezYOivZTrSvEXJwvCH1s7ek2nZl352+x9Wox6h+OUf+DILQW2EcjCFTEo5N5Fl76wjwKgG
pnPpVJavRHGDbaXCfXFwLe/NDO45hXBJ4rwRxVLtwaZXgnn4qmZtMNFzDget6X3KjiMZzHKklrb3
zei/wWWhyE1ssbkX58hELN3FKshQ1/qCZ1QTinzs3g80cE/3P9ruUCh+kTrii0Fp6OVHi3lNR7VK
squtDuNTjAb6VauN7rQstvkfdiJZAEmOARlW2zpGVAtQyiKbWcWqMk9Kl5t+EyftKTGhLPz9rGSl
i/6rLUsMm1n1tj0bSY1a9FLOaA0q05w9oJUWRSSZqLnfH2znBoFzi8QeNaDfqlsvlzA1tQVVDens
Z7h5YKyeO/jAlgcfGYr60qOS/Zo6xhH44zZlpWcIE8kAPEvWur236kIgq6oSD5Wzmf6gLdWcclNr
XL+1ZvzD6V5E9GNsqFbQXD37U6wM3mHwe0vKBZPFf45KMl0L9ClfTt1RW94d3s8rLDOHklTVKK8V
b0JqtU6a4hViM275Poaw3CLuDzo/wMan/lSqakl8kSJKc/Apdg4qqHhpEiULvDSxX/6eWSv10U4F
KuGzQO0PhUm/zYTuW0mbn+w+OuJj7DTIpC0EtHI2GbUXdbMAHi8TODxCpkTPdL9fvPmhGVbXz+rE
CXOryR9sR9RnM17jU76uGcXmIbquLoao9zfhzl2Icz3FT8D6kgi3+SHaaKlp6fJsZkUxPDiRlb7z
SjM63x9ld76UkWke0TZHTXFzsFranSg/Y5CSuRJv4ZbeGeNqE4d3ZGC60a0eHa+Gv08eFLQW+ilx
B5DHpMB+uf9Ldu4tAFiU1eiA8FO280WvTwgHrYbrvMxxiJwhl4mVrwEu4kfVrt1JA1lheemCyJ7v
y11VdmmUltDsrmbUGKOvis61YLrq7U9ixPoNDMrsk0gH68FKllcTyvikepX+2CXdkcz/zlUj24RM
m7sa4Pp2f+s2wclaM2urU+DWJsX4RHdreGsP6XAhGW8/U3WYj27unWERMIBbxnMEp3NbHov7ngod
FdVHrZoxJBSrm2iBgYrpuYWuVAUw2ZEP6moX+cb7n3lnZPhzdAtlbYw/a4PSqJ24s8c+9x5Nq3fO
el1Vj97kzBfFhKKbofWDuUx1pMu1c5aAzErbFckMuakGGuiNOEnFoCk+DmcwMsXJHqlx3J/azg7G
7YuWDNUJao9blhUAdZc+IcrRGdDVUGmyOGxN49xBof77uwGXPsrQ3EUUx7bhRLyuCVBFLsQa1IU/
G63+to8z/WCUHUQNksDMRoIRGWiboWPBavWYqqDxilnZFEx9o7zPNLcjYpriVPHXobbNZxXkvGRE
1Q3Cs0kn4lcNhZ3s78MaPh03lIdYBJt2s2/Qlo2cSO3ja0SyeBaoFnyacsfyE2c9khbcmbdkHYNK
5gGQgYBM6v+Ie4l6CzBvoLztCnPVyovWhXdO0350erk2QaZ5TX+q6zX6kEptiKDKuvGN17fGz/sb
av+HEC3yIMEuuelrus2YjAM39BWNhggzKZEGuN4aqU+hLILB2GnnLqmXQE/1JSzTWff1yLR/3f8V
t9ua1UCp4zdjE7Ujebj+XI1GWDXG18rjoNboO/N7EIpybUSHrfLgBO1OmI3GDcELzJbTX45Vi9JM
xthSHnNpVBYYcZMZfioMXGEL0BMPyAro/UUkqpL5TjRaybm04vaKBjK8xvvT3nkkADsyXwqjEP/Q
RH35WxjOy3vLiumddQmwbVHbHzJ03l6XcT3+L1OMFAen1Xy/FO3yOAhkrk+Yg5qGX60JGl33f81t
cPjyx2wXRlNJnlcYI3qlVu8Ty0HRa9IW51WT1VNQLJqL4BAUMs+N39bogv39VUAoBLCVE4h+IuJG
Lxej6WpjGFG+u6LojQKDSYT/Gxn9A/MGQr8ir73XyyiiM1p+UuBO8a6shVId3AK3F7mEmhMNQSt0
pNfay5+RmWzG2B7ia245/UNp2YsSrEXaDQfj3Iad/Nmk8RK3SGtl++1F73iJMmmwScwZMpeTgcu0
xHBeLTvxEUVT3t3/vHtnTPqJUFr2TF7lTc0iQSltNb2Z262slbCb6/nSruPgIzXiHfAu9oaSvDzA
M0yP/P7lElbuGFfuxJ2SWUrqxzT1wthdEeirEOc4iN53xwKTCVJQ+rf8FmP84+pwMqsqqyqPr32W
dJCBAUVanTqDLbOO2m27Q0l6gEtGShNlc0tVOQCCObHRuy3U5B1iMuan0p7G15h9eV/vf6y9TSjx
0I7E69iU41+uYBcpuK/bGewtc5xOZh0pZycvyoPI3N0bRrJjgJISTFATeTmMUcaWiKYlevTSYU7P
Tmqq/fMCKT1+21va8CVt80ILSmel+zzWTf89hbmTXVDUq/IgEZ6wAh6IJQXD52Ufy2XusnM8Uiv2
m35Rf84tT6dfR7PoEAdq0xzfl74wLy2RxRqO60Llskvs+N/UzNra5y3ChSYx0jkLRFs4Y9h3ChzH
1bHSJNAptvxbQbQnNbCs+S32RHPkUyEq5jdNJNjOKnqYfTB5ekXOmLWO8xC7amMGY5LYFU9qYZzR
3CgbpO0Guw3Hfp69Ezl/PuLFAJboWdVX91Om5XP5ChvfHqFqFDFPi5lhs9jhkfVQOFUJPsSpk+xh
zW3jm11gBuBH1RBHp3wey/XiFJPSnbReoNhZq3XhviLcXx7iGK1OX2q/vDYUASZ6mZThc+sWZfSY
GG37k/TWS06KWufPetM3qCxNJcI50CH74dSDIUf3KUpRh2yRNBB+p3bxBxIm9CeSGM9Zv9OxevOr
SlsQj+pa6mapYorv1P7T7OCh2DkHoIFk01TVLCqgm9glSmkH6+jfPGbmVDzxruPmW8RAPlaqzcnB
+b7tbpALS2MYnmpkNzz5Y/4431HbCiOu2vTq2XF6op8w++iFr2G5qv0JhYGwKgu0BJ3kaODbLALk
DBUIWUuzIFBu3oFBF4PROm5yNdU8/5zhvPBl0qYMHXbd7R9xFeYt7uvYPpjvziuMG5tFkUbqsUPV
eTlf10iioclNqryJ6N64LMoDqvNvJtNdnzLP/B9tTeXSziOFeDE0Bxf3Ts+Uch7lZYhBwArQBXk5
umetmln2Q3pFRrTy0Nca6wu+TNSlhh4OYteao7iiDql3PoIk5TdwRsPbwfBIJpFrzf1Za41LmgzT
w/37cGfLUamQjSaX9+sGQO2UcbmmrQpqSuCiydNJ/pgNczjTFDvY3XvfHVdDLl2yAJ6VzYZLkV/T
16xNUCJKbSil6xAUXvlLNWLhZ4PnnegZH3Xm96bHFWxqMFIkvGnzYCbZUhaTC1ER5r5+5gLRHiNE
yV5linYk+L03FHKiJJFk51Iz4eUXznvgZwRYbGuNdqtF7yccW23EErtaLvc/2k6EQz5MJ1nKl0rr
l5dDRZPnAk4xecSyJTJ8UXjxq2kQY0/bPesvKdQw9eD07AxJO1L2I6UvJQXjl0PGuLTguOfGuIzV
yQmPAesj/af47CWIouXWrBwcmJ3NIpu8NC8gZN2WtkRmTFQwkMhOPZ0nepg/VG0hvoHLtoOVa9K3
pmX5DzcT4GRWVpKloJlubqYCOLhjzx65Y9oMQTvq9htlqUie564I0F3ug7mu/9q8ka+o2dSq0bBC
Kd7eDGojYeiONjHdbAmEEmNKkk4QcSCc//AJZTRCjEpOCgzu5SfU4k6g9LYqjwam1D4NjSQwMuGG
UkfuItJCOd3fpTsxEEVxKD0SSUwdeDNelEdl5vSz8tjmbf3NcashcHPraKPIP+Vl20kykam8002j
KrY9dko6rpmTu8pj0VX6ZVqGKhBr5QadaK2/P3Z0COHn2GxKUvrNCV/mxRsKj6FMPRbPkwLhozS8
r1nWuCe8PY9UnfaO3B/DbQmlGRhmm/4wuXvipX6SWNplMao+tJJCP4FOOyrX760kYDQeR4viv7PV
GeuNpFucaPYeF3OdfITpxBXdUjMYRqU/wOruDSXZx5CdpQ7+tji11NA4NIQvH7sll3MR9YNZz6zi
AJv8/i783cjabBB2iASg0d+9rcN0LWcrdxI84Sq9erCRGh8AFWTTo0vz/nlWI+K6KW+9/ISNdfaz
NYd28idKzwCVhoUTaRqLuz70lYGad0HybH9QU2/tP6Lba/YnEx8ZNUCaPmrCUqyq9RbTNP3iVrn1
JTN7MQUW2JynpKjsD45YrS+ooRK72/ZaGK8pyjnRmWde/KwLo0RUc3T754hcKP7hEnguPrwPnL3S
GWBZMOtakoYOGHbVn5TI9fzaBCLvI/Pfuz+6dezVEyzW+FuKWcniF9akmo9uW6lTEKXq+DXXs2m4
IIRjfaYexyNFhoJKvpEgXmcqWpz7o9MtYA8WJ/u3pHRO5+j+x9iJOSlD8JfMX3lI5L74I+ZcbTuz
0xpF50TP7adiyqNw0VBalw0ikg+SZgWQyK8Ciu/B2d3ZcRRdYQ5BsEdqZntNdBoBlIoTL34YljhP
/BthkXTUexZrfn9/knuFMAkjIMRFSZPx5Nv2xyz7WunBmRnKo4J538NCbgtFTMkX4mt2oFIsis/j
NQVtYptvzMr4jvZN8+7+j7idL2Yu4NNpT5g0ZbaFvxInxMGqgCSWfe0FNjDeIGqd9aPR5+vBU317
z0vxHtnkQ1wZstTmWiz/j7PzaG4bScPwL0IVcrgCICUo2JIcxxeU7Bkj5+5G+PX7wKcRyRJrdqf2
tDtqdqPDF97Q2K2XubSqZxpDt0S32m1dDfL3+xO6NIqPOJPPEBeqLM4GhqdvCd8xdTQeunW2E1Rs
zWuYL+P81kVuCWUewCfuDpA9CXTEMqBFBM4KtJ4vnw0gLq+VWjY3QkauVhEQa0roKGOIj2Sz4gvu
AtvNWkCLLTbDfYW8Wvwq5zEArKznn1dsBG5ntvOX9xfjD3rj7aVGmZWWEyp8BLdn9U3KNbXpt3N+
h4D1dNdRq1lDXebNb6X52S1pBUKDJtTAh7XNFHlvs31utmo+9KXmxY7y9KPypPtR5e6WvP/TLmw8
ujVIc9CuocfhnOyGXG7Fgi8MQur+pG5wGBxvnRR7m9Y16vi/DwVrAMivSb6MUNnbc+ZrPm2wGlkV
oUk91muJ50I7pIfaqq7KyF3YfsDRYWLwjIDlPG3wt4QFIOKIRzNI36+KEmoTdpQZq5vUkvOri/5i
H0mS1ywcnFR+BP6iVAjaR7y6lDXEg8iQvljsSdlAwqj2xMsWmD97IF64L/uQZUJkWLflmGe6oLSn
dUMVDsqaPuPeWHzzx2bOQ4s27+1qLmUdl1lq7KWXbvkROIBxY92R8qnfsdix5W6Iqk+agSpq0yzo
lBmZ0zuQp3TrVdCDofxbd84YKt6Q38vc5X4oENZ3aUis5RCZeIekVKO74tOQb8E1/M6FHbJDKsmw
qUbTEtr/939djxodr2rK0VVp/EJF5rK1BxPY9vNiddegO/tmOzkmexMeVwQ6DliDnGxGGdSOlQak
f1tb/jCkld9smiMiv7HG2PQn/SmADRHjRq+HRSvWK/vzPIeBD0jBgXYfYjw0MN9O1ABx4MuawvBo
VXrcjIGIoSEPURYEGAvDCwHWOFyT5rk0ZYsIf3dvRfjw9FBks9dUGvLgd4te+oeR/ksi3GnH0sk5
fWnTdAWUkjbpTd531BUGOQIRfv9cXrpDd9LSHifTb6AG+nbiSOXMa5CaKarXomLfBXWT0AZKg98r
zg3Gr4BCkwwVjY9EgJosbjF34lHcaKNrh7G1zae5Kv2v5tY6v+25m5FT9BTF+23WriEXLi0XzQig
+9SGLtRlBhsUlzemSeNu/gByAjwZItUFMWBP8coNRVGYHtydbRlvezfL9S9GMdn+lSW7cL2ApWan
ApcBV62fhAxtoZMZVSPhiRWs0Wy69ZPdiv4/UzJIkNiOMAZ2puppRiaqypvQa9eStS/0OXa0IH9Z
MhRBo27tRvOIvnb/+f29cOE5ZfN7kJMg05xXRbKaGLOaRJpYFa6f8aj17s3UqDU4gNMJPvk097+8
P+KF6wW4Kvt/R99AizrZfJORAj2fsjQZuRAHguqDsKgXLHXVXKmd/anHnlwvxPIoiiFjujebTh4g
pxrSqliFlsyLqz3aeVB7IcnopkdFvyw/2XAbxgFgkUAg922zJlVpFD9najdtrLX9+IpGvzWEsO2C
f1IX/ejQ1lzj0alm5wl/kGUOJ2MojWgz9AXhy0bTp+OotNa5W82eqpk3UUH/x5jQc4nMbF6IAdI+
C3AzWMYXORd4mZrrkgJ7q8z+i1NMFFVJkvIGMxVSyYNSgwKCkErxk3YLUknmotmflbHRXBr7oH3S
6JQmAfUsEhah2cELUYl+j3mZYcS2st3uket7Ec90qkBZ+7Jstjg1anDfyh62Z5uQW4v8Nqig4Tat
Nt4WVYuOvd8ORh5r5mhjr4ar4k0AHbV+JvQH0GN2K1oRox8sToRHgCeiQpq6xP26lx8HXYwN1VOP
5mle618kXJJPElmnMdRyTT0W9dBniM5wJUfbArqxawL/k2WRUAHcVt4HCyzYV9+YOh/gDKLTcdF5
g33M6ZqCc9/KZYvbbVuGsBkVzS7MLbMxEqyLCrcMR6ZwaNPcj/3c9bmPmrSWMXY0pYxhQ+g1gixb
AMFk6Wp4J2am6aFX9e1fMCXwZUJStfz6/mY/f2Lw/ITi7sN0Qz71NGdXo3B8en9OolNMPgjNLL7X
qDMf9UahKLk4yxF7gmtx14UEZ3caZdeTx8EpPn1jckEy4zijm6yoi6GSZA82Old2tzr0JAH4h641
Zv/Uo4XXGdVJn09i5uNa30NYqqYrS3B+3t/+mP1q/Vc4gQwRH0fzYPdXTRa32BEeOncwD4t+1VHv
wmqDcYauTV2LFvMp0dJzGw7WbNqJwc0ZAe/X76TT5Q3ulVtw3Dgoj8JCXez9b3xhguBKCWK4ZPaG
yX7F/muCMPNEIRtlJYpr8yZ19SFG2gBuxnxNaf7CSCTmQAX4D7M8lX8thItKeYmFjAS7HQ/CKV+E
nuv3g3Ty7+9P6uxd+KOqB1DH2WFsvA8nk5q1oldmFiS9qb1sLOudMU+fg6lAQ3CzsmuPwqXhTBpr
PAjM8Kzta7R2ByypxOIUj5rDlgs7IpgwoqBMrchutmv2m2cruXfW9syEuBNE5KnIK04huZPqGxi9
1Gu+pEqk4Ks0LE77dtOuyU+cxTD7YBTskETgNTortGIQmDk1soKJUxVFetuCI3KiujWbw2C6k4y2
dcBvT+HOkXFL5vXHSW7tFbG4SwtMvPeHBenw8J58z82kHYGtqZf4tK0fs9X26hsF2nQgtq/b+54r
9Epk8Ufb583ry7QJZyw09sk4z1Iym9u7AdgTJHnlu9PtYEz1Flv00CAGQ1NQgKrwDGmNwoEDF8jW
ig2h0r+ndjYT4UnIy7lfZV/6Ip/BN/RTNUGtr8W1mtdZaMfPpABDWxeELLX+k+Or+RvPj4YR7ACM
8bOJavM/nrL+swL5PgrSh1DFgH4Sdb89T4EJWw2fDfxe22H50TerC8ZqpcefoZD05f2ze2lGO00M
SB/lh7PD1FnBnG70MxLUTpYDMbG8L/rCjN8f5dIRQugkgG+zywydHiGiu6YhWWFXl3MVVXjh3FBf
7cM0oKb6/lCXDhBJPbgQaCu8pCdxnDtPOC4CYE8mo9Wz0HOU9b3n3X6Wskm/1aAScuyOspHQNV1A
8Lm0TdYrGcClAwRQD+WxncbPpN9+QANTK4yyVj9ZwQfudqCUDSCDTaqkkNtqeoIZ6bV5X/iQlNI4
taQE9q74/XbMFVFzQnPTTUhp/Lhtm+HWQvQ/eX91/0AuTw4qGRZxCpcTF+JpW80eDV8rdczeMghW
/RR32zSPB+KL8lODoIA4lCSyfmxMwySwjnKR8MRzqx6fUDAFQrMVTjdEOKBozo8RY6QnmWKEEgIR
z7JINzaxfgiQxck/pF7efRedI7T7TSKMFa2Bl/2tbLshxtba7YjcbjBFuoM9mJ1qmGxJ/Cswu5oM
q076uUu/itYr//ZlVX3CBdvyY5R9Vv/WtPEJiuZxUD90bwVjstjz/GsWdncN3X5h0+8CyEA/dkEH
agZvv4g+K9+rZozLPH8cbww9m46tsrRjJ6r2+P5nOQtmqIfQmuOVR9WQh/FkqLZe89HVMOFeibUj
wCBBONl5GUMK2W4csyFlQkbs8P6g54XLfVQqlvQ66cefoTAo4Va9g2xigkSPdiQvb0kH6N986gzD
uCsIJbOopaf3uKjB+bhNVfOoUdD4KNyqTFwVwCERtun+CJDjza/kcxeOg8Oqo1cDjZ9fd3IN8HA5
W9lTCzA1t/uVas72vGbL8P+sO+kEHBWThPg0eC6tyRPF4AeJ1qFRVyIQ1EVpndvjgwehQSalNnW/
hrJCUPz9tb9wyxGK7A8ECcFOnn67t0azHvuxVGkCMJlWTyCCeFuCNFrdsj3MZaffiaUODsLIlheM
ev8zCpYvT/mB4JINbp/tN3x51wpl/YDg0pFJL4Ii0sq6ua1H2aNmZdQPY9DIwyRn89jXjnmlS3Fp
9gDy6McEhGQQIt/OfjXcsjaGggjQ98evu5zDR8fqdJbeQ63PmNp4MOopJIGco8XTr6KjL9zvWELy
nO2iMPyC/eT/K4pnvquftnWa2Dt7F7m8qX0q/bo0YiE382nZTK0lQxyHf8ptztl4lffX4OT2PYiO
2UA0ebOWW0Ej80ea2gQprV1kTwvs6P7KNrl0BQVwznde/x9RoLc/dB0rDK4VoWtbjMOPxSw9wALl
Sh4+W9l85ZG/cOTAukFup+u457AnR87LlkUbM9IAE1QrnVLh/HYXXf71/s6/sPbkTwAEgOlSrDld
+zY3al3TOh6ganNvUd4yvuSrEEc9tTU9EsN/pn9B7KUftiM6UNw9i/4rS4z9POZBMldtejMhJF4e
vEaOzZXM8FzugoHAmFom4C1aE39sOv+1qTYTKY60JHBpDYFrRm2srk8NQlo/8NTSuk9Buqqfk2kj
jstDIF7NurBxcAlsas9eW/R3pdcX6r9voDc/yny7gfD19HC6HHzMMsf1iFZ8+mxiGHwY9HS7Erid
VyL2BQCtwEsGGorg4u1Yg9V6Y9frfrLYqbyZc3BPBeTc0OuC/rbhtokgWlghR6bAmXShSCXburqy
iS+cGC42myr/XhXhYXv7I/py2Cqtn4jweW4fbVeDjzZ26R2qvdfc/C4NtbPN6FCiQ3wW5rdyG1en
YWd1tsh+T0LJA1bl4qvndp/fPzMXTiYbF6z+TiDnxj4JDwyHSloBdi6ZnMk+NGnWvWxT7l3Rkrlw
MhljB0SCXT4vD28+jUtnJOpFimr7queivJ3xa3oqWOosqgLp/nx/WheegZ2CtPP8eQopSb/9VqJs
hJfprZ90EzDl0JuH4ke9eOXyPTcaIFd2F+Sv21jLl6WGohspNFSvHZBLu3YnxeLogxAAunwnPwLR
Zm8a2tlLUP6cf9CbS29GzImn0FdWW4YpKUAeQuZrNxoS43gPRmC7W32sTq6cnzM8BonGXlriPd67
VKfX77qlaF9J3UmCnPJnJn0rNJy5OpQGKsdNX4vnVW5a5CAldOU5/vPeniQFsCU4s7u+CQqBJ4fG
w3LHm7PBTXyv97aDvUz2ccAj1Q9NZVrqAZHLfgwtxCBuu8BKP+fCSz+Xgbd9WKcqvXaELwTDeNXs
iGQukZ3c+HZbpKRYeV2nTmI244TREd8nnCE+xC6yKEejH/uD34zb6/ub8cIZQyLRQ0kQYPA5QZoL
HZD80LhJI90fwza093AR8iuVmQtXBorSYJ7hRGM5dNoDJa2sIXgzNVFgcd/oy4Bu+CrXn/jVucPh
/RldHAyQBt0XAN4YrZysY5ntDtsr9eiy6ZIW6Za73SA2DqbZ/u/ROhVocJq0tPd+z8knG/XGTWt3
cRKqOKAzml4cV92prpyQi/uUoBU2Oc8iIoUnUfOiN9acrqWTbPYyVAdfbxuUf5q6fEkHoxTRsBnl
gyy6sopwhMw/yB5oU9guM47Ird6gyPzfVxi69+43Svf8rKUdeN001WvFTjW7/F5RWOrCGd5dFevK
t+WVp+3SDoW9ArwCwNt5aZFapb1s/uQmGu29SNBLivABrq+kRJd2DaRbALcQi3lKTz6ljcuQajtG
oY0PWc9y5qiyh/UI+kb+H8sHQZ33bMdFIXX5doMiZdg7fctQ8AGqsA7mJQnKJYjTbDSuDHVp7dia
3KB/QNOnUWdejNrWQxBNdE9r7hTjgXRcrlm2XXhM0FvZi3/0B3BoPC0ZBJRKfPjgHLmiCf4WWGmn
UboJMYebuyJ1bABN/ZsYyUXjqNlqzLq7toote6ao9f7WPH/M+SU7uG+XkSXaPlnbKaNj7heGk3iA
qB5VVSmQlcLNFCbRXvNgrsK8lj9cGnKHP+0nYa8vnewcF8RqkREiJiZMtVt4S7siDJSrY4YF2N1i
yWvV3POtSnkAWDof9Y8tw8nTTRFdNZZfeAkEAhWXzZgdqSc5h3YEUfj+cl4cioIEwnF78fi0u2wt
ugVC0nGTWnMbWNM6nm1Ilh6HqdSvUET3ZXr7GDMrej5E0x4x7KmQBBEYjWYM1RKrH72Dni7quAr1
ahSLfahKj5Jo7qdIZw0YNKzlddDdToc7G5/8b+f3uy5o7renUi8tLQf+4yULzkRgILLxE45Zxr2u
UryAB2O+2ayxk2GF81IRWm0+f0C25hpW4dKCc9dRDQOycp4mKqhypWNnXqJPRnM0IVdEtrXWt4ZJ
v/79b3uhDraDC/m6vC07R3X/Lf/O3DoQxnC+3QTQNQKqCICZv+oyX0lafO1zDYLhRnOa4NM4Lm6y
LC129xKa5sNW6/P96FvDjSxU+eLJavn9/k+zPfP8a7C9EZBBThDh4dNzbJc+UwfzmaRVFqhXwq/e
fp6d2tAiS7O84WhvLgpmHqJl5gOsHgFSetXWNdwV1ozjkmPg2YetMyDXVVSgAd3nvtfaqX9wKtup
noj4p+IwNPz5UI1LV4TKq4bfYNn87p+1dUV2HAwQrA9Cb0vzYQjo7n52CjKCUGLs7t+ZncqAC616
t/2V18HURu5koxunOcGKnY5rZeUroJ9hjpW1SutG86zGuBW+Iawo6FPXjtD3lulvD5utBsTBghhb
RCc7Kx8nNY9IlEJPX2KFZjzPkd3J19rNy+oIIh8MV94gTBdlGvoiUevLRsTEt/QkJuR11495aSoK
91ow1eE0lsOdXIs5DQs4CUuIjD8CdsghmU9+0dFBGacB8ZmqWo0mMq1iIvYEHu2DNFrUz9HplBsV
Zi7zWB8k/+ZYpPkT0nmDvKuKwUhvs3TQzQMuduC2pyyYp6+VtBrTjT2K497rNo9GdmztyUsPvQWw
+7D4xYo1BBjarf4GPMPvH5ayMNr7uXTW7jjWpAQ/565Z9Ah4u6uidjHt7lC0EoGoDtnP8Vmve61G
Z3Rbf4yD09oxTI/6k0CFXvuJb3f3IesqS49h1bfOnEzbZPQilG6m24/1ildNNNjW8rBzo0BTKOH8
9KTppE+GO1HtRuFu+Oa4g6pi5IUBjxkiB4UFs9rUQ5TSUP1Fd0RXGF6l5ldo/fk/hiUDIi5zWR6a
AbLmjduzfV4g4DavtDi8IaRaX+Uh8jDG9zU1tekjZK3FCEcDl+4H+jzWB0e524xalF3+LZEv7b/m
WV2vN9Sb5wd0o7rmaeNJyA9F5phlWKpqnULhuMsdJjkqPc5bp74iBWMG8Wpq84uROs69rlfa12Dl
HzSL15U3uPCaSK55+ldHWueE+phWKp7FuqGIEBitF4Sy8PItgmbSvTb0crPItnvraaTIoe5d5PcQ
NFyZY2g10lqj3hqw3sq5X754cytexeRLMw6aks6FDl5H3lfp2Fg3lVZY8rZQsv0HqlU/xy1m4T+b
QFZDWAXOaIU96ehxE27xWiAb8qPx8LENXb1GQivT5uBLMeW6Qd+rMmSYKbk8a71GLFiWfTGFgUNz
LpSDWxhHG2BncETmEM8XjTQ8XtKUHmuuPIMcr2jaROBRvt5WVtOn/Ei7eCxxfP1bzL4xxIbRL19k
trp5jEOP/+SiH9eq2B0Xy3tejLSxI6tIpXOkuw5dYbT7XJCdSUP/Zk0I6yV17Wbd/QgjItWi0RXe
GlvQpgH25Q5Iq7bf8Yij7ZFfz1MepEhizA6Rn7Qs7cWz+8a7p94mvjSCPt+rv1Y1hp6TTPNHYywN
9+tSrtUtwSpw+qLLJ5C6Q73M4n6pMiv96JlFMT6WTu91EQqTwT2dclEeMi1YH/tAX36qcqMGBnEA
04HSGOznPq+E/rQh0xRwFaINw01a278MWiBVBF81WO4sf7LVDY3I6WGhEOCGNU5aWdih+4KKJFBu
8VSUC0jKVA04Im6QRMLUMhTIs7Fsv814NUJ4sOU2Qy+nNvck+6n+oKHrnt6qtK/UQVJRyth0zeog
/1Z0L33XGuCOV1ZscLbh0zRU3fzVyGVaHzKul4+bFKUH3UXTf7i9P3xEUFfYyFtOugG3uxOwWilL
rSHq1psX+kJ4Tx7CaDZ8H5TJHowelY1nGHzi+zZqnA8r88fH0WVvH3PeA8CiY+VHugtPJ0INfFgj
18J9K26RNVy/YX9VrcfMAs52321GgQ9MthTdt1ybhHFjw1D/lMu19Y58Wz/4wGO/ygi3M/WxT7ts
icAEzvNjv3pA0VCF8URsFeNWIRWBAmBYF+vUhPag53XkdbUajnVlutmxbwmneeIMWR8sE0F8AhKj
OzoN7mZRkSnQX6oynV/SXoQRttKsEYAniwsp5LF5V2zDQm+tu5cF5MtPQ5PFP543Wk91g3YMdMa2
/LuYxvlvvfLcMu5VNnnhDLNAj2e52p+olJcgU41NhyTD/vvGgzw1cSC79a/AGNJPyl2m+25p19+L
7y50jetVflHk3dwT7SJEiPvh8G02txrT3FrbxmPdGO0Xz5r6v/rUKD5RS84xvKnq/oDypYEhRqH8
H05FzRiD27ao4hbpnt+uT1/gLtVz1SWGbLs8nlWuf+x8rRoS9J2LD5v0ZzeqQJSnoVD4zEUISuVf
EN7uPZISdnVU6l7TJwL4ZxnT93bXB9G5zrccSFCKOYT09BAR7+X37NOxQUkL4ygfMuHjiACyHTqj
g8pw7TrZg123fRXCasnRaV/FGKdq4j5zKm+jFCzExCcDHvjc0G+hyymyZYu0tix+bX262QeSCryE
bGFPP1TWGf23ZfGbr/QWZw0qUocoT+vk3LQ4K2leItc+T3ycJjruDSv4Mau1/2XjYmMfuIoa/a9V
LYNzTMfUwKshX3X7IIa+/WB6zfiXhfoej/xsikepjeZ36gliixxrkktoKfKXsDP5ezd9txZuPEwL
sJdQ1Fvv33lwpS24YZMaw2qsC2QhkH1D1Nzt2ud5yxaH0ndTyyid9DQhlPS+uyR7VUSJLf3stwjZ
Rv46TOMTIaTJ+1IXPazdoAy6eNW07VfrKd0JO4nJSjwCUSB39NzVuluE6ZcxXP3VOCxaveg3pnLG
28kQnhNrXanyh9r0tpdRdYN9g4ckexzY0/J1rMFTRlKYnoxyP6hqvshAwl2NQHOBIjmY5REv9B8w
ctvWWwf1UHL+LN2+iCxnlgG42pemK2Yjst0Z7cRltRoth5Obbu7frZiG8dv7Ye95KRSsyV4fQ+Zz
12c9SV6V4jTYeWUkjdfYSaWVco6FXgFmtFZSoDDT0+x+QhL6oZSeMVxJwC6kHshEIZBFlAlC7TSJ
hy2u17xoRhLUwR6kZcUTbOAm7N3ymjbJhaEAL1LrRSGdbthprseF3NSa4C5GuHqOM+KoyEvT6XYV
/X9W/GFCCOJT1LENqsunGWxn6VmXz4OTtJPlHFK01Y/Z3GTP73+5CzWAXVCNwq1Jleqss9uJRuqy
m50EDLG2hRBh+q8Ld9InK53Ho4t08K/3B7y0ggBbSd8gikOoPslWlT12zVwHADKJKw+GEubD3Hoo
edXVNV3RC7tyF3SHz4F1AS5WJ/XURUEUxHbQ5urpjOGwoSl9SPs1bW9Fqk03qPH5+ByJueVt7I38
mhPH+dLu7Yl9R1IZQLvhZKZNNRVt1nUAQkVmHz29SO/NGmytHSg9RkxvvVLTJf29kHtigkw1ECUU
QHMnx7AhzN+Ub5pIDObaa4/AYYp3A78idLfRqqNxlHoViVYpFbmNr29hNU3Tw5BaOrisFhfAw5pB
u8XFBHNofnfpv5oTHkhhSY+jDO1MV0M86rypPBVWhxXRoAevqzVu6LPtElVx7VUZhra2Kb7ZmdKW
b3M7mFXU263zXemVzUWlFRXA5q13EW5OCdp0VMVLHNgbGDXbKHriJoWoDMlAX2iHygxEesdfSbf7
3t5veiJ7Y4zzns5MhQju7H9MwZ2sL9Pg+cVBU03v3yxDnT+Nvb7aP0bDWiyMrEx00gkojSzqKfih
CJPzwGVx3QdaE+oQ1NIbNxtnkqPUmF6CYOp2fendLetD2RhyuQVqYSLwUbQLbZah0dxI10UqY7uw
ENT0S10zbigjL1WstMxxj0WwGG1MENRKhFrcobsdFo+QOzPNsv+gXAMhD9gMQ/nFQ2dOC300Vot7
eMtDf/B6u0d0CJtwrLks6B9fbFL4j9sCxj4qXWHJqJfltkWZhYJ86E7gG6j5rPrT0viqfgTO7Xza
nKDsojyAtXpQeWY0ByPIOuy+EX4HVE5zwL7tVbe9LstmfE1R9uEpbvo+e9AMb2pD+lu8PXbTNeiq
FE0x3oDjG55ksEO3UCRpAuIkc9n/jygxHkyscOB4UuzOwzXVNp8uYNZrB6HGQkQeklHUKqRTTlHb
B9OzZvkNLwPvmDhqYmANoqpbrc9t79YyC5vAnUUoKlkPH5q0GMbf5Ta231y9cEkfHHv17wvDzx6Q
EcU2klyqkhHInfRuGCtsXoNW81Gg1Otuemhmc3JuV80lcYGq3XwN2npwoXGYDucAEMA3NUv3ru8X
M7iZVqOEXN1k652onbEL+8JJ1c3clMYWC9evv8sC1h9ChMrOw3qprE/S6YO/SHPKT0swmPcZjUgt
krnT1A+9D0o2HLtWC25hyMvH2l6hW87V5pW3yOVPaTRVNAqOoi4JHBrAyF2M56bsQ46qjt7SYPof
qhxNI0DJLVpi05C1feSqpnu1bdzyOIJ18MvOmnzm3Gy9fSDY0ulHZhn0FHQJjC0yIcI4qCZ26kXq
rV096DUSDfAY1/Sb3TRbgwq/X3wnRvTqyK2d7XNAWfy32gZ9OwxZvXyutqWXNxp0c4EsubX/zXIp
qmM1Kvcl28TO2NA9QSGoddoPvaqHjsanY/1NCrBpj+scyE9zi7JrqKA464faL4YKGs/qeTepLwvK
PQ3WFMcOrMY/Wu32KwwXgIKhshqrwVTAWV+QvBvaKKfGaIYWNgZNEvTteFNMTRBEAkXuLtLXINMj
QvimvV8KgGrobukFH0sKiMdbIK0uzDUrPRRVnwahrrlDdSSjs8jucJPmo2rO0ZpzSXfDSJd7aSpZ
RjQelgZGcE9L2+vE/FkVo0+LMzCnz+XYeWYMrMB1I8Mh+6LzVOPcjGnU92zKbPPGGbIlTkvVIz9G
FyePRDbpSTVaizo046jJqFpBNyWLmeFGYKi0fCLndn80pszHK0/EeVcFUT+49VSqgXLxSrwtnNYG
LHOEWaxk20sotIKn2FRZcK0+u/+ZtxVphgGwxaNH7f1MCsbwWpKSobQTkLGyDGdnmj4GbdmOnOe5
/YeuevtxnVrnpsoRFw0Dt+zdnUNqIp1olX+9H3CcRwGAZxEz1ZH8IzQ9nbO/YTDtUQNJsDjqHoKU
/FQzTXlH3c97psRXoqMYyNC3m+rm/ZEvBQBA5v4gTi505kQ9TKY3TVYyjab/vMjFIMdYm6Mt/fbD
bKTalZ7ZxZnuHtDAtFARPQ2t7Bx1w7kfrGQP9cIuEF3sD1ZxrNPuRxo07ndSpIZa5aiO70/0PKZD
Op2AbgeaQ7U5DcC1UkFKtFwzcetsQwLLkfFiVj5VLX29MtR5iMNQlK8QQIO3gV3h2x1MaaMqSyez
EuAOW1w3U/YouMw+Is5dHiuLlqdyPTd6f34Xjs1uNUm0Sl0fyP6+8P/qNyh3nTq5lXoi7GFIApn+
clb9mn3Bhd0CDYXlw4YR96XTPm6v8q5AYF9PFkO4Q+TLufmJza54ROs9GA6TXzhXGK0XPhu7BeoO
/wVDdIppLVyJAHpmbclacYPqTl4go9QWR6n5zRXEynmPbDduBqkREAdT7D35bFgvmqpzpJHgDbId
ttE1f+7SYjdw2uy7EUWGiPxuRHxAkuUjn3rlRrqwtshEuahfoPoAvuJk+CKvaq+mXZMoVOAOowLC
W7llSli6lZGc7f/jQIBL2cPwP4Ibp/icpqIT1gh9S5Q56lG/VR0ykIVKHEfVV0Bg5+J4gAfYnDv0
hgXmWn+7OUfHnVtHunrSpB0nW9e86XWXrx9CY87HX0GNVw7CWFbbh2UZaGVEyrcImKKj8UGKoYLq
6OkKm+QlaP9zcslPI6tEOHBvsZ8ugz2IyZXEXkiTFs7LaFnrT0MtZRXPfm//6g0KJ1dO6oXrgZse
XBTCZzicnHYGhxqWn+tVkDJAWyRKn5Z43SwMGZ1e3u3mh5GEtvr+7XB+jKhs7iSyPc9zUMp7+wG6
oF0MZ9usxEk7cTDmlp7STJshQBTwvw/FSCCLqbbgZHx6w4OjdIu05kUxWieluzbL+ga1GHc9VBKh
gCuLeX7tceVBfSNb52KCl/Z2YuiqYwSn+WayKfD01A7dx03YzpWr4fyTgWIDgwoHDaAVYLa3o5SY
cg71kOnIGunF4+gQ4xZm4z44K3Ripet9tFq18fr+N7s0NQh/YAgx7UJr9mRQdCRTzy50PcEgsLmf
7KFKukBeE427NDVOJxhFKiw7sOvt1HxoNKaNa2QCicj/aAJzoMkmpqeqyuzPwxDoabjmIFWvxAGX
huWSA6DDDvGw9Hg7rODqKbZC6olh9fqzVpQI1tROcVQ0wezIqKAnEB2Uargy7gU0DaQUFpTDgDgZ
m+btwGwk01bwmBLK195OgRnpzNajv31DUR9MzTCPThpPhKDHvliQBTNE08RVO3nX7FzOzyS/BHIO
/fndi/70vdEE/BOjGYhA1606phS0E1OfnIMxTNcwRBeGQqiEKt0eGZw/ba0nRNHs7Rl76D+kxf9I
O6/muJF0Tf+Vib7HHHizcWYuAFQVixQpSqLsDYKiKHiPBBL49fuA3bvDAhms7bNz0TEKSkwgkeYz
r3GHm1wbUCypFH33dxft05Vig8DCPJCr5XR6oZv1dY+RyVGnL9CGSmTRD7PqUjuzI19uDki3q4Xs
CmrhsNksW10mRVpi7HK0ZFa/A+tfhfOoq2fOsleiVYIBiJCQ2kCwbt+GWmalWI2pHm3JRQCbBnrN
Xs5Zpu/drG3GwBpE9nOmgkYrua/yc5vzCU65yVKw1lmrgzrnwIs1AjnDFLE9a0R1lCH9Hrlk2Ct5
Rc5P57FoyGjnSfWBpOsfEbCgTQ5P1HxAI8775tmN8aDmcvoWYYuONQ+91hvRUrIPZLLKiU90L3/k
xqSP97omqCd1tO99VQCjPRoIHLw3SIju88S1vjd6mrQhRutKHzi9I350VrZcGX0+KGjXwfEIm5mK
zZnN+kpIBGh3vbBWIeMX9jdW5tZ9DtjvaGBsQK1NIk6uxPR9SbUDeGbi4u3Fu90mUMLctUGg8tFX
+Nf682cxdF8aeuXakPPEmHQ0zujUm0rRBEqZNMczQ+n8rudf9olfCzQYACEodQ6d07EQFCtdipKS
cyij49dT0LspFEfqN0sOkD7wOjlcobiAWYESp8l30JOTuIQ7hpreQMtbD7Kp7upvmRnNzk0LBDjo
wCLfywgz+F+dVXjv1GnoVem7bWLbFIomCwHD0dLyEOEKK3nfJ9KiS941og7k6qkVxIUdxdDLHfX7
MnsL7oWohg57Wagoo+pN28lQ6e2iD5SVbeXjLwalWl26Nr4QUpVfLUVPQMmWNi80lK4bh0k2NdXt
NE393pLDON+YUUnhokfa1bswJy81bls9zrhO4zFH44SgtDlS0kvjQ009xL4AlzPj1udS5v389hfY
3kB8AO4BjV4M7rQv6ZFIqhQK+0AcU7dxEXxAXe1gRJEorka67eMFVUb9m1cnMj7HBH5xBzH0ikRf
qe1ESIDDTr89Zim6qSj2eDTcLs4DN2lwUUqmOv6h1rkzBgmOIcqlPaAofdQGRfvC7kTRvCwW0PF/
exYI1NhaKq0coKzrFny25B2RgYKn2n7s+2gMayQU/EzL7AfPBMFgN2UTmE4fnzm8n15ws/hp54CM
AyMHtnuLnMUogEJfU4vjBC5uJCW3vfdaSR0OkbcJUbPMlFR/kzmq1etSxhAn2rgd7FDJmh6MjhZn
52QBt1vfQU9ovU/oZxEE8d/TeUiqNEtRq5yPZlV772OhZEdXnYxwafv8zKm2vboYitleFwAZgP4C
z1vAGiXZnRZaPiK7MIeyuGyA2x3e/rCvjYJeDLB29LmQ/97UA8rcWyJFH9XjUogyTJYctnFXnOOX
vLKUDepWT148TN4LkL6FyNPk5hzRKQboq7K4ii6g2++cVmihnq/W9NBr6rS98pTWvtGqajpzaL/c
xzwBNTOqhehj0OE9/XL11IPTMWf1KKYiugBhl160EHD3qRM5x9zo5qC24+VMYPAio10/InUWdjBq
p6SPmzjHGBG4KybEFbGxBI+jRw62tAqc5mQvKqkexyZvTXoUlHc1fe6R4jPV9gp8XTKg8kcvJnFi
xQEXiU7KmWd7Qcd/ejaUFSA1cLe8uMaK2EOrIxmWY6EV+lWdTfbaPHLbn86CSw0glrGUqMPRqAn7
tUkBBshbqqM6dmYSALGOqwAUKJJQczNVqQ+XqdQvuoHoIlAGrDJ9G5GvLjAG8pIgSib7q2H0tvS7
BumZUOhtf2uTVMtABbTxHU/hvkFXux1pmFDJv5/Y/e9lmWSdH63hi98NbVn5aqxOv7GxSKl9Dk6W
+tZAe8AvwNXfmqjYf1fF0JwzrtoGeOtUwRNAMYbP9FIM1LSbKPWGfjl2lhbdqFblvCuzGBcNc8m9
XxUovN94GItu79Sdfff2Dn3lFKTsTA0GOQBKry9iZRhkes/+WY6AddN658y69TuP0abwzbx05Aqu
it63mciKoOdwrMI1aPhaDBLvBs0cqI6//UBrrnx6Khs6ChXUZtcAiNzsdCcpEAlMbxjUY1PWdbpv
UXMYkcPCj00zEI72hySnF6SB8CrD2TRS0LosojNZ7ysHMfrzBNwcXtTlt1eDNJUqjuZuOjZ1lwFh
UOedquTRJwK/5swR+crJgeIn8RfFfILjLa3T7KOI4H6Rx4WezPt2yGktl20TTHGjXlac/GGZZ8Wf
k/xfD/J/xY/17Z/z2f/7v/nzQ93MXcpO2/zx3+/Hx24Q3eM/ru+b/h8cCL/uh7Su/nv9Jf/3H53+
in9fpw9AZ+rfw/ZvnfwjRvrrScL74f7kD7tqSIf5g3js5o+PvSiGpwF45vVv/r/+8B+PT7/lbm4e
//XHQy2qYf1tMQ//x18/Ov761x+r5d1/Pf/1f/3s5r7kn+0exP2vutv+g8f7fvjXHyC9/wlIxoPL
ZiIgDqpE/+Mf0+PTjzz9n4Tmq8wndax1x/Kjqu6G5F9/aP/E45ZlQ1RhQjHw+NSUu9efKNY/VdYS
/EfqNmu6/3+e6+RT/efT/aMS5W1NI6fnt54eF+sW5aSneka/iOzzRdyiSPTLc31RdlRL98LJ74wB
lefyd0WXupCQdquDKO6r6kvhvHOdcafZtJOwTceelna/fkj0bqfK+UwucZomrU8F3mdlNKy1BKiG
m6u+qGXkgqH3dkJ1oW+RHgZTP3i7PjHEDnrj2R7Oi2kg54LJhaMI9TQ+xSZ+BVeXjeRrNpLIRa/4
rV1Z5Q3OA5hVjthHGH5smF2Hqzx13oBkIMOWK6+UT/Q/QDtqUT9WvkSB7AZoWNr5ZYwKC3mn1dOH
U3vlg9Ymw9cWu/huh3yLC/wPjQGw5NLUvzVyITSMx2T5mmSD9QN7HxkfIm+em3B03Sn7VPVQpnal
bi1gQog8ov36JvauL0SvIbwL8ORgT2pX+I3Xpe4lGGu+ZpFVOXq+iz58jNYCBoqZxbJvpIY7fLq4
8UGxIQmGhSJwfi+A7O+TMlZtv24MIBJ1UU2HtLVay5eiyr7GVmkYwBcSDdxOVmXY/NC//96SqEM+
6IkSGtqtgHw1vejBiUDvDtPcXKUPLenhIexFwxB4MVGvD28ZwclsrKsB9DU0n4CUb3lwo1YmPr3C
1rvMYWY1QVrSsfHRH6lBcsbT/L43XNHs0J1kes1VGNFflKK2fTRoymEXg6KOfKwUrSQQimLZvqoW
1mextMRMsnYBQ9PMpj1dTNpwEeMkeaMRUZ5TxDm9dVi9tKxoVxk05oh7CYs3t47I0kKWs7EDo9If
gaR7N3bRqo1fK5qpIN8hwZEqmYc2fyH0JoA3hPb9swPor43+fGO/XNB0QTAGQRuKUJZw7vQZej1u
3ILq8q7uHLDIRTrgB7LClLLLxakAmDTKVFp+JNUWOU3Kmf3+7QfYxJMYJQBlocrxpLnIIWZtngB6
h9KJJVd3UzoZd+D2+1tc2aZwFmX3TgDsBzgYV3tgvF6wUMF7h8n2BEOnrGgNJyTa4+D8rdI6j7RK
2+s8EfTtteW3TQ0Vu0lnFf2SRIuKa8/sxHtget2ZNPw0T/lrFKqSxBz4kCErfjr1sYz1LBMpyYIh
q6s5rYpdES3G7sz8nhLQ1mGgwbPMSK5WVWpnkyVQY0E/I+Jlmjp3b73RtT6KbjAfNTMOcZA2b2Bx
fONoNsPGjHskQ/JzKlmbNfbiCTYv6mq1ivporoWT1H47ZtWEdQ8YJSP1R87SIeqIZh/Z1upM822z
v16Mu8lsoTbXJkG1Fo6YS10uja1cZq35o01aEEwg2Zp9k8XzL2hZ+MWUaj3fvj31m9vpaXzCSoTA
UdXEqmkz80pF0h4jwxKyqON9ZJZRgNWJgC/QF5cOLfmfb4+3Cav//NRrVO3Bb1ut7TZhbForZaQv
thrqHjbkios1eK82+ueksPHxcGR2tIrc+4Bp6nizaJZ8nO3S+WQVMR3Htx/l5dpGowy48VpoIqTZ
KgPWKofzDOYTaM0c+ewx/SOs5/zD26OchrFP78sOpT68JjMkwesCeFbCmdxaM+pm1ELaVNkdMkTL
scqlc2ch7e6DKqXSGydFdKYx//LdSBTol+K4QomW0Ot0VAHlBSIBy9lqkLbPgCPtlhG597ff7TQb
WN+N1hozRNt4FSkxN6FNXcfWzOdUQ6pQyV6Wsj3UIydiqWXF97eHerlOSXlAbawXkbqWE05fCJNt
YiyqVeGSjNN15U31F0VWUFIbxdzVTXxOx/21V4OLS1txvQERSDkdT5HgGKrRVcM6rduDNSoFUeWU
hXgMJOfqbZt341jm0NPXpO4psDY3t0vi2OBM89iGrdCPyy7WKlv4VmPVP405akcqJHre+Ro2ktDV
wPFd0Iiq6ajEbTO/K50GRN0Qt/J2igGT7vJmgOonUxJW1CcV7uS3v8RmZnhaImsSMpqRa3XW2EQE
Ih5M+HCZvksLpD6NYa7DfMjkXjVACb89lL65F/4cy3WMVeiSFGELm9EWsYgqn/WdsIX6Y6ImAqU9
svrPXSW8LsBZ3tV91HiB39HnMJCsiV3zUnOyaQ5gO6vYR6K6LpERWbz7MuNy2Zt5RLm8lIZ5h5KD
Wvl2jUJTiBcn7fBImwvt+PZLvDJfhE0mougW00UucLqS8hwQL5gYY6fNhvtOLwz3ctG7+coZc/Hx
7aE2Z806XZxmxPZPxS+Y5KdDVW3S553N9WwOiXbA8nD5YC1RT2CZdXh3Vmp0Z1GxOHPC6esX/09l
ggoWwxr0v7i4wSYSiJ0OWwtXZSmWxq6s0v5j1rZRFeTgEvdaF4HVGTptTAJAbvI45FKbgI8AJw2y
KEEBKDf6yr4Ylk5DUhJyyWVqZ0t9ECJND1YHojMYey+tkCfWC+tKxjiVHnDZaLMQMw5Mm3Mtc6fw
7WncHJ5P7wMIHtkIzk/0tTcrvHKHqZ9UshS9i4drTzRe6MjlHBJjPUG2s4aZCVVKCqMcaJtdHzXl
VDbS1XZo3hbv7FHYv2r8meJdOmDOaURlu8+tCQ91YXp3govpzBXxyvj0Vix8dkx0kKiunX61kku3
x7mG0zOu3nWdcdXoJnXP9gYi6WMpTOFXrvPFNJqHt2f35WlHbgo5gaI38sHQbk7Hbelqp9WkWrsS
SvQuX7r+iJ3sBCC5TXeD4jhnvubL93Q5rFAWoo1E62CLZUA1wfbwc9HxsRXdO682ik8IslXHtXUJ
0TBNjJ2n6MrBhGwc4BSM0cXbL7wNeVhPpP7sDXqXhFpoT56+MUVToPdOyxsnU/TJcUq3C2bYl3Tw
vAGT4ZruNVUIug6FX+O+mwVqnQrPt42x+gytFj2Wt5/o5QKnduOw5KgCMDkvtHsSonClM8wdP7UC
t61+w447h/15eq3/LHB0LjUGALxFe1xdJc03r+1YytCD01d3ap5Fi6/HtvVAg0iTIUqMjrkvOdxv
00qzyB0HEDZYEdNJOExqlaBC2BTf6YnVhe8IuazuC9h++rXq9FcJ/iX93shSYFKaXQMQMel1fu3z
fCkv4tylOA0FXk38FBq1sn976rbKEetb2ZSq0OMB7ecBmjv9mF6MJXOVmvoOxtq+jwE16Jk9+Zoo
7YcFNwYg4Dgw/Ehn6WCKMLbiMNQo3Pgaxky7Ho56YKaV9cGEr/n57Uc7vWiYb/g6IJLQ7+Dh0Lre
HCiewsee884JkbZoQ6hJhvR1Sjgf3FizvvzNsQDI0QbDLmUtuoEePJ0FIaa2R1bOCR1uZtwi4jIU
w9IG0qGl/XeHIllA248knH48v/R0KC8xYejPwg2pJyEXICdnR+VmPNDccm7fHmqT5zOFa2JCBZN6
P4AOZ62UPg/WC4jQ6tIwFhzvm4Wn4kASYyBKzXlABa3bofwBUXNcxF4Vnn6ZQMn3vTaHpSiyZt+C
yjqTH774qGv4zqXOzbpmTe4mxNaHrjK0HnnmTDHnPcxPi4LehH5SN5/TxTs31HqQPstUHOxC9Kpg
qDSpu91MVQMwScFBOSCI/fZEnwYq6zxToERRGJmiFRz41CN7NhSs1tKLhGuHC1oSt6PazV9qOm4f
Fzm7H8Y+1sK8qIwzF97LrbuOyo3LylWRQN7eeN1cgWsYYc7P2DR9ytVM8T1pZkdv6fULrHLcAOUA
YIrJXO9sJBfecabXt4mddr9GrdMtf/Ss8eMCA+/vf2TSmlWdnjKxiZrS6cwv1ZihhD044eRKb9+0
wxLKTkx79EbU3dsz/8pHphTPxBvYAoFb3BzKoBhqcypt1AOWWr3AIcS+1j09v1kBF5/fHur0lnn6
yAy11vvXe4ZTc/NWWtOisbIO1UMVsgpOZDWezx0Pp4Wbv0aheEQctXpnbEdB7bNrTCNywkQ6RbbX
M836jjQB7B1YBIs/6p54D097uXIRMzqzjDc3+5+DI9PDZK7yo2ATTl+xR9DWTGLhhIttiEsq6WIf
01l+b5dRA7Ug8Q4xNNYvlDWKfem0xZHIP72Pnak9h5w8jXL+ehJ0SelOO1TTto05lbZc48nKoU49
F9f9EuUPvd3Km1K6/YVRwaJwar357EyquGt6cc5/4pUNjQEOe4oz/+nKP52IHJ0EoKoKqiOWIq9w
SjK+SFQD9pkY7oj8xd7KxTkPk1dfGfNBGzzoE3z9dEwbQQjFlaUTYvezIFaqU7Mj+T02iav85Hqd
rxa8wL9M/SwPWWmfM8B4bSdROkIcjHRrXX6nw4tcyzNPtk4YIZ2yT1xDwJzMo+sBatCvt3eStt5x
J6EUWNjnY22OZrWpp84FXxSOVtn5pOAWppO9ccBpsr1CrqW7cHIHiYJiGT9YiA7cqBDLv1dGbV+L
fE7+B2cIdRH2Nr0BDNA3gcZszrFIoVyHCIbA0m85R2Ga/yYYkv+fI20PRiWuqlxhpApefhBRaFsN
RTTaNbjwnJnj9Xe9nOP/vNUmzihULRqLondCrbGn94tdxjtUQ/T3SLL4jd1mO7ervaBonYiGf2qM
19007RG8OZcXvrqu1oyB2iR1fX39+bO7UVCoNLkOHJRz5i5cVoSuPg3GXmqpe+adXxsKoDWHM0wA
KqGbZZXAJUN0nePLSKR5KLrBQnZNGmFBeefi7ek9zfr+PJ9YLyvKGf0++hanb+UVjavYkuB0qmgv
mold/fDUTlwBASgRqXaGM4oO68m7/ZrcPRyIoBRgem1WTjwLEgQ0sELk6xw8tOEP17r+Nw0u18sN
SCqvRC0JNdRt5QOpilJvNUZZFq2/bKdFuUFnkrhfRQSlQxMx8IbUuC5No7oxgFmeCY1fO3WfD79Z
shIvA6cb10Pfom5f9ImLWI5dHpLJUoOceBlCqZ4d3v6Sr84sdAP6/C41121B2xpjtVbYBnxJMwsL
sypgf1XnAHKvLk3LJN3CF0an4nu6XpS0KBvT4dUy4K3YeaOxosbCd5zoHK7m1cOVPUWBgGo5xc3N
UHlHfJKT56DIAhc9UFrqIHY6SGyUBYZmKYIgUM/2i4n+v2i+tZaz3NNMB/rSUM89E1K8uk9AFK0v
zVtvd39jdnjRokMQZiM5porpybWJy/11nxltKKZBHP8HX/PZeJuMR03mStLs5+UTrwladCZ8nfHO
LNTX1gylQaDULtwDLvzTrxmVo4IaCWdrXyjlR7S84lCZEvV/8C7PR9mcnEM1lVq6NOx5ePoHbCid
fd8s54gh60m1PVkI1JFwoXpGGrx5l15SvawU9jxeFd3l7MSp4oMSn76PM+0zvzbSluodObPvdK2m
HQoY4Lu3P9orm2NlA+Fewpfj6N6EHoWXYedaVm4op1hcCUyf9xHyPsghauaXt4d65YjxiLEon9Hr
oVu3uettNepUiXdDCLm8+j4WncQfzgr6vm5+dFxh+6KO1P3bY76yWhjTWll/pGnk/KerBeUyBZd2
xoxTtKuTLNMuEZ8917x6dRSd5UiHDDDb9kbC0RYJxa5wQ9FXVejq9W+jNf7Ck53AyZ5DF16dPpSr
+R8ACu7Y01eBaCdmW+NLpUYJRk9R3XxncOJ9X1BdfE99Of8wZZrx97cb5Yu1rcsRDcVuM4FE4oad
jIzaUpu4pt5qXuXJ2U7uertsNgIqrYBYqc2s0tGbo6PXYYiV6HyE+STzQy6c7uuADtzeTcrlXaMM
w122GMuhrdQuUNRJP+SNPh97ZHosX2nbcyWpV6caISLQZ+p6xmymesRkpMbBhHQzqbzZn1BZQYhB
bw9FMw8c3eV0DSwSgM/bi/WV44BZ+M+w6yw9C9eSNHEUgiZs3eep3+nNGD0uSuPscqy1wjJGytV3
jM7zJxdWzID+55nxX6lZQUKkPIRBJQ1SdurpA6S9jIeijt2wq2T+hQsOArTWWYPhF27v3LujNf1a
ehtocTyo2l2tV+a9UtBGhQSylPWuWSwULwQ6fOdS8yd654sVQmWDEo9GiLS9zAZ7SAyJwBEimwbA
ESjGOSIYhXJDtuzepIWifZPCPGT9UASZHqEUYonZ72Cj3i2TaT72XfTdcYoIpyLYca0XZ3s1dbP3
mCijBIMm8nimRPTamUCLjr4ER9cKUTidyxkFK7dE8T4E7WIEduwkRzWKzokBvLZSkZQGDc/KAQm+
+WJtUrV0PDO+GPBp1GEmRfqeE017zYjlwatmPQ7iWvm7rphEq+iCQ/4FQkUhkcj49O2qKs4yxyOL
cDXcfhLAPbvOSYp9NjRx+PaueFmVYSjIWmiC2WQY2y8/ZY0iPABvoTpV5W0/CZSZsmmEIpaAQSl3
KNQi2z8gQ/jDyUekKt8efsvMe3pVwESsdl4UnMm6a5/tyqkRc1m6cRTm4MPNALXe/DFXBDEUaEPz
Jit0L/YhuEISziq57Oxh+qTg05D4vdE3qW9WyYJiuypKNzS7JZt8XVlB370NqDiIrCGLD2o7mvcp
sjZjIJcoGvbckPqNi3VU5usOFua72FG7j4Tm+oe1MHnfI2e1BCj/1vW+rPoOXceyle8rJFnrMxHC
y4UMbJ5iEMCt1aDhRS+ALrNeZaRbuZVOu752so8dVc6/XbdcqXEcO+wVLq1tHNIIK4XKmFN76wRd
nQoXXmsZH3O9lGcwEq+tJ/QLOd/stS+7Ld26wAy9XjASmNXm6GSG/lkVi7E3ms5afEWK9jf69rtJ
sYxzPYFXp9KlpIbwAyv6qar8bCnpQw4twqJqTFKnYfYgm37HvZoeDHV2vkWYqBwcu2n82HX6/Zhy
FXb0qq841LRdVgIaAx//AY+Z6cPba/yVvGVNb8kSVuQW/2cTBQ69xR1XjBSg5t4yaDv1+icbOOgd
fSDzRlpNXIKN0IqHOTbwz+4GF/Dk4rIJAyihcRuUtpjPuJ28PNp4JijTpMIUrOgtn+67NLITz/Zm
J2RV1jdFNkS+EOPySzPrOpTtggFCW8bnEDQv42EWIeBUmpo0wAh8TkftYL00I04vUDDKKYh1q9qT
R/3SpOaeSc+09QVOrjREqOCGsRQIikGFbl4QadHeQw5NCVvVLS5d8Mp+Y8j4I8eNeJe6aYY8bDLp
P4qhL/cCHZtDjV87teA2+6gvZfPgtmbyq5G6emsr+DT4BdLpZw7fFyHJ+owsDOBQ7BWoc6fTEcWx
kjQA6MLWKuStsDrlAU3U6L7P7WVlKaeJekC5W/4WPNq3WV/6w9tL88WW2TzAJhTrpspNLLNSQiEK
4OaJ93kZk3NVyBdHwjoICRiBtYb7mLYuxWf7MkMDNRu4Z0IU+9/RyrvMC6MKpGK866zxajCtj1bf
nYkPXv36oGBX4QyaSdtmw9SieG0rqRKiD5ZU/hRjeY5jakc22x5QSVS+vT2RWwIf5w0v6WKLC81a
I3vefEpLAcGIHl4UOqpY1bJjK8x6Txb+nJndbzmW7U8YkRbgPoT0Zzwkrm009d5+iBe7a30GAoYV
rwEVapvDSNZZgqicEqagZCHCxi0dUNXCakc0n94e6tWF82yoTfxFjzMGMMPCqSpp4o6XfFxKrbh4
e5DXPiJcUgRRkXhZdUNOF86MjqCMlUwJdb1Iol21NIsLDdtVD1HZq18RyjZ+vz0ireNXjg1w9Hjr
uID9XoDmJq2cAbGP8S4xBvcqXnE/QSzrRexwxFFV8iPuh9pprPdZrEmcBqxBAqZPp0Ll0XTo3LGr
dMgPW61tHRD3Sw2oBGrxlfMw+UqL6raODDTIGsrj5i7pE+hnSW7g7upFdUvjrVbmdBeltfktEcJL
DqvdB63ruu9uMQY0TL9StOmDaY3qe2F0eepnatkhLEeCV/ter+Da1/buaPs0FkCUitIAttFAW1b9
shuNXw7V3d8V+OR33pL33i53uuyrHCwU2yr6YFQi5WJ+Mpq5/tIBEuB9mrn9YiEcdB2NDgqQaBBW
nt8aFv+t0KuaAyTEVxMnIMEPyyCRhLTsAUdtmBJ2ChWgNuWlo47oLgxRNycY7UyNpFyYDhdeWbRW
4KD4TJZgNwI5SkufAfqqXfsTaZw4Du12QbiAfAPJ6Upku6ExUiO0G7dOPiioPQalm+XuXW5gyDki
yN12VUC27aJ7arnKhdrGHl3qSnRoOjZL2Tn6Z41qOqGjw/uVbejSUMXLFGOs6HMaGxSBU1et77Qk
dl3tIJyhKGmdYFToV5iQJbBGELXdaUnuGYEaIUAUWrbQOuQtE2rJSqs694NM8h/IJZoZAt5eWwRG
gT0UNAPXIi4ROWqXJQYdKaFAmveBhsPJ42gZ6oeGlt1jMuXO4KsouOAeocRxH7pgvJcvvVvG095G
HjW/6G2zHdEwVIfGl5LSedhoio0yq3C52Nq5Hz9h1UqyqxWk+2HTo1fg63mLnmJhINu9c2DxLJdE
F+5ArdYsEqwuZh1ThMSIlV0aa+AlhkUqv+eWNSCtUSMBNePully0o6yUO1Hvw4hNlH1WRANLHTGF
GxdxJDMohNrpQVJbhd81VLnrwsbko0mU+RcFUycLZ8OJP7YGAb2voc5zOwL4wicC8fSWGMkAmYKn
S/5trmIO0BFD3vdcwO6HAbnUT7RtG1QeW6wh4MhW2u3ctFBge112qM4Y1jQicovKw35y0LD0Ndqt
o9+rKGD4fDk72XmWVL/rbLbP5MLjtLN0ct5gie3umHZoJvqZVZtdyA0if9KSG+8Nr+cX0S+BhYXH
8mJAVhqXTzgrqJ9oDek/LConyWp2Uc8+PoDdXVX0ltxRZhpNcJORbYe6SFdXlmZGl5SEMn0cjGi+
RJcHre++SJPbyNTlcGng5X65emRWh55z0fVrK5FdqCbKBLJqajMaiTEw2ZY+SvwOwwP5UekU58cy
5tat1TtDcmFnCRSvIsqtsIxcPfcxzouvTSVbpI/Jh/MwCS82WH8TpHbUE/TFBz2VlaE7Q+fAuyix
FyqHiVkjS2r0Ipwrw3yE1bkUt6NixGkQJ5kyXWBCoGECQNRr+KuPaXpMurz63uI68l2LYuNLryA5
4atthyaZg/rcDzeLEVOd9aghuWuQGg3KcoqobqR5NQTUYuLJrweLW6szksOUGdOdLXP9okfhGKKb
Zyx+s1wKdPZ/ShTsK1/DdeJbYqnpjBtM3nEAW1b3E2HV5i4GTKwFg2sP39B3sbUL3NRmZz0YBIr7
Ik8+q7Ftf9Yzkfd7081kH6LIX8rv1BUMHG0k/ju7OU30DzKNRnlgU0Q8dWqo4gFZ/0IPyhnMqV9m
ae9cpfGsDMfIRB1qX3Tk7r7WS9qBaL4Ota/PkaMEjQKEA83lIkedKRF1EaiDVC9RMMQQwabAqFCZ
y9UfjZkv4mI261Lzx1WAnCIAcaCf2aM6hw4U/SKUoqlxGUl1cOYVXn627zaD82OUffzFtPBE8rEg
jdC8GwUknFmqSh/mmY3gYI2mKqrISCdYF5CjJ1T57MwNAMzn4kIrbOOLrowiQlzf7spj74yo06oA
QhBQNdRVRnXCLmcv1KhEvtiWyiFJevW3jiuEujOlmot3hVVOHUbIxByB6M0p+oy4TV/dGjqV4gM6
/QOus0AM+SksPBx2sJuZQwxUpm8C6aDKn6009wLNaHvtApMbPhVKqqL8NeTZNIWNK9PKL+2+udIE
HjYxxpOf1dZbvpkyBrvNCWqiWGxE6Vfb6OA8ZhPg8Zt8gNyxy82qyn6i31OgmKdDOKVn69E6UkVB
NctAU9nPl0Z4geMgqj0qvVeSqZK8hUWeodqy6En6A0SUvFnKbMo/srSnOkziRrvItFR56ExTiKMh
ovpepZqcB3Axl8ofkIPh7PAGbzEuU1FwCaASjPkF0dxk7icgENYOmBr9VtDYAzLQsz1/TctB+4KA
LfYxcZpzTijEIff4PGDmkOYdjgsIP6NIYA7mXYwBzLcW/xOSGkMSMSn9aIzIz2KKHWRdnnw1Kgc5
7Drvq88lQAs9bOtR+6204/A4Gcv8HUbpxMZrzezKiTqsrBsEe0ffWxAvR0dXba6QFZfVvorQ0jkU
TlocLau3Z19WlXlLqln80J1Ev+ksDIbCea7r4bPRZen1UGFJFiIF2d70/K3Ip33V2DsViZufiaFh
rpdmVWkF8zwuEDbdbHzUNXSWQowE7HdZozY/RN0JBYkxLR924zxA0XRraV0N2GYOxzRd2uFgNrni
BlpR6XTiBYjOwBwTzk9vWaxuDzXB/GAmlfwUVe7cHTBzdpHlXszJDe2JQhFhnMDUFloGgQgg+brl
JgX4iy4UhqfhDKkmCmxlnO/zAT81QpsSBaeReblWnBrQqFPDqoWMW9Rj0GbyMtK7CR/w8tEYE5kG
TWsq14WBN1a4UNi2Jhv+Z8oS4rYhyx4PyVDnV4XbtO5e9absOzaZYghGoRRpWHWNWIJiMJVvbq+x
Ca0h6e+7eZZWMJLjWDuEJNzLql5V2jtFhX+mATC6R7z8gDUe+tAjz+uXpa4fsrpT+5+lxNt3l5aF
ngamW0ZUdqW3cvao0llB2fYRzhmI5FwaiCOpYYb29BXqxckN6Bo8EdXBMT8W+IhRiEGJ2bZM3hqO
P+Gx2eL4Ek56U8CZGmuub3Tf6wGUoDLhMCIxOd0ZeMtcuZmrRodMobW6w98WuyROfvTUV4PNXVvW
7YATTdr+MkspfrtqS0RUxXZ57UFGsPx49bfwizmzVYgjrlIGY+p1RtDpSxcREEFRXb2s69rXWisW
eBApOfpTNgen79HehAFsWVW/Q5kBrXu4Xvq5ut7LXAweLHIUJBLANUjxT3MXR3pTN8rCC83/Td15
LceNbOn6VeYF0AFvLg8KZelEI0rdNwjKED4BJEwCePrzgVV7pkV1t86OiTkRc7N3UM1iAWlWrlzr
N2aJI7yeDw9sCvJGMbfHf760/Hy//vGr3pVQNRTV2zpvg6gTWnrAmqN71JLS2Amy3X05g3lemvYJ
o5780z9/8c+XQL7YhxaBzmoAT+Ddxd6tbKloYQUkwNLclkXRbjVY87+okP7lSIJMpKkJkAmxwx9H
ctFF4ZfImUaQPapPFSqI+D9DRtlzgf4l4P6vv4x7H5d5JD7fV/wDjh5bZpJpy6c6kjX9DlKkh2Am
wf/nwfv5osngYWXyr296N3h1JbG08pg1atvTIfXi+uCvMpiL4wHCSxqFrHyRPv3zl/58o17FbGgE
vgklglr4cSydQcVpg183SqnSQAnOK6JMv02bayOOf8Wm+Lm4xXfBJqAia7jwAd+9oMQQo++8CsvY
1rS/q6BzVGQ5vf1YT2gmlmMmnlJhlZ/NYTH2U+2Yz//8rn8xwHDQkbLgKVAof1+J1hBHg1HFAAtc
W64Mv5xvkNwr70vyBG5eyMGwQ5wq+u996zoDfyp2FXGfjOXMAhqDANMryEKvZpskmJEGY0S8aK61
uYt/Ufr+i40IyMGC24nzMnyHd9PaFsviTqkZs2oz78rWhXttGEn578cZrhzWWb4VoPu7V1OUCv3F
HOOoDIw5DFJCLhL9oK8zhcYdQbRK9hUC92TxXO5/UQv6uXvqUA33XWj04OBWwdN3A6txWyxrNEXn
wMxvu7VluhlF3z65VneNR4eBx0HbHOcu9R69tgheaLfqOxdc/mn2kdG1Wxxg/nmu/yLw0lFZ1Zhh
9hOe3gVe3CIyKWQbR7kMfCJ7XRwmz3KfY2n08cbGl/EG2R9VRcIktfnn735rzP1Y34aKxsnC/65l
/Pf48EqCpy7nVItghaWQ9Pj2Joxl3VzN1HHD2MWWysJhgF4lOlG+16sPzuK30VRm8WPm1tpR67zl
EAyJ91AtgUNrCNcaIUcndMbRQjew7PdIdpsbJbCMQfUD+sii/DAvugWrjPbjP7/QX1RQYXgjKwDD
TUce5r2ARbuMi4p7PY5W5szecAdkVo3F2DSN7dy4AeYM+DTktxRwUnszQZ687QY3/XfRiHQmEK9e
GwY4/dKr+XGVKTfmUmlSN7ZM5T23JbRGD3u3czvuIhn04TxN79SK3v3490JEP4gX/T9KHK3f/PVP
MkmXJ/n/Il6EkpFAzujPOkS0uVaQyd9rFz2uokL/8X+q7zL7+vIXn7yIGFn2b/SJIC+jXwR+6o3D
dREx8o3fUBpckTNI/1FjWAUv/iViZP6GphEEQsDeiNDTZvqTihGySOaZFwapBWKY+98QMqK/sJow
r373YCx5wvfIGo5ZrGDywj3oaVwsCmfHNuP/Wg2oACYojS6oT2qQFovLv+lZQkFun2YQKYMw1Wu3
uMn9XHTZPq4n6Lsb7Gsz39toHfFGgvZInbaH9OzGxFUzwz6z3OajTH3xq4bZu/MSTktAq2RlmUIU
A8j5bukXc18V4ODy0xyPKqZHPuExjXyPySOKpPA66m0zid6dTkE4f5WBiJ3PRWfY4wP2w+3QbdEx
FbO9ic3Rd0+LQij1S50aeu8fU71M251c4mT6GPhVXsy/ePo38MyfwiGoULIZHxwD+R86ij9FjzJt
5DzM5Ymqa8KfX0Tp2odOjOhfhSkSR5D8Uttf6oRrmUdGcuPmfcpc9Z4n8lcn6Hhmm2t1cWPqIzXT
kLsNyK+uARZykkGNey12PHX+SoHLK24MLKPMu0HggmlvZBLQC9loo48WcIi3cjA+mPOg8jwsUqvC
pFWCraJgJRjVX8XNd4c/b77q/ayKVXS+EZF6d/jn5jy2qA+mp8KfUvdzkC7k0Fw7JrP9AgFAg6kt
gCce2lTlvO+ULjYA2bfXMjCvsg/ntyZzGHneBvHueOeWOIhrv5gjth/R88dJslY9YI9up2P//Khu
AdjDDxD4ktKy2i94z9Us9XzsEcJlcOayEVFnovCCluLbFkKjrxJyJynpaeneoNGhPTp5nfOpASJn
SukmGYSx08YRDbq9PdWiExGmxVrVfFvdIBOTUhrOq33k9nNnjad5mj2WNTsIb+29KmbgcHs7oJGA
LUaVd1p3krGTUjjKGNPRu5s9MBli68QGJPBNPlSqaHciBbNq7IyRblRwrVFhktUOa0JPOTemLNpx
/oDOAA43G33pqPRsKpT6qq+206MMfyBiDMG01zU7bxMcYxxui1cGRDYEOvKYosZdo9xMizfnQRC8
VaXdaIPSdXz6pBjbZGtM6El318HYZ4F+n/Sqsby9B+S1/eJiaMow2YMgxJT4M/GiQQ6k5VEVSHXZ
mLAullEcMnOa53bfTeOcxztYdkqZbGXoC2hTiEbjlWJwVj25wGyiKh8OIJ1EfXS0WfnVTQFerVJb
FMNcmRyTZHA0/VbYcyrUNostxGq++Ild1MnOquhWfNHRaeXBm04x9b0q1h9QrBz9LrKqrI/LIYqR
YubgRxzCntLqQ1FZU+BjMJrCkjGvWpHpQwJXCFoxavqlkZLn0oXpW3s3BgnU7W+ozDp9tgdqM5bp
JpgGQzMOiUJd7VHSOMrnYwnYidWA1bAj5fOiWaMHtyGu3XG8TnoxM1a2gQ5cT7e67pP5yun1AHLy
+R0KUxp4dw1GognztS/GpcyvkWhubX87KZzGyrsRJdo0b8My9TCIa0KWmd2NIfSNtKw+cz0gT74P
zK4cjdsMOa+mvhn9Xisot7u4Bep76SSGMWypKPc4wpJy07oAMEx09nc5dW3WflyXkrWceiwTrKQ1
q2nuB4PF57yWjd0M4p56Z8bsW5RP2AJ2oRf85GtzKhFwG2jXk1dVKSQaqruD0qwopWlTFkClZlvl
G+zO7eJmzqz1UDMVRQ4KaoonL8NU+LJEPEuatV1+qypbtO1dAJWr7sDOeguWbb6GTm5MRQjd2uG7
3Zds7dvMcrlz3pqYERrNycSPpk0/4wVBY+ro1CjEy+/BMOoausSKpnK+cxoqZ9nHuOv0rHptS783
22+VLoy6/kDLD62g66YIjLKl2qU1VXZYHHy44S8umWyajajyqsE6b6LOVFehD/xZytsBPlAnnzH7
Rc6bdtEcz5jSABqlCzV0FqhUBNPggssKDHCD63RzW7qLo4lvQ0JrrLo34zxo8aAOMgMJZWDjyN38
bg8Gjndbs8uy3ttWbsuXoxTeFSAhMSI3FK9qJS1cfoBpmB9q2o2etXqjHilpZsa0a2trSJatSqGs
o8pWjRglFDcTXlKu2C6UIh0Co6eYk9zA/ZpTS4Oe30Dl1jS/fO79caC/JSDBLHmU5SYnb+aOgBZ2
jdNLY/69nlJHupBOoCSWNyxbcL5H36ErZN4B8VXsjJjKLluya7whtqKqT7JJOxRAUUbzVsOnCKNt
LgyddPcU320xRX1dOeO8o4pJjWk7cehXzU5z7DGz7lobNbocdX+vSrrQybx57P4Yeh/Iz6e0RoHb
/IDDMvbpEZVrazJPXovf4W3VUJapT7PmFVPzMEnfY/VWNm7vw1W8qsWM18WMEjKSf+eIlslJDTUw
wKAISJ76miRNEm3fNnlbOgaf54mIWIjkYpK4OsNxRpHXVPP631peSOOw53K9/k4BEW9d6n68/o5m
4hVIX+P8t+dRvsUvSQc22doKMLXcjgN9baS/ul6zTACILvyzDQrtHQ9ci1bxm0ZTTUFxqBX75UMf
eJO9vAq/zca2CRcxFDK/RawQUa+t5gU1z6SaknDZtqUYpjtU/bAL2JLM1oQmTRbGHD+Z/qKbxJSU
dkp1nSWDRUIiFj6FNfL6AmBROjabO8Fjnm66oln3cT2AtvxqtXFrzBGvVufBVjVmrz0GhqrYOZeg
4RQO5wee5S3PNNRt7LYgT9/iyYK0If/4r+c9j4+qRo5uNtOA2sumENSe2eejXdjGJtcEPaCdPib0
qLd1GashvecAcen/xFOLyMe9NiJ8mVxjyWI5rMnZxXcPAcnGcZJt0vWTbe3GCea3fXDdLGmQcyyb
3GwfgqyvdPN2SPJ1rgBLrAFPoMxIR32kimaau8mppv61WmJhun+AgQyk2qmCr9C3Ve1P3nidIxyh
xA4l6WUuwllzlPlq9Tz6Vxr7uuT47M0KweXaByuajuWSZRuLszHfLb1tSjdsA2kehciUfMysZVZX
BXi0ky/I2r+z0RPvRAVCK68sV1nWcVi63PTCQiuSAsiMKBho6xxXM9dShFfR0x3Rt5e8Pz+vxy6Q
1XqWL23utbsl4era7siGXCb3vA/AKYvO3Aa5GhzrrtLGhF8UNtBC1v+sGayMpRv5w8i8xCOKJdm4
JlEKAJqkOq8qz2x3WTPbk3HrVzOSb0Bl6zXeZ6lyxm5nCCWtZfUeMnESXGZbY7vVFiSbEiHOROf/
2gksrgrzLCD8dPOyfl0Sy6X9kuaC7EOfKZi3u8mdEa/ZtS1UHOoUo07K0pjL+ocqGwlLWgZvKUJb
s6DJ27JKs+zrKR3bro7G2l4/VTf4+PSoc8qOL7mMYFH6CS9juAANVNiNtmJ46i5lgVsQjMlAqqBm
9aLkDqb3GZGpNQLoFIskaBDHq620B/VsgMG86inp6D5pkDcVzi7AwN4ft0ZAQ7Z8UcLq+WDdWilD
SHUCwDFfB4LTPXjeIufpWImksaES1Ph9J1taI+soX75+zLkFEHngo6/vjx9rr+1QCC9t+ZgIN/Fn
JEGCLtNDmXQG2AFtobHmPecV5pfiKCryWmRMFlus00ne1LoIX1jVGh/GIJaEcjfH+rTEtVJJJU+p
HYAF29X9NDr27rKWYBQEndwOLO8OjYwJoFizD9xaNsujP84+E1UWoz1MO7PGYaygUKRXsbdeWY3m
Qxt7a3AYG74c2RgBGnjPt3HptZK04kGcqZX/NUaSCwErSu9RaVSh5gqdySvPa/uycWdqe/zjZQ3J
8+Lo6nK9C58XMMoi6/LK6Nh7xVYuYBfqU99M63pYEeZ8GvgbkXBoGp+mB7eepPzSaNO6RGI/Xpd9
WheCM8Q759C9k73dDM6jpb8F0C6117laqmrNmOgmx6zzy5iJrlW4iop2VmqkB0UDG1wCIBl+JZtV
wpF1CZCmE0vGh1bp+sikfGgmbtMgqfgpdYf19c97Yk7mxR82rhWjnQpMCNNMVrdDqzEItYGwQmvR
bNbgfFnkFvg+Vvd0udSwrplvL6uAqNzIuFyrBNM5bSN30Sf8c5uhNZoN7LQ6pzV2/tw5aDT08Hig
xrElh0XdMsMgdmh6cFM4r1zagXRXo6TP1qV+mYHG4QW+oOSjrWCLjt7cPoU/xARfwsJ5JNWITysL
9Tw1iIetO1Yvq8oLdjnXWWoil4/J2F7niMPBzMz1lj4jGyv0cg0gdH+IkZdtT6Bp/zPkDXHDekvm
uZsaku/FRN+9PseMy3kWv116zpcoV5MlT9MDQZndOxRK15RWiXzdJ1QCNNb7JeZeRj8NlNZ2O6ZX
9o/m0ONEvZ1rws6XUp/XFCwx/GwNsufn9N8OzcsELm8bInbVGtExc7D4rktsW9DxZFJtOa1b4fKP
ksIPg1Mo3WQ2KTitU3wpKaFho/NxFNXXR51jtZ525WT0kkTDpGrBIeVLKylDy+qc4uayQC4bA6fb
9dVcewkYuKUZ11tvY2EhHLl2tmY3dUYxj5Tn7Y52WUFekw+Ae6BJkl8xIem6e1ecBk/Q+XUg2w0W
mdUoI8cS6yBc4jdnxVrWgrSCDiKS1amTVtPuT4XCS+n0z0S991IeSPStInZo+3qrmgNc1R9LtLad
0RhGrWY/k1KQ5y4J9eJtkGXrVydvJ815MkoWL8PZcSgSinB/XfcpvjnrISGSdg2Uv3g066f6BjVK
CNeQaVYyx3uZzd5A2kP6U3x0QBXkr4VmeuNDjhitVhELzAQXaWMQqG2gc81Updxzi5u20Ty6/rXh
gP8ou4raEYJra/HGdPtfEUHeJPF+LMHQreUJIfdT3f7pETsrKApkZ7TjeaRodpbMXwZYnzGCwSAo
h0wT1yT3qQZgq6pDaWiokh5xIEuXaQjtEksj8xDbWj+4e5+rRGDd0vSvaO91OaQ183WxmslxWMdv
gas9n+3mW/EG+huZgFbBwcQByye7nA+A8qjZIi1WdxrA0vMW5uRbUwFqWWzyohDrGj1HrXwo1wT8
XJi8BJn+vDYvP122QHa+KpUlwgIUlPREa6zD+SwhnQzYcJSp1ltD4WCIjn7Z+Xldn7cuw8vTy3Me
oy1qDXC6m6xFFTfLNH5iSeXk+a2m1rU0+ssafRE0Q85n4yHsyj9eoraDqzUfKBNr/RwEiH6Nd0Jf
T3JW7/rT0MbURQwxVtzsL5v+F8tz3Rl/nnvELYFPBIi8oWMIenatJP6pN8nIO4gnNeKQdlXfxHvM
GCtZ77rSXu8pQWrmBPnLSdmcrzmLDrj0y+V2hE4Dk4eDx9v4n+8H51wtLpHUhG51PmXtrAJ99IvO
zPv+EPt+bePS6FqNNVb2+I9Pjyql3QaoiB8uZYnzUqIZugbLcyX9UuyyhiWY8AlmuHmoeXYKeJMm
+pp1cS5p/g80cvbf69W2oftfYDuxNnb/vnWzk9/F1/Q/9kP2In5o3awfu/RtHHwk6ErqHr4GLPa3
5sylb+PYv7mEEZ8q/crFtVYL1UvfxvmNupNH5wgbR8h9+urkeHGfMOna6P6q32QQvOgCG/9O2+as
uf5fOwGPGljHcArYCqs7hvNTw7w3wEILhURbEo/FkcKm2W9m229yMJukvaBUwUltUDKdyo3KWvW7
JVN72Ku+wGg7Bny0qScAoxFSejWuv7VeTbg1JMne8WfD3tGlKHZZ3vfVtncWdaipXdlbzMf8IMwK
V1MbsO7uSzoDIw97mSZ3stPwikGDDfgrl1ys4mOzAfZpGSiW0HhZtCPSQt1r4HfV80i5qw7zuOmd
w+LF9kQ9G8jUFmpTrO/tudOavczRwd90cRpPjwPc3pPqxm7aMPjy9z7r036DIKt739aTde8meBkd
qrnOvxXa3D4UelD8HhjJSJYzprjbmz1u2xSKc+3WE2o6KN1qV7Xqdv5embVuRgIU/dehNtPPPTLw
DxSZqjmqam8xr+3Y0KxNtogl3tSdY3+EQEAtyS60HHye0qpvhhm71bOe9K7/DNDdAASuoe659Y3R
ehpFBc4t8TwYBfriDGj/VmMJttedsiEcZo0ECIMwN/ugV0mC2XMAgTycK2tgFtNxssCiDlp7U3Rp
VTHWxSL3g5AZpr1p0p4wNW6/wczXs40+WzlNKm/2cRvJ4SiFRSzNVTxkqW+rYWUAGHnXDSeEANE4
HxqKL6fMgFgYusvQklxWiJzhoeEUd6IZO6aTamcT4cqUp5slFf23NJhMfAgK0MRH1Dvk51nX/Bdh
Kvubmwrs6oEDz892riWfSh1Mblj4omq3ZmO7Qzihpp+EVkWlBAiv6rCDgpFi3thea39PBEXHuwIM
qLFLMw26aYg9Vf6x76zOjvpJOCCZKgsQuDkwtiEy9dSMkEUUYQa03eIUaAb3wfMaCeJXw2MaTdqV
ODFB64hcyBlVRKaQpE9ISgPSDDNjVlPYNuyzzeggt0KLq7K5FSXTF7OG8g3+b8q6CFkW+Rn2rAGr
UMJcl5Xr39cpiLydRfJQ3RuQmuGpBLXSjjZH0avs4yA7lV2epi+9nHufTRBb3hWcH0kpZgZcEdEC
xOVkKYUb70RVaUBXO7zCNtUyCReAZAkLwijTnkqtJ+J+03YtBpRFniT5fknq7DMYmfR7Cx6e2rrr
NUaIAAW4XPpSqmKurPowOYm4R+/YRp0AZAmrqWC9R5lnLz32BzYl/2YSvkW9lUZWxI3NfqWuA8HU
WO8TUZD7ZodccCpePAOrklDZlnwslGVrYWpJ5L4xxfSXDQLZdnszpNzPtyYkFCPSEj2twrE2h5OS
U90A3XSTnWE2enaYNFHtp9xpJCV7fbxfqM99btJErnaevX9b6V0MYSAw+qdSVmkV4fRWPCWQf4tw
NCfvU0Lu9dD0pflBxyvjJrcWi7zEHeqIx0mHyLMpkkQSaL67acGpD2za1v2DCJl9wuJreomd2feP
PsCRckOkbqvQmjKsTmJahndgmcd063KRG8JE5OoDPT1UMypjiG0g8yRyIdwQQCWL5gTY3FTKN5D0
KHA5AwbsHZLFLcAbz/hznsp4mMbIV0PMqqdHUm5lNoJGfju9/geO8P8FWIy/MZJau+V/f6KHVFHG
7IezfP3Av85y7zeb5A055hWvuCIt/tNIyg1+c+E0AJUEnkHrfW09X85yjf+EISaCFyuvfUVH8Rcv
h7lmmr+h8IyHMuRcVE/Wz/0bblImNesfE1uogUANkUkAHcbGN9+rFvkKjhBdfZ1yvEQrIXaXunIR
qpDDCHQhM9WTZhazfvJKWl1crGt3Adtp2PMXZ+7tL0nSxN4fOFTntD9o9vUbjM7mPARBkFi0kPCV
dmAnaeKhr4M02+lNg0giZ0TgJGv9B/+gepmFcbc2qWiNTY1aQkdaTnut6zVZxQbUaqqehNE4NypX
rTjEo3RqawttZ5nszQKCt9v2I9rhz2Xd4lButzXtV7jR6hXx8f6PPJGmt/MRIKcv7blboYo8Ikze
TpxFT3LAvyZOa2+b5fWdNtjdtuDA4lezZ3cY6q8Q5ZyoG2Udecn8BWkO64qy1SnRE1xEvFEPU9gV
dCOKFpWLRoRNZdj7JdeudMNvrorC4bKWFP3OwOjvOI/BldM55Z1VAMmOUvQMSQHvqfhmEaXUNlpr
Yagu9/iCFAj16Db6sbWX3kOcg6mSy1tnmNJjn87ycRjhAkC39I8kjebGmJ1+B0j0u6hQnzZa7y5x
HXlsR+0E4e/V0OZ7yylWJ+xE21FC+VgOI1nZmCw7D4OWe4wavwSA1jYyKO3IjkGpkSrJLUIHYpvr
xRf4bn/QT7dC1mW9d/XlKwI82p1uYfBkZrRt0ZCYosLHg9mss/GxCIbPM5vgoWl4VelrAySqBE6L
ORd/ZKyAQ9a4zRY732nTS19tjGQll/ieGqYnOnup/k0tbfFsjnqWh63yBveRPjYl2qCKrVNH98j6
hpwhomayrjVt01lcpM3bPKNLhXO60wPC4zS+psLCgYN5UZue0sH3HrWpFwbg/lkby9XHsM0M8LWj
4c/Djd9TsvngzX3g11s4A8LxXxvyq3m+TryhC8wP0IA0qDyh6nUjOwFBAHlhL97Y7lsst9KtnSzD
Q6I39Xzl17ohaZhL41E1jvniLZ6PgeUyHZBRbe/R3cIERnUSPIHj0YtdBWzGPk43SLO5n1m2FsF+
gMpmuQ45kl71YNRlS7Uyb16txFqB/QLCBVBLklSRzLR0QBt1mIXEpdY9dxnX6o2X01EuRmFukkRl
t8ZkfUio2Ec0VSt4XtqYhQGFBDsq4pxVzKnRjFcAxDFxMI1ybrx912r40Hezx8GbTNqVQofo4Aek
JHbsWBzG2rzegZswzeK2u+6aNpGHrpG5DrAeDzVIO8UcfAnSNj6UzkhvWaW4i4UQquLDEEPrmNvu
YyprzNRUnYZ+BbwlpEapdvPQYL5Zu/Pe0zQDFXsj2NW+0Hc2KRFlekq/fuxjOk49kBp19pnulxbG
vWiPhnK0SObtApIIakMgsuI+y5fl1NmVbxdhgiGZf9dlZnYludofyaXYsA5lO1+n2wUCQ36m16ld
1T02vKru/Rt/UflLkkCjQmi/2VKBZjCshKKks/4KiWqolF3uoWT5+66DCAstycuufDlCKKklKn+m
1h1LMibwMKh6dFkTXBdL4N/WtKCjOsj1g25n+ZVKlXaFqpf9MXP0ftMlaRd2nSy385If8c1uH3X2
Sfj2lQXszkd7jv1Qx8iBpwqeYXkw6opeuxsxHXxv1svPbzNYd41+qKfFInlY/4Lmqu9ykuLgVOlL
UWvZ1aRs7STrVB0TiD9P/syQEHvju76n9GQgmL1J6fscxdj3u852eb8WnVCl18HeGQrYuk1gwQjF
R1VNs3nXenBF/ZLVkzU4vTWT+7uPKdTL2/fXgZt+Up5b7mlOQAeHdHz7NoaoOE9P+lT16IDb6XST
lE76SWfrfUs6x7+BUWx9m/Jev+9KL38Bnk6fHxWbl2LgciCgV3+ZqrGKKi8ZzJC+DKGPfsbvhaHh
0ZFowZPHrexRUlV+zpoU1EkRwAg3MFuhfexfK8MlJzZ99QogMeEO5HtXgbFAr5MiaPxP6K0FmnfE
RA/u3jrG2BSy1Ze6HE/W5DbcWwpHN5I6RNgXxlbIJaE/2brRybDxnOKoATt+6jLHOk0e6r29cu8w
m37kpvIwu+KAONMS1b7apo7am2V3FJAbzGE+DJb1pfH9eqPniR35SSdONOJY/I1/Bz6Ihe4bH/xk
+QTIvN5YRSs3jWsXu6Uyuv2i9VoE143FhOD8LpPw3IOkK3b24DTbuPYtOI+rVICW0UIGHxVWfmpf
dVbd7fVU0G4BorBxaVOHXuIkB+myxDvlgiGfu/7Faw1zAyN5DGM1PyMIlDH+9VNhxn8MMv7q0LWO
EBZ8NKRqbzlLgg1UMXFA96va5rgnb2ePUDwsabAdcWs4oELifoTgMEVmunSf57Rvtt7oaVeks9oe
2+V0K6Qx7d0uPRpBOxO4bf910rvdMnsH3Ri585SKIytbHjqMg640Oe07MBqjcq2omY3iziw076Zx
ppR0uU/AaWT+1Ux9cVNAmeP2QCerST/G6ErBIsYfTbWIoPb5JwTM941rYkVMs2WPEcEStkbxFRsM
xNCQw9uUtSlfe5T5Qs3u9AhCK/o0GRYwpTEfFu7V28Hxqq2OojXshmCjQanbJXZ9tOfRjOBnlddJ
2ThtqKopqoXyt6JMCYOOp51Gndso0rJH9mu+16bZ3Q4GJoXBGquxgQZ9JV7yOZs4FHvrXgGE3Cdq
jDdO3AYfKqdvH4zOVRvLK3UKEKVPadIz94mYLbit8VSHsOemKKEfiXOZ4S1cYG1xGNEov4egfCQb
9EHLgP07Ftw7KSI2aXa74BF8F5RGtSNWjxTsZ02/l34sP8mZtnsox2w40vkJIhJSH3mEmmPEnc3+
5AXxt2z059sYAuONLuAO1WAgIr9pqvtMb+vNQtP0aHBIb+OKVgtHnttHsT1Ye+kVrFc4i7exLihC
6Ll8qprCxv1TQ5BnQAXhDxEIbe8Njowmh+7KsiTqOI6Ve6JuMe6yqdWussoHTSU6A7xB7h0U8erb
NNQNSzLX7iD/jSzTpLg2ArnsiIvGEbjsnIbupKYNBP2gihabIEPDxwIj0s9my3HowRHP+2ZG5hG7
RG7KaXCdLV4SeQ1lIVyOmxvMt2SUF0W5oy6vhVh3y0ehsmIzW2SM2F1QsSi8+Y/RpIyDqFeGcJpE
BIDbgYo8BzMtMan0e+7UzlYh87BvW3zmuCdjODqs5Ku+avA2JVOP4kXNHxplBvdN3K0p9LRDFla7
VbWKv/KHiw+B4q4IKnBdYv3yEdWyvRvbPWV77OgXFZwsBdmRi+b8PTEr95vfePpeQ/q+bRIIUYVl
H7IceQMnjtV+MnLFgeh6WZTWcU9+zJnk5/FrUFXZ1i09L+RM/kzjtrsxZFbf24UI6CzWz22Gbx41
vOkkYOA+BaSMEUXu7OjWKAxaPQloPw/uNp/5Q74nXjnRH9Cdp8LFUQZP0b8dg+EBhVJqBzQG2UTK
HA5ScprEQVrdA2LLAMpORDV0DT+VAUKOpPanxOm+ecHwVYfPvQG8ZkWiaJBlUAaHWYKnX0+4BFY7
mvkXV8GsA0Pz4tEe3Sl0BmlRtXeSPUbxyabqQbf3UDdYmpNqdJvEd83QLZCm0GN92Y69d1MJYV5z
F6n2CLTRlATr/azDr0CNOyjRUEH6coPxW0+qbG4Csu+QYofaTYI4Krnb4SUrml2mmy9+XvJ+uS5e
+nVFkMSf5iZNAYDWAR2nrLkHWwQxDtDfVZUWgmmC9AQccTwN+rRsMn1+xGnMPdhtq0MCR+1i7FQZ
xaUNxsp98cvuYy5sc6d7xbKd+wG1E6qxuw6ME0C9smDTL82D5pFT+om/Tup3CwRCmLXu8CGp1bTt
i/a76jQS3RaXWdkI9Btw/3k0U2+4HzWx8v0z1zwtq5+b0/o5i22Inzu6fA1aWwpdCrIlLOGX9lhk
0t4HXgrWpgy+joNZbAoXMw9anFXYSTM+jhx1h9LSnoraOlqa355iW+mH3srcu7FobzQYMnsNB90T
dhUJcuBosvg29J8ORPoOCK+JGEe37BXDGHJsWwKJuQG0roOWFflkHvUYAjzEqaV9Ur3IwzGe7mcx
vBhLU34E8hPCLm8eOs3KnxIQ3fvRlsAd44bGuK9/a8F1nAJ6XNTjWprq2t2iUyrF+Uv5ZFrILFGi
bHKcSdxqPhq1hVV9kH4ppuxaZ1w/xYbrwCdqmUcDxE6ZYcHrjojqYB28gQ88R07ZldsRJdI90GlT
D8F+2dfK7sWDsv1+12p5u5mBZoeFWeiggJf+UJRLvLVFElyNcUJ6pv3hiXS48YIREzyQUd/j3JfP
VmYgeVFlAfBZ5RyIX3jSFU38/H/ZO5PluJE2y75KvwDaMA9bRCACMVGcRJHawERRidnhGBzT09eJ
6u6Ski2JVr3uTf5m0p8ZJAJwfMO957J6FjdVrk/71XWSy2RovMIS8gWn2a+2Vk7Nk3AxXX1KbyfP
EmiheudT3iC32LhN02/IxJ4uzlAyYzUs58Lyod5ktRpuCg7nTYbaMVzZ5t/k5lLvOzmTbGfQxW8y
fX0TaJu3BVqnu3mptP187UMpVtxwsQeHxrtVr0ATZso3E2aC4S49XU8mgGkNr/jxqJQ8IDDY1c29
mzvq3PBgI/o2XlhC1GiJAfTmDnJp3VuodQaYYlOVXg3raN84s7+QNN3tJ9Q9j0iD9bt0HGwkcpLh
wjyRHRAE62ZMl/SUi/JubFcNxzzIC2FWX/w8c2Pfls5WjmwRq6EdDxPa7tDP2oljw81RISxzcstv
l0dIuW7stcaxpqzJeVgL+6VDoxDObpkx1Ec7dSuEWKM8MPvXBqPxRhQ+F702khJPPpWIUqKlPmMs
vk5pFTuDpp+EWyRbX9FDUW0Ed7ZVjQ+9b0Ijxz9sMrO1lvusQcdBL4wgUzgZ9V+hzrSoQ0SsjXcY
M6Pfqm4qH5ugbu4tgYU0tDlnLxCH17iuhu5kNU55oxJ/fFtmjCZW3ZqEOlTpQw3BB42eL6K5was/
WPh6m0CBd+2ERJNXti86VJljrqC+keRNFKPRcrhAQMue+qy4Y4l5sWn+00z/Wjmy/+wzztqUpleh
D6N2FUHS7tfZ+ZyjbI1KZ6mfW7NqzwydrzPyKf/SSq86K6K+D4axfuvMUUbQeZa9Ar54th3xQw9G
45RO2XpGbIM4B4FXbJXIhNZVIe7yeeTYsvexLYw0cjQw2TJJv7Mj6qOkSF7R4CniB+pLR/vVr33z
qQMJdcfSwv0ncUn5YwWmzgMV353WJfney9Wah6g/5VfBBuLMpcu3XuXbew+N4VbXs/7Ooxi/JbrP
in0I1SfJ0AETFKLx0GkV6jeXh+V6jZKQrSE6AZmswuOBCAy4OK5Dzmi75GDW4PZNWT/HGIs9FnUG
QlGnnqC0Al9BsaI9B5IZtO6QD8jMvH5YJwg0KfAOLkzWHiXl0A5hM7VyYU4DfY9jchNaswNnpmWo
jSpy3DdWkSGaS9qbslDJDcLefkNBi8VzFvbXZuGH6se0AGakt25syra+XymrI5EZ2md3oD3JunkA
XOSVe3GdEuBf0Xdawdt2Kdm5tPoQ83Nlh2BmmMSsobrYsLz3qT3k/6A+rb4JlhWIWIcq9pq6349t
vbz0ksNHTwOy2Dn47O+u2VosJVf/G8CpMiqkUKjjBz92e9HsFsY2zxV2jAhYb0r6mhqMN+R9Ah25
BNSE/yO4N6Svf2pR+XwXwZBEzkgU3jB49g/C38UWh1W6bQp/ZgFXCPSRTGhMRAAMUGb5xAgqeSW+
vblJWIFuxOA1Z3aa7SadxPQ9D9QXC+HLzQQ1PFZDT2HjBHPzdYHbcG/O+hTaaMFf/JyImGm0/dcx
X7OT1PQxRltR1pt5Wtz7HvH6w4iVeoK9ITdTfW20xaIdmxl4CPsW0BaSl1CT0TWHaS10K7Qbw7/g
oMhPCJzyV6ucKshRVZ6S5W7Wxe3QkdwC6reQoYsLj+Kh824s95pQg/wjl/sMs3GY126kQRvd2tLr
LVTYgMzKwhhPSgvag03KDL1a2gafcDF490zbWLTJMv1WmS06U7j6edhNK4KqzB+/1Eaqw7zi/d8x
c3u0IbmcAldp22rRzJ0ZpNOxyXNgOZbAr6Bp2g/YP3Vo6vlt36bjrQns9tiQQblxywYTodFeE6LX
CwKQdD8ybzwXHlhTja+NonQJbs2ZDOsSqgNyvkpeZKInR87W+gZwBMGgDpxbHg+gYEs6vAUUQrJJ
Xy0zeNUc/cFmuHrWhPiC1Omqd6YeGvVxqzvwgj1uEz8zsYQotSHK8KsLra2qQIl0Vo1txxurx4GA
IKogc6uX3mc0UvnG9xka6gvrLQMQ9gS0dGvwNEQWiBqHQhYXRgYCuTLJyMVQIMjYRrcycsRL+Gly
kcexSYeHTvO5bfBMjFlqctxV6w6d7bRBWWQeW8sct9WwPKVCPTcgYTcEZ0d4A3cN3WhoJPp4MQwm
iElSxzzgoFkMLbnIYTC3K0Puk6ezmpqNSnLhJ8o1y0+32EG8jQnY8gDwdIiXuV/2SwecSQ/KY9Ml
w4U2qUh5t9uvo1cUYIJ48+cKxHDTTnEbaDt7tPKNmVvpXnar/cPVZffglr1GgDFh0xPKFiqFqthY
HcriKZv9UBuK8iqrM8m3B5JEzVleJhEwe62HCt+pI+gii+JZ6WW99TJbvwUApF3yVjOKsFiVHfFK
CT65HiPeIB8f67wytkZ/Bd4vUx22A1a1luX9rnWT7G4cmB7ok6dtWSJfkJ1fbeCMb5XC8BX0bnMR
zJJ2XjfRR1k02V3Dtfd1Z4MyXTvC6eM343Z4nMVyHxAQFOZjaYfUnVR97VVAQGdlBhnYPkdHQuvA
zVHQg3qPUL+paA5mU3yRfXoZpfYmER9sNZBXETTfnNyk/k5fYKqN3rBsYAV5MSZ2d6unPtWf47/6
bt/RrYhnRjwt4kWXu8v0s8NCdOBGJte6vTZ3zcz8d1V1pGGvvBulxQ0w1YykLZ3sIH3ZwL5pofCN
REcEVuOH8+R/QjcQYO+XeUQcXH3wa+88DP2uN5vnadEdrGkebXALVsvOv/RF3kS0D0nosh7atfba
k7Hltmw3Vn3LcuJiF83j7CDO9TpmssJyzyIgmsbq2BiILJui1vLmaK3nPCp8iTeTxIo2kz1ondkM
sRtaj57Wv4B1o/fAHrtJNW/mjamfkqZUm2LxJ1D7fn+y/elzvwQ5w61G39VSfy58ophxj4yxq4LH
xqXkagdrvsC5wnRGL7oPLGkdUfzee65kOzJX403FZNxiCqDJKGjmfOeIZReY49cxC4DiMRLBoLnn
pFfETcOKR87iH9Rc6o+Uj8U+D76vIEOY3wkG0HrwSB35Ba/RJxqNBg1Nkz3kSrwt7HNuSsPTd0r3
BPw6481LPAZNcqvnIOuw8+2DdhXxZClCeH1w7NTnnGncEh5elf1ybQOCSuwqW76NQ33IGvNz0iY2
2WP6/Qoc6FikdXFmSb5JAeBtzUB8c7F8olCg7zHykdUWwuRDaTmUFwmvD0344rwWxZEuKT1OHop5
UzO+V8aVN5d/G/PcOGJUNWJwalVcBxWbJArWUzqkzt6iVDvrbtll9NVT3DfBGC3uGnxaLPPNQtJC
zqE5HxoN9rOTSXmHon0MfZE12zRT2YbmvbtLV3PZC6Fe8GbV+XlKJzIgHznSp0NVgwi0KrXsMazw
WLhN+lXOEu1QA2Zx1Xv4Cb59GK6m5CXRim3vjHtL1IdqWl9qZZz7VO1Wa0bTMasjiTqfGsUNmDtJ
uTOq4mVp7Duu92EmjfYKC4U9ymsOOmTE1HXfl/nD3Cdb1Php1CqR3OYZ/6dR1aeu7Rd4ZPKeTdu9
NUPjMrODBN0Pj6oMeddERj3yE7ZywIiJNFdltyoAfZbyqMv5UJZWxt+qt7KCD5Voxmtf6weHp2Hk
1thPqrhI3T9opv9guJAcR7s+AsI7OlYZeTa47aA0b+cCYB77NRUGTCi3hI0cq6ZHA4SB4SnrxDOI
YspfIV/aWbt1SjCfYJTsNls2/WocJjaRGd1ixJ5XPutrcYOsKtRqpPFOD1JDftYzldO4BDvhWjeW
AXrcWBbzoIJkuSGJFgVYnmw6H+ZrXuMtzBd2XaaWb3ENvK625R01YHXHUZsUZVby7FwrC0ejgnLx
xaLOQKYPyy+qlvmlznTsdmtyMWlbHCyjEQwSzgaeoyrw2OA2waeUBcLOb71j6mfBqe3hjIYLDLgv
DMTIRU2J3kUWM8EF0U/tSh3n0mriXBzyHaMG+Wyju7mdPbs4kuiQXwJtlUwSQHem9VVwbrl75iwg
H3vN3Q1mNfLkeko+2Xh6Xu2Wgr3HDrvlJhfVt9x16Napq+2EM19aixbpfYdmn1JOk+Wb645oQ/I0
YyGjqy1er3Sk/mKni5iFfR6jp2y0vcjimwE6X0QisHh7U5ogLdtidIscxSQ5ZZqBPuQBemsZj948
RnavvttlyeSBJRUzixCP2IFvcEM12DBUV2Lb4jjm0HCcozmRd1S7IysNbZcpVFiJOLZeidBL129d
xHSR6clqUyftEzqZ22k0P7MKLUNXsv/XYL1uWyPtDgIDEDxv/3uXtgaNua72Y+E2j6oZvaNvF/fD
SihsElg71VrJhtiNJVTkv5tylRGE3ubYjesWDzfiZ2G8jIPfb6YWYaLDcL639fLO4RtFt+SGdQ5t
AKfXfmExCgJyIR4uADgB/HM7+8lNWaf3nmBo0XsjG/5sCHn7xCO6oTBJEaEr52vvG18VnLJNx04x
GmVuhF0xPKWN+h7o2HGSgFWK60Sjnebcx9ZtpiaJfB23aVXp390yr2PN9Ynn9tjPeWXmUToQueyv
hGBV1akbRmDYxOBion/RGpYR4FUoFYebTpusvZ21xm7t23s/IfAkcO4H1+s+pWjOtl0yu2fYwbjC
B8bbY81bmePTwluHunpKmy076Ow4jLm9QzLYxEFJ2c76nGF6QhPquU0NmMF/MoKivxGydC7ZkJ96
0avIE2lsJJgrbW5D/fqiSWgwuqLEFthHbC7zcCytjgkQG9zSLD5Nukf6d6+bYeEtAkVoXu4UC/so
sykUSh/mMavy/FD5DK11l7hljbYgTKrx7FT2w4gXLpqd6a61UIzonv7U94UeQvmy+UeTHfLR/GbN
jDGa+jKkoo4WAn4vempXFKBBtTFsGhVvsehuas0TTHFp7HLGwgVzT+tpRHBf1bdNitbqx2pKUKUJ
1mq6GCIsxoPVKK88zfMKrlG2fWVd2Mka3QbHQdkdel8zjHMru0yTjCow2OyBkeJwdHr8Y1vm6N23
QmYVc/qhX79kjOrmu55RkgxzhpHTnr8EezDQfzZR5btLdsv7Pek+dVqz/LOWs99FrNol8/ra8/QY
p0CHODYRY2qGM6uSZkP6zhUz6HSacUb9QUHoLl720soptW4Gx/bkvclSjGqa+77Mz7OTN+p+7BIk
ZFpqtsVWoVESRwH5SO0C1t0M750A1Ku02lHfN1g52TWXa1Nqp5TZ63IzzQm/HJ5nRlqOZfdXv39B
txAG42jkyBSHabafcfCu+hH62womsJhtY4ioe1z/U454gvt4qjU3NDQse5NR5DhywVvcoqbwb2zP
eJ1b59YHiBna4+huKlfk+6Hsp3vfgnvaFrKN+yRJCm4nlX4FKCpvtVKDltuJYTXx8PIu3ejC8A8I
Pe7X0XMe67R8TjtvB+SXAThMSrNWI0m21q0/1W9WorYaCpw6LJbOvmNx3hxTzZf+htNQrU8Yfnz/
n7FDgMfnj+4pEP3nSQ4uB0y209LkOxpnY19XHryIbg+ZdcOy/gyQFSJ3YVxpt1itJzdbWcLkTB09
c8fyojr0I38pimE9GHVTbbs2QPbjDfNTuzqxRMJ4SgaT5o2y9zTVC/xWdLCn2smyrXe9SMIhxKd0
u32nWc2hh0W5nyz5KjT/JjODmh6pPU6QX/d0RzMH3NrOPJZOFmkp56hrSpwZGU/INHgGwACP83g2
3Utl6zakYbEgZSiSgzZ29pdlVik70PWLHMo3oKQSbWxHsNGaxJ7EvpwOgUCs7BRfhAzezMUvDmgg
bxqvK/fNOD3CJJhPI5Ovu/YKFHMmr9sVuf5VDAKSadbzlrEwX4bdKtNdQYMmsA0XzTcPuvYWGunO
ntmTz1l/SIZsjgTaNZoqIOhGuxxZ2lkxzC+1hUgpI9uYln2VVi5VgvessoJOWfTzXWokLniaOt3A
3UPAC245R9EQXHyvu7eFLx/JgoV8q1b3Dk1fEGPvIGy+qNrvyVSVJG4F2D1aZ2Y3A2S3H9F4dV1P
L1Gwqc06E70lv33Ie1YLVdeKA087c1ffP+WIad5aFgcM99fIEtO0fvLNRd+IMnCw2GtmOCXlS+nS
f/ZIhMPGLB7KYoT17M9+xBr2AacvGM8yYa0btFSDnhogSNbF/NTYVk0xg0bqyMJbLVfvYqOu3o7F
CT0/WL8hDzNfqwCC7t0Q0ByaTPUBXVYEiNz6yNf7HU4g/eiAfnhdx4B5IKSG1jnbFSnaG62yv5S5
kbNhbORnlG3OCdGj2mDdX0O43cf1emSFQ5+UF9uXgnWYOAM/bjatzsxFBrLfTtfixui1NabmKJ6K
Ul5pq9l0NPtkPnKAUVj7SVVuOsl9EImkmzJYsgZVVy8mqR8xOvD0WYOa/TeaPgBRo3KCCNeYOHdB
uW3sdjrOhH/fa47bH31Vm9s509zboJ6XHTuJ4maAsXKfSfEdarR54SEW4P8r7a4p4VN4vgSvo9kP
rEX2jI5/OB0BVlpXIEV2OApX276TwHPGLdJ1bbu6aZGgtsnW4eS76Veraj6zeQT7na+RanXtUCS0
yGae388lizx7YTbFezj2W0v7gehc3zQBDlnYzoUpmg3RMdOBE2LnOOiIfB6SqNaKBfdAVdrQXRPj
GgFSXlJPfxgDdnt6BWTfZBNg2tNJ2oN5MC3YugnwL6Cu0271S679NPX5rafbMO8DwT5yyDwo94R6
OAgEPpvQr29St/Z6GsOeANmi03GXmcMBf8US9pnZfV6L8umatbSZVPtGAzTcI8FD5dBMDxnH7oru
ap5/AEp6ZECU7xT7Fjb198ils03SAQeWanqkBC3CWuecaKH470gZ/bIGNeHhdjUdk17nqzGuVonJ
FdfuYuom8GHhMgdDcU4dxwlZoHufrdK1L9XkVIRBBvl+DsyoQAe0BPUaXUf5fDbzLb9YmYMrt4lq
9LXD2ctaYe9MQ3tVOGQi5kT+wZzBd/pqsXnquMNAZDSPU4ehGD0XZNzCcWMLdcAUusOC4QOL+g00
3q+EU0zkTRvlvir6hby3lNzBvOtvrLm1w1EXb4L7cStVXp7IU+BNj6H9B7ZLlEJtNA3zjon+eTF5
0oL2YRob5GwsLeK6Hc+EoGwxymdxbSHosIbVoBgXOawALBbsOHvqnwBphtvA0+rjHuUPq/cjFvtY
sZIjHKoih17haEER0RfGQ5AON14tz7WJ7nUtm3EnyUFYUWo6Jam2norSNZDnokACv2AaCB2USmTs
tWxT0wnASJY0YZv7Sdx3towVgzd+X4RfebA81cbQbCovY5zPVSr7PEXWCyxZzcW91mtP2lAu7LcC
sMHOnITDtKy86p3bBkTLCRMnOy025jl5JCetBCSBGDRmVXdNT6MkbxoGlVapj4gf/JcqI0nBnrXv
lrE8gBk3NwPj96jsxvM0FRoQK2jK4bLSHhJg/+M6fD5Mq/cDO4EN29odh6ikVAiBY68HwcW6JELB
Ivv/gvgfad6IXzGD15i5Pwvid9+qkkXK2/849Nf/6d//mz+V8RA4ifNCzGBfnWy/KOOhE+J/g+97
dSqylfrpctMwx+kGqljEE5DQPOTvP5Xxjvk/GcwbuF/5T/r4IP5byvh3GViaiQePn8J7D5/uYMwn
I51WXM7OJ4BvzASGMmfAmlu7eeisr3pfap89q5qfc9gwmwYvOvNAw2WXPi+8J5dgr6/X+aaeGE/c
oB9muPP7/2JF/fmTvYMCZ1qhjz26VUQNWX0y7UWeyxk7eYFh4GIKNL56R0oS9YoeGuNSPQwWAh5g
RztTT9EHLokzbuy1StkdVuYuoTLcIusz9h48lwgXqnX/yzf/O7v5FXv40yr48yfFv/CrWVZvlJsN
uGaQ9hJOZnWKsQeYqZA0ngxljZ2dXHBzKPyyskIphJ5iYKv9QZreO9Prz0+/cqp/sepafp9whnZl
rLcmh4wnJ2bfqRP5LXarLhtqBogMI7JpkltpTOPJZQT0Aa/v33jbn5/9zibcCISGRHCX8YpeEC8A
AoS7lFCJg4bqf+NMgX6fW/kShKATPwppvf5ev7vaV2f9L78vnYrOKNUsYpwV9W6qlRsikK4ubITf
PvhC//RrYVb59SN828V2vk7Mhow0O62yzZhAieaxdvMpLtYkiwq7HDdBSjXryVrE9ToOCKjXm5Le
N3C0eRuAvaJ07V9F69q7JjfVBsBc8sGXbv7bzvLzwl///JeLQJYy+EIEWbGJNmADB7SIXLBquwr8
emytujhSM5THNKAl8hI3e3Rp5KLUaIOoYe7Nwwtri6Rkb89KPzvqk2HeSNIQTlYrl4PeB5D1Wmok
Csnh5u9X9U/f2ztoaN1P+QBnQcRrMtcbDDEAhudi3AvpPfz9E6zfHxlucP3zX64KFPS0AvrTxNWo
VzDvLFoUQbKTU0k6MZyFrEDyZk9YR7NdxdId6Fjq41ijm9VnZdz5HcHwWZc5n5oSs5qWjeWXgS15
nMpMxV5BYTQSFL5J1rTdWwAPoxkazt7JDCr7XhlRWS2bFp5mVCeJuRuHVZwQH7eHWeKMBFOFW643
5pOd2ow9ywYqW4oZ2iULHumJv5vSzvpvxXn+nxvEDd4xsIsFoAU80CZGGE7dLXNvywqhC3W5eLu/
X+4/nDxYsf99udvOo6lcZi63RzuVV+yTR87qzSDUDUGVX6ake7GHTGwnNF+YHKzlgy/66hr7zRmA
9vXfnyy1RHl2Zzdxmbto+ul0bCYTEDewBmfjD0iRHh1FUXnu1veW0t4oaQT7PhiwTLfu7Ojxiuqj
+V/lEMDk9EfzuxfAn36cd0cw4EAUFI3DxZa1dZ7WkloOLFMdAxTwCHCxj8JPK1aXFsswBvSRZpTl
pupbJCg2w8oPvo/fHwqEM//7qozC4XHXjSYmxyyPhckQrBwX4BO4kFoLw0Z+dQgv+oCrdKLbWmGR
731/VR+8Da5X//8+mdH9/vvzHV23NVavVcykAtUjfuUtkuf2JIjVxHzhptHff9HfnyQEZP/7c5LF
58kakcuPxVzvewhxvOxJ5taN9vHvn/Bv0PHPp+fd8YpMNFgBtJRxOSjMc9D0USxrAd+goQ6kkZEC
S/bcl79/2J+eI+/dyagEMLS6XVM8EL21W5iI3EFf1HjxcOqACuu3pm9lB82W/yhF3pg7F+KDJ+k/
41R/8525745MDws7ZNdB2+ds4Y69xH+vN/76skB/vEjDAGdr4WrfaJnT7RMJlJjLPNYCV5zrvOpM
xFBcceHTrcWs6AYVHG6DzllUnMN83WmIjGKYrWClZjuQr6Xu1892nrGRVTpgAc2sKdVa0RJdltvL
zDhpksundnCDYf/3y3v1iv7+vnx3ffG2K8GyW8S+qy9vHqrNNCRcbjnCbdaCXe9w3WnoEGgzwmIT
UaU6av9BJTOSdTsglMUf3DkqXdm5Bw3lSOFO3HyAaBnVjj70zapzS7zci/7dMYfkW1snhkJyZhUv
5dKrlwxZG3v1gZQHOEoQCAn0oPl0eFddB5HIExeRBSXS89y7ZaICr6kJ0Ocgebk6LpfZvPRqXG6s
pDLVFUoXHKoFueIGf4W2RhW0NbxQKLfnrUsFvHdJETBArFrqFm0xm7TJE/gjHZ8phjVlxQlhFVyE
2a2FEwID1L4sdlcCjNBqZDoBarHz0s7pi0PZdspVMV/l5cKIHHe2rU3BOBGXiNWZQaiKqXARn3mt
GzFmAuA7o7HZm/hmHy11nQEvoln/0ZJC+z6B+4vMRPOduCUp7q71sdczKtPsc1e4wePSB44RGXaS
Sz50EWSjjrVph1Wjumcs4MhKEYBoxHmT4dVFtW91znlZ042lDfwhJAG8QtWx0lcNOOKcM1odXLxY
G8NUxbfi6n618rr8VGL/P7SCzAInvXoMhs7hm0fLxTxlrGS2IFiwpzzulx66Px09+Uz4b5z9Wgrj
2dVHAt4nuvSSRbtbfsI9EWjHbHD6H43rVP9MhQzYZHsSvSnpfBE1WBMZvjMSCYj/qN20YkhG8sZV
XaLOnf3H2l/5lg0kZvcChXwdOsDkGjwItfusrXnDmL+3SzQ7EJlk6I1G/TzVuQCbsOa2ERFoRc5U
ZqZaHQdzZj0XizvGll92KNiL4hu6dfd7TawfW820WcTndtDd7wFOCm3n2S4awwK7f3rn5paAkCs1
DDXllTRPCqTZ3Nt1XT+lZiPSzVohnY7LVqGis4xB3zG9FDae2x5fjJZqapdP3YqLqHcZ3BP0d+6d
JWD3z6qiC3OZkwji+qBFQYvr6g5tNiWZABE3bfy8Nx+UrZnpNh/g+GOmYR2Ji9Td1kFGgl0XYCXu
GrUFQ4AOAJbGEPodAjW/oDllS1msL8HitCi2gtUVaAzn4aGVDtIRx17YUekKIOiE5H1vA4JtN2jf
B+bj3NcbJLrc7NWQ/sMkUuLTdKYrSMQonKhrypSJslrbWAtw+szI81nyDYb7wFBePXe6JoeIERX3
IbcOU8bZohhydau467Msh4KGp+oVYD/DYK/qvIdESfGPZvXudz9lGbLNltH50S4WamwDmjCjzFaN
nwutNxF0E/v2CiJ2gO7cW+JHk9rF57zpK8xEMEgUQy2UkCFhSIsRtgDDvsGuUjfKsMzr+gIDndap
R7fL2TX0VyPTgHAW35ujJQYucPPG7/0IGCGUD8nG+585RXaK+NxBi+3IY4qGACFeDXRjLur2G/h7
QCNZzYosNpu62JVTZlV4CXzrZexxakck+Rwn5qCHlgBXhPmF0crYJ40F9epSzPFgV565SRhyv5ZB
JxHD9cWyRmZaaOekXydE4Gta3ydtNXNqDvJFN7ylPupoDy+5stZDq7LBCy3pNU92X/DFq2Dxzwik
0J+VXUtAI4gt7vME42/L48sX2cbMMGc3nNiDqk1QErBiVFi88NJUV4rqkscjonkWMXMQ/HAaPU+i
upr073VatQSl2DnuRQEh/LWlI4AAKzk88TTi3964kDAuS9AMRIy5HSjJcpAFWzkv42V5DUydNGm/
6MFQfxuridO26k2rRonf5qxcy5L7GWN3knCGc2ZuchixzLmzzDkHs81z+PdX4B8KpveBOKAolaNk
R30K2R4RlpUeKlJfQBFYyfbvH3GtMX9TR3jveoFZ1X1NFlsT45XCFzBgrEuLZYn//l9/F2XzXwXZ
FSD1a2eXrybbV8/EJsrWkPycEnZRwEpc4fyAD9T0D5VTsQEwySJl7EDqS2K5RwVkmTzkPNuVrBO2
vqOMsLAbYpR5C+7stcif5OgZeyS6NdKcPo8LxyPkDclvRPu/HoG19zd6V9j/jyW6965TQPM0Jvmw
VjHuz+IMpIjtc4G2pzBtfHnrYkR92lyftqA/tJSh+ypp57MhR/OD2vkPLfJ7/oVHGQcdvs2h2xX6
p2K0k8sMgPBZa9lrIOyEzJ5aaQxQNNsXa7p80Cuaf6iovXe9ARq9iihTO48TIIdvBLYOzi5H9mVk
3iTPMGmx9xC/h7gdmfr0mU1+/22gXWEeqRb28q4sretGp/fAnLIXjGZMDICYQIjzB8mI0sYu4BFh
ExqXiBDk9FGr6pTGPquaIHKz0X3Rhnk8VVcROE26lXCA2GL84Jv903V915MIWxYY5ilBMjWbVD3Z
dVBEQkak5ql3wrlNHPpUk6iDUOiJeMsAIKYfPHt/erzfdStr1wi8NfQPgXDrFzedlwheD7nZspCX
vz+Af2jt3udXwc/wutbvCyo3DM+FVu9rgSwk0/K32Vq8Dy7iH34R/93QIvXWXEtbSd7ECMc5xa8O
XeiaiehSZP79F3nHBv2vk8R/d1BhFXK16iqgsbB37Fi54nZEnk4J3hje1uP1s0Fhu+DnCFCgqSY4
TJDy93pqJj8++BGu9/xvzkr/3WHmSW1AOqJXPGVDw55sQYgZiOz2Svi/a1NAEYqB7mdhCMVoA2NY
0dbOHWwQDGxE1cXALuoPmqM/PJb+9Zv4ZWImujTnxhzKWKNsJvlAhwGgw95oqkbboNAoIi9Y/nem
1R/nJH/6eq/vjl8+jGmYVxZD2sQKVCd4OdTVBJFqkdUlzf3fr+2fPuLdMcNOtfHmzroOGQuTrSER
k4lTjttyMvQPbtI/vOn8d0+6hGk6lgy5mSqiqbZyUOM9OPwPGJZ/etDePct+guGq9uAhtK3TbbAx
PUL3CU59NWHFX9Lpg8fgD8eV/64lFuPkCxIp4HvOco30QZ9uqlS7pACMzjVqgs2Ek3rjKocSZ0zM
Dy7dfwY6/ubOv+7Wfr0DxFzPRoaxKK4TvX3CXcMv5GoFnQmCi/UZlCzp6AagB5pePD8IrKsEAg9O
HkwwSauVGMa6fsF9kZckIzQNQhAa4bB3x04jsRajKwXdtaHWFs5ikp048S2nbfaLrKdb4hXGZ4+Y
boQtMOgOpsmuYpt4dpaEVkK5uddLsAUQWVukPSYgkDujlBKSnN0Nzn+wdybLcSPZtv2VazW+SAMc
gAMY1ASIlj1FiqI4gZGihL6Ho/v6tyIyqx6TN4O0ynENsixLShKBJhx+ztl7bcIauuE2CVX2UM4F
UyerhED7yQ058UWU75Y+rx+ZZhEdvSPbK4LNsRyTIpYLk/TCIE2y9BGXe/TJQ3b4pX9xG+S7NVAa
SKYqt052mVh+mmZ/Cziyo3xJr7AvGNvOHfMnK/rXuPjk9/7UmivfLXi6TCEuuYyoEGxfGK5St4hk
YGEe0H+OSOqN6mJvk3vZc7g4uO/sTPcVb+ubv7UoyHeLHML6vEaBk+2sjk4WVvdiZWA2BKuYJ58M
ZE6sO/Ld0kbege5OQxnvGMWpfZgIPegBb55zrOWTt/ypJ+Td0oZZNCOlRouwdBemH40NXpjGzi7q
FhLG1AyKAtDSfvy9S/ZukSuBrlK5u9GO2rEL3FGXewhuwAom3Vl/fIgTK518t9LFDggAEH4Z7gen
usFFrmFhQIvW99myDXvEjR8f54jU/qun/d1a5/XI17SW7RFauPI8rWczwJAUrgzAjJtSM7VL5XbZ
Waera4Mv/o0ji2LtGFX9oEphPBM4BJgsNn6WlBh+WRkwHXr9PhpTACG+xOK9I7Gu8+Mo+0bmhyTu
I48ORTL6IY0UnxlG1UZr+y1hNnSk6gKJNLGW9D2G7Br/9Q9cNzMVLtbA1Na8HSY1wHNIeHxVsQGa
JPiGktu7Dsl/WTtk6JxnCsNS1wmJJit8cnoM0whl+k8etFNf1wN39+0qjSeXWDVdUAW4NeU+eaH4
QPpWBjKv5Aomq7tF+afv0GWHm6HJte9R1yjszeBNPr5nJ551+91qWA0ENi+mEe06cEakxS/l3SKa
PBBKNwgyzyjL0XsPPz8+mjh8hf7iCbHfrYdOM6A3n7Nol/eOfunIrlqbYbns6q5t9+Mk4m0v0TzG
Zocl0RkKP5noCRZisPwwkeS3TijhQKIEHbmIgbJbcF1ogtddYS1PklHLYUSYrmyBoJ0yHGAnofef
fI1OXap3a6s3eCAmUAXvnGnq1qYodZ+FaL5aCvtbn2TJ7ZLT4Pj4Qp18Mg7L35sd3DxjRS/wdO1E
QS1umTM8EdySL84wD+eQI4ezAd3teZzHMQlyBRibOO1WTYKv7eNPcGLzZb9bZ1OYVYmm95ztgZs6
Jwi5sIPon7yET01i7HdrbNO13iAiRhaRAQpgEUayq5axXTsLb2Fvmhy8xZNYiwIoWWs3Dq54XX5S
Yh2u4V89hO+WXN1Yknqo2cboNs6ASoFJ0rMU208p2k/O78SSa79bcmk6pdYyk/zuYDh6JEhkuoQB
+6Nzl3LAwod75uO7ZJx6KN8tue5cIieSTrwD5AOn35uAMQKMOR/bvl+JKhRb1871DUQJY7WkU3Jb
CqWtE2D5rKh1yhiD3j7GIDh7mFbMs9kWh1QzGf69a229W+FAD5j9jGFuB28hvQ0F7WBjETkjE9t4
+PganLid7wMeiISs4AqqZNfHmbeF0j2A7XDta0tZ9idvthPbuAME/e23EVyNToh0wiG6tDtzRoIa
Fy3zNsJGZ2rViUDVSDwgM6P6kyOeOql3iw1U6Gap3T7Zcfv6QE4CH1oNYMqC+fzJTso4dVaHY79Z
Y+BlR4OVe3SoHC2+pwVbbAeSs27ytq2DOQJRNDfVcMdxG5zFSbwTE6HWduQum9YpMYVZRrYmJxNW
qjflK7KPFD4nnruWALhPHvATXyTr3TKkvKZHZawllE823dzRhl6F3WdDNiT402Rpth8/RKeO8249
Ik6NXJCI9bs1ZpthejGfL5UHtpt2GqQYLOQfH+fUfX239nhFiUassRO6t2rZ58ME/C30tHU75sUn
l+zEym29W3sqpoE9Gd3VbiAyeL30nnXZN+W8/nsn8G7BQfEKtrzwSgB9IHAsUAHrUPCGcGem9n/r
EEfR0ZvnMmuq3lQ5+qUUCKlvC9e56mosDdIbP3m9nrgL5uEb8eYIZD8pFywAJxF77nWNfjnwqna5
gdz22V048UAdC/M3h9DiZPE8yyt2EeCGhzDUa8jkmbGXegdgJw/7/ccX68QLwHy3UPDR20llZgr+
VNwRAnkVpR32p0rLV0Md4ntDpvzxkU5dtMOfvzmjhSy8ZYQWDoeGeYAocXynTkNGsB57nxzilIDg
wLV+ewwi3Ep4J0NKHC86vlGbwjN9SjTiiEuxxW8ANP4wshG0F9ZJhsGpBV5x1haus84d99N9+amb
9241cGN4xjWAuF0MxgREqef24Eltw3gKmwqYvJjTdj+IUIF7aNVz0VXGk606IDmDsswf/ayNZ152
MJll1BxI43LKCDcyaKB8fC+OT+pf7GHeh2VUWmJT3qPZNRVMuHTR72ZLMbuHXwR8oF33E+1WpIeI
emXlAmuc4Yv2OkY8nJ/kBdn2CukWCbA5t3HMrZJpr9N8UwRobXsb6+QArHGN9nJZFYQprNMoBRGX
xeft2F00QwHooMPfq2Bi6EwLL4Y5kt8k8JRtQdwbYv72nDvYbIde81ZWEgmg2N3KaD9bI068uw56
7bcPCriDVNQGDwrzf7FPyV31Wy9Fd0uk925YxC/M0dTubet9snBjR+NX/9Ulf7fyodSMD2ne6Q7s
DO4BS1VYr5pCr6BPZ9OymnR1iBrJIW7WoVZcGkk1KBr39PfW4ApgLPUJkhRINGwzE960kE4n+LDB
mC6l39qmd8bwbQiErW2GNoroRpVc20CL8vGpyGfTIX5AC7Erut1eJNQFRGA602s84Gfysdq1N3aj
DdfImsy73DSmG9VI+xWHSgwASR/yLui7RF4eMvEAM/cdAIPUFOF14Wk2KY6aN36JGK1iDq5lpfAe
/mBKin2omENxVRI2ivajyJhBEBJ7RvxQnWKe65vIt03ESs5MluQ2YXw4rXG2wzCaXSc/OLKYCmqO
tuQY6IzMWQOIhNvgam7xU9LIWU2OjT0lmczuewuR+9ntSVINtKb1mEfotk70oraEz7qhcKPpBXZk
nF02EXObzvCu62gga2QhyAvzSazqYJilxmShc8RFNZY69C89xqJEhDfzeM4vecUDbVyQQxfaZPwp
/JmIZMjwBm/6LJy2Y64ZgmUJ7KTIY+x0lvFo9404y+OyWccwO5qtXpS0KgwYZYTJj2NrBC4mnJ2p
cToJIa5O4PLqim8KVgMjKEOVmgG98ulnpdc9/iVyM7+kTjowKne9PDyIXLwfTYgLGDSkl+8i3TKr
VWnIkMSGei7gWJtRO171npa/lnVrP+YzVSiGncwJA2ex0gcXwyM+UHjA38Ykht8DFAW7kFpG92tP
jEVK/mpUv6Rq5quywOOrUCvOw96YUlP5OtP0AE1CIzZIdBSP9CIkY0qm8LnPAzk+zoZRRWcJ6epf
axEmvwiMFMmWeJQCgGbRhTvQ56mNN7VkLG/NyDB8a4Tb49euHRLnF/XK2ubZPN5TcZRomFTSpBsq
EntBIVxY0zYbrcQ3zcEU6xoAsQVxw0kuR5ksBpXaqN+OBDeSbyoJH0kg1HyNTIP/wDVK7BFAKXQT
NOOiGz4crLxcV2SyePum08qXpAcSC2Cl955Ggg4BB6ZoSADg3LgkpRPoAqJhO+g8lkGEfTpIJcmh
8Iby7mLM6znb0NVqvs9DEj13+pJgCsrTQxcrTgMhO907GxinYUh0HT76yBj0bEwMMQQmnY5bgmFq
F34YBllkNJqTr1Vbc0NZva0XL43VVy3sSCriW+GcpcKYoMuVpY5l1dHTa7Ck6jFUzYAvWMIaF3iX
04BpkncXJZ2WobdlHspo22vTL3Saq22ZavaPQc41ZONMwzUVFgu9vqxJvoIAcV4hDGS8tNNi4pJ4
XRetkx7UO1ovJgWb3qsXGFV9WF9G44Sj3tTy7jayS7A7Ln0PO1gyL2S5clulsF6N9OyreIHapysI
fVozIQaje1N8RRKtWf6UxWB/jIpKE4Ndg68bpDMHsy37GhchIv4qG2S+SiFVbRHLtfiHPVKhNw3N
xKu8mLLBn1hBElA/i8FSUw8a7hLC45ndgeNaz6YGTyWHCFUBAgE/aelhfY9lBrn3oDsXmUm48Cb2
iv4VE7nt+QvQ4c0MgJoxjzEyBLEs+GqLJXIXry1Pg9cP9MlNgJGD1QFz5fe5gZjCaAcCMxVnSi21
tebUkQ3WcZu/et4AV6cYDQWrrrC/e1YLWB0cHA5LkIuDuzct9FF+0dmcAY/vcD4tWYSnEAfqta67
LsnZeNv3hTlBOXC9xL7lW98gIYw9bI1kzKp5NUfA5yrCqQHP0cV/se3h0i2ah0iXSbsyXNc7n4QW
/cTtnvAkIObxgUUn11bhmD/COMIqMaR1DeBJCnsfIa93NoTllriOF0KYGZbbzm09AY3ZVPqh6zlB
ZoaPxAsVCLMC8UwGK3ODrszgEULRYvZeGAacuMbRH4kDEPmuL8LrBsTrNXl5xn1SMW1cMry6fiNq
yaOYQoX1dZo/Idqr0roAJIoQyQQJdwOh1rYgm9bGdwdAY7W2O6RGaKma6y4U/eWUzF8RLB5kE9ir
77Vs0cDayrh7zSdZQYRB2AVqSWXFE15kPlyVZPA009Bqz+gwFktg8Miu5rrSDmmsrq6BUs7UFxRp
45c49aYn7L3gwtze1MRaZnbbB3mTjNCmhtyD0RBq+iFzOtJ3eHvJ7QFj9ELGznC/VGVxVZMyStCS
Hi21X5Zjk6wmLdQGzOBTuCMmfDZJKqgO7ABnilWQJKQ5bmsMaT9ivrvf2Ri0wi/QG9fI7CAQENQU
tYC/cUyWge6FXo/gwgn3lipp9jHRVRfMtW1Am51JdBZUMgRrF8kA/NafbNF9+V8PvFbCrsHdDmVa
fEOvw0eLofp++3gLemIHdmzxvikH0pBVUunS26Yui5WRGD+sMe+uQYrp+yIKLYZbvGmGTHmf9CtO
1B/Y8P605WPpJMv6cEDeR/VthhD4F3WuBBme/Pj4lE51JY8moDfnNOoWUcNAKrYOUTBQv0x9VcE0
3sjE6F7AoDCA7od8VReHZA3khqs+r6aXTw5+Yn8p3u0vdVSiUqOLtx2M8T6yDT2YhxgzC+lUgYgg
+onBTqAr8Gzjxs73eTPq52MDvr0Gbw1QJtc22FqfP/44J27vwSz5doM9QSwpamD2W32seO1Eg9yQ
aNBdeUmMq7wA6xXqidpEbFI+OeKJouvYpnpz8XltwuQXGUYJDVu4wCe0MguYXgkL1h7V/vT3nqNj
K/XNcYyKoDwhRgd6sVWuoRgCdTlY72tBjMfHF+/Eo3r0gL45xEKgJ8gPx90upC9f9p68zqcZiWu4
fKauOXWEd8V4lxZEojM82kpX+9qnpnmT5kaJiGXWP2ksnLod70pxAvJyZmYWA4CkAW1IxOF5NVXG
BldotTUUeKqPr9WJBobxrtYOW0AvdTxp2yiLHyli95qBQdwt4tcmqeZ9JnvnE6fWsV37FxXcsevw
5rbINm91RPnxLlQ4Npsqj25InB6umTRJf+k7uTOlQp3apeUlHjQI6S1gYhHHQKp5eTx4ufcLDh17
lqTPLgDOGQ9pMZp4fADmE2blrN0I9YJFGjiAJXIm0UTLtcgTeWP2Ezh1h1mrpC+NYq3ER66l8Ftn
C9AhU8hNY8zI1z2RX0eLkWxNp84uQwdafAfJ9WLQ6mkdO3qxL8gTCcacsEleoRDZx7RYZ0jVV45C
KkElSjrR0s2ftWQOFfVfXbTDn7+5aE2Up0joAF83suzIwmA0Wk15vMLE2JHmBGKrdGeMtlmmnXVJ
r3+JDYMNmQtG4uMHxDixMB5X6zefIBNRI9qwCLfD2HmEyxhLfs2U0Gx90h/arWPIRqyIovPgZFpd
9zwI0lnkJNXWreqBCmLOjNWY2vaVl9Kf/uRjnfhU+rsF0oyjrgdTHu9asoy3ZcI7CS2nWH180ie+
3+Ldb4cDoXlTyLfPxiUQVDn4eNucCftSdBo+PsTxxfkXd/boVHpzXRUG39iMl2zXmqa34qbOmzqi
we6ZTvQjbNHnVmQh461tlnVVhtF3JVEck0pDDpdY5rMcurAfum20XcBPrIvOCy+hfCUbmhV4MiPv
prLy/Dbrqx+t7SWbjz/2qZHXUfj65mMT+AAyNmfes4RLvx6R7QWAH4hVOtqwl965aU35Y4KFcpHP
lr3zEkYzIgE7RPS1d2Ma3nSFRJavXmh5d1YMAUR0nnH+8cc7sWyKw5+/+XRuNC3W4nFRQ7d2bg/U
YFKrQW0IOJsrLqq1+/g4J5bNo377zXFITy6yCKjZNvbmG88S1TbzOuU78PF9biKBmrgaPj7UqVM6
fAPeHKpwB2VAkQ23ejsNFzO6sIBacdwIV8d3iNnj90v33/TH//lZkuI771//+Q/CF99c/NVz//zH
Xx4Cqf/5j62a3yU5H3/gX5AL+Zvlsoo6woLaRs4id4pytv/nPzQJ5MIVIDDoItqSPGcWjj/iH93f
KKoJjbRNAmg94R0ciARL9DGf5jd+QDi6bggX4o3AxPwfhD/CmPrTu8KWBjsogzRp6RoeOM/3Iyjb
Eq7MygFG5ITnmzBb0ykDbNhWHbSTDKFYYSJ6GhbD+or10kDs43ppEthLAw9xnPrhbkymCaWwkZlP
XewmNzpvgA7Cbqndz9liEuBXe2LVReAgqc+/MN/GL9NrE+QuaK2462sDfUZkDtGXKrSEE2jlkt0q
KD4X+N6cZuVNrf0wAdgJ/XopQXm6eT3agWPNRBXkmQG/qVsi/W6MwNv6gnbhIx2f/opWRGKuujE0
+g3yCM7ICbPu0dCdcGQESvLAWiDdem4tFd02dThAeVRm9jPq4iVGSxNBjBynrFXrdOxtX2t5YbV6
DO1xbg8qevhSkPjBeTvnjQht3Iw456JVncMB9VuLg60NUbkgdEYj+t4DiL0c+giAWEgvC05QVMy3
MXW/taVN2p0VOvGIq6IYtOsWD1u+6RwSNX1BY3fwM4cOhF8oHGqrEm9XeLgvhb2vF13sogjCBTz4
mAiIyJ6c74bdh1Fg0c7SVmGXefhk8dlQ1TtDShQn/yfyUZImNAGbtkPJQw7prpZOZu8PeRJMqsIv
WmpFZEN2JtmDaPaNL1oRR/mqcVzn0uLzRStcmrYKItNZvkYtglEfoaq712URaodxEyTjWEPHTfRV
LNKAa0jBmxea9yLbySQCTtr9izGhtIbxg5tjJ/TCvrN7UjdpOefD/ZjlDkxASn1edopQMzr6tHeU
fUZ+xrIeR5IN0YR49eVQjExJ8n7kOZ40x/jlomAr/JDOa+mrxujgmEVgPX199CBQYdmzGnxYrZxX
zoDHMahIqbpOlTW/ml1V/RwWqf+aqkW/lu3M4DoshVlj6YUKE9QjyrY1UU0e5ARL67llBCi8xHLs
R7/lZYvrye3AOU9hTXRKBX4dQCoe+3KGHppL0jj8xR4vF/JeEkiuJXIdYFXYosTStk/p6LrQ6cj8
EJUYko1hZb21pl8pz+yejRPN+9BZ/CWKhbXGXUTLR4qqbl9mLcyvwsXLsenETrdXSQR00x3ywloj
FbHtrSOGfGHMqMSyEh3wttQsYJfVdX1v6YXpBmUSYxpNhWyAEyYDbDK0TcWyrdp0uG29uUj3jqV7
M9lvDC0CV1vcl7pc4N60Fl1U2I9GJa8mTdBvJGRxvKbnVIEdjVT+2htu154DAosvaonXwLf0adK3
hqznZA2lRreCeuFe0E2p6l907eOfmcjDR6Tky7NWcesDZtfye5ljjQx63aoBQmnoI4HxDiDVIIeT
sIINFzQjWQMFNI+Y2EIKcQCRmRiuBpKQEp/9unqyaaST64IDckWJAbm4GEsyx5dFe3aUDVx7Mlzv
1ekAgftLFXb3CfLzfm+y/MXruOubu7IpjFueMbM7+FdqWq19laXMS9IBg/LsEdwzYV58cKm8S1Sv
PLh+2yAfhNdH3NC6rEStzkF2e8aZ0utxuhqsZCLLZHTchLSYgZhACeKazIWmReNX2EYcB0pg3wEv
tLTyvmriA9i5rxup2ysrhS+5KVKV0bwFknY+kpybXRGCkjjrNu70ZAWN3pkv0zGOrGvci/qLljoC
km0eh+42zxfiY5dEPyjyZD9N1yB4K5wtZq1nxI7gpgGVUds3Ktfm/rZaaK4HVlcmIeEL0nK+WIYW
M92N50o/05qEYXCrCluG/pJIQwnfIpxXTr5TsPumg2ok3boDNg4CeJTtihhCsltLyxn1gPYnz3cc
mwAzBIEq7YNj633+M8uBsoCfxiu7kdxXMj8b1523GdsaVokZOCExDO4NlLKEWB/Bz68K+KgvkV1p
LwzOAHcT8UlzNzOTUacNW/TA3uKOXDurKb1N2nTOhDk/kSD05zi+svVsPOtghTwmaRESe7h46eUC
fcrYEl8Ds5mBMXT7cazqH1EfLT/sLmtJf8jSp5pAsfM4lsa3kC/0D4NRwxKMvTeZPouO064w0jmv
zjiqryBtK+SJyVCQm3yYP2F0CePUr3VylkCjhIQAicwibHKYvOpc0lxjOrgUbOObvu3Wwm0WchUa
lhxFEqjph6DLGy6ARXYkPtIKcah3SPfC1kzbEVnknZClNe/GrrYfqnHMmaJMaoYCmPPsDUTxkObY
RAzizHEkNSPp6cFssqJFtU0bgwvYIBxuzowkIvdILmEWb4yBKScRq5NDvFjYqAf96IrXHMuCxmYc
SOgk+wDCUwyavibO2JGf4Xg42XoTUDKvC6Ll/dQLswuAgJwP6zEpIXa08JgllXgSCu2WX7GgAHUH
PzZsUtJpn2RkF7+ciDEHhZes242m4AuUVTU92NA4QRWEunxBp9Dfm+KAqWR6lRd+ThXBWxzvwg+n
0rz90Hvdq5vM2Y3XqIoFwxrQ1rUQfAsS6OycTC+Soactb1vwieclMfMPipgNetlR3yCKZHT+C87i
/GsA4/vLsGqd1amwrjBRSVDZWdtd2yVWdHxN1SUjpP6xdBsqcwzj1X3S2U3mL3gPkTdbhtgDwq+d
HaG81EslVdtF3pu0Eok3gFhOmIZQKwrrfheGjqnWiPQK4q9Q9ZR+H5v6qxynZV4xr4YFA2uFPHsz
jfK9Pg1e5pupEPeuqax7FMwRujhcCKk/6mnIIDeq2XNNqXsPw7OUQUKOAkaTuqSuJdZBf9RLOTx6
RDOah/FsBgS9M80Eq7W9XDGwge/QKdXt0Sy6Ftb2PL1SVkTkQQGd14A1WURfeaPo2T71MuPBcRpB
/CTc+03cSSY70L57azXHZE6tTUfN5kZMJUChsmzl195k0rZd2Dk9tk5MNoBpxtk9CTv1DegJAhEH
XaO7PUVZfsGiHj+jphpeC5VFr+xm55cc8sKTu2RIIRhgcevAdAk+pcOtDvjOO/gu6xpyopRhf5M4
YfyVuYobBpFiO+aPDM31INSy7B5qNIRwEt/l91mlyzkR6Xazsclx885qBxc8+TRhb+xJXiaSgQGm
8dAUQ3WDlqkqdnDHpldDYPlZmbw7zo1QjfAWSYwaGPMS7efHYePsYawMwu8NIsfGZUkPFPJUnoEU
YzzCQALfZxd3DtPzviNIYBbMRHF41+HWNQfWxkWwPVh02442Uc28l5zNyXhkj1DESOjZJK7cxuu+
xb1k8tGFyO59oo8zx+96QKk4uMh63HkhDC0ySUOA3GW7eF/mcpkZ3rvOeG+lTfytMr26DrQCTCtE
HxETgDaPP10nBTBXZmyd/NKwUd4cE4Uzq4hvFVPeBqPG6NwXdYptgHd8dJUwozx4nOo5DUg4xEKm
0YXFe1fH3tVCHoUJnl/R5Vfao0nImrlLNXMxgkqN4C/HrImDwZ7tfQZX7GvK7IwFtp35BZXdhdeM
qfkMYxkyOhtmA2w2TUCT5omKmRMda7//FsRvC2L3w4L4TrEQURq/xT4ahx/5V0ls/ua5um460vWE
7nouTYo/SmLb/U13DFYKnnznj7r3j5JYQn3UgUG6DHVcQ7cPneJ/l8QuXBtsf+AibRJAjf+kImY0
/74ilrYBo8sC5gNKknLmzz2USIhWpoZ0IZUkBrWPWBw4doL0V5j9JJxsXJKMmPbrIXobnMzfCllO
53ZEIhz8sjQNd1ZqRA8okHh5dklXkj1u5ZmAcwwrA3DI4V8Pe+x1SrGzSYe4wHw/MhIq28ZI2OuN
6VOqLfg5QIkrc+s6HRJwyyn0aRWOdnE+w+Z9tiZFXWizK1e+uTixAundVs6KiaQQBz3DQSmZwrMg
X1XV1xAh9CqYa0ana15l7bZUByhElXSEGqcCcdCKqdmA5F0DM0/WSWu9sMkBhDJWC/xIBXW43ked
Q5ds0OecPTi24eyWQe8CyjAiTW/tul3u+WaVetTopmQmTDfU+UFFEz+UGqzrjd72BfGL8SFeMJrC
X5ZS0dfQHruvrVlxOrirzG+tiuIvYhIT+I6ebCFlCvZGA+9DFAdZWF6nJZJQ9CsDEaIum2s8MPgX
XcLbnekZbVn6DReTfEqSkpT5IY0nGWge+TurCsq8WtGOGKpVZi5mQDpxe+kto7hhwhB+GQU5sBXl
ysHhk+X37HniYqV3ibrn5XN4kQrTvWriiJrN7F3vMcn14TbvRdOuvGgotnWtY48oC8myy4CY/U4l
1Fk75OyOsDNrgOAhxZBGpNMJB5KtuaSuAg2qgXlHluaDEmrvXIP4NR99WPlM1qboLojJQrYb5ZRq
LJ2e9QvY7hCvmql0zVXDubrr1LEW8iZYXClpO/gaByC3NW1mOypvTYMElYGbWQSYSW02rsOIGhQi
h5MFrlknP/WoSh5z9mDpdp6TgveHjLQ+EDkMT2QQeaooFMpK+l03ADxdTItVXM9LGW74HnUpkbuG
Cldlp7cRu6HFZvcLl4a8J4Ax8XNpKC05gzI7/Spca9L2teZEyBvwWBS3BFzXyOhk7t3OTdtTVdOx
WilLax+nHNvYGekNOjFhYRve9YOiHltZkz6Jr66FCuoFbqFMz2exDHdsswf3W2nZJhq3hMk7QlBm
Mbum1cI7yEJRHyiN7omvQ1wBO5w3ef1FkxR37IBIJ2oC5vDLuIttEV0NIXp237GMCPZNB+N4W1Iw
pxejGMdLoxKOWlFkxegeoh6pg1AVEnuvjpb+JoR/I0EbClzrqd6hicMMMDmzL6vYyoKkSwn965uU
zkI5p4Y6GyLbrHa6hmDKz4rSIujMsCO2NFk0XHQV4FR2Hg2GDOKM0nRt/15yyo7yk129fmtUcXOX
enoWr5vMsntQo1N3TwYMBWxf9N5rOUrLXLHr0p4hrmTXXqJT9lbshkmCP1TDFhK3p/H3EnmKxit6
BRTO06GGro/lNPnblNbkhJFaWh9L7niqKL9rUvm+t6axNHiDO/kdqy6lemPbM4F91O+6MKOfmDCr
X4g/lOnXqb1YaLEOZX/VM+BlWHVoB3SHzgBMyrY9d80we7V1s+TqHbsIIqWhMEWykFfNsdFQHZsO
CBXdF/vYijAjAgJAfuZ5uo/Y3d42nsQx6aUGlloUnTQ0imNzo+pb4QYayuD7emL4CxzcPM96mNCr
YSDV+KDIoFXSERWJcOjYQpkP3RTv2FhBUVxc2cd2CxYMWi/zsQ3jRa5D/JHjhMW6sTLnbMxU6yBA
rAaNiAMybY9NHePQ32HrwX/rWm0DbvvYApppBkGjoi2UdkhWpt+bRS46oEAdekhoSCntSKHSKbZo
6/v5od8UDp4Cp5YS/ehXx5bU5Ba0p7xjq4o4z7nZum2LSKqt0uabOLa1CCh7JeNRv8Yte1hzjh2w
+dgN06eOzpg6dsnUkNAx847dMzpzKPvzpDN+2aONDlUde20ht4sMgdl+SghIpQg1z3KndAOvyWjT
xmkxb0aSb9il4oK7J32Tpp7qpHUnjq0+/dj2I8JbvSRKCthah75gcmwRElhEu9BLGMj7cNH4bi7H
luKcNBDbh9CgdYpH9mE4th/NYyuSAb5zyd6WBuXYFlS4ZBI4fnhsYUI1KR5lyPntgal5wAPnPib1
+dj+PLZC+2NbFL9EfK/BVfk2YL+nKUQerkGWBVLpWytVOnlVc/2FdBkdHwX9GDREg7R5x1VFPeOr
QW33383k/0GJA3n7aLpy89w+R+p5/vNmkh/512bS+k3Yh62fJXhlSv7592ZSit8kTkMJCZW/gSIu
/j1f0QzvN+EZcP/ZB/z+l//eTWIe+k0SZ+jySz3+F9fFf7Kf/PNUWPKusSzhgTe3mP249nuWJNsw
V4wyytZmlN+VUPd8yZcP2TmRIm8uDPuPOarK/ykVOUREYHf//MdfH4kEL90w0VYdpRRvZn/WkJEa
aRHCRJ9vvqqVbt9AXbWQAKCT/s8PdRhNCcZHnKF8p38SlqV60XNSWMBvYhhRgWbYX8g1+UT+8ecx
5u8XzzSxVVM/SIdr+OetOAMymOAZkWXZJLocnSPTC8pM4xy/HWikFHf5xyf25xHtHwe0XUlxYnvO
79OyN9dwQMycWJAlkIO0+bVXufTj0/ZSI3Jok8We5ttx130m13CPgKn/P9bnsK7l6dwz19EN9/dx
39uxLfEHjeZ1hIpC63VuNMDtP8t6DvHNYMc0EbLfDVM9Xs0H3YrZd/WOwiQ/m+B0XYV0rFd2C3HO
rrPim0dndZMiQD8bHF3eLDE8GauACRnPqt17bEx2BtOiuxT9Ne20iUjSrsvDYCmYvftFxYS4HnL3
TE5V9j3HNLl2REyvLGtI5AjarO5XOsFRNOhy+gkhiG/U8pnzHdJ9sY2BTlp+N3batTuglyQb13qy
uHUJeCo4VEWbwfHoVT9f8Krsn50qf42zIQ0oFq+GzoHBKbwhAHZEDvRi9inXw3HojdrIRVDcnvNC
A6RrYAWGCqR9M6zYvbKdZlwbBaxxKVVDOCdd3IeSTek2mdvkOhtd4ee1TPYWLoWdrRfPekXkeNgc
hmBQGiN6lZXx3KLjuKupY+jYTBBuybebf+jIodktjm6+YWSjtrRCEADnxTCQq61QUnsJQLsgZ4Ny
bdO+633ZTDnyQ49WEZzNi5ionRRVkJ6teMO1jzg7si/sZ8d7J66NvTun/4+9M1uOG8my7Q816gJw
x/SKIeaBZJAUyReYKFGY5xlf3yvKqm5nqup2Wtt9bcu0tJRMYkQgAHc/5+y9tuHrymp2HMb1T3MV
+KcSEu07ekrCX8NEOc16RP5Mohp0lezhR2QuihvG5L0por4rFqrQILK+J4rTrLBBjcTX7VtEs4G+
AqAleqU7EJ2bXdO8jR76vAn3mgUp2NX4zd1QqArK2yIndYqUoE2GGdpkPjmHXpLr46EGs3hbSDUm
La8oJ42mU2Ed+tSI3yNNmJq72lTB65ibuNqzecMcRxwcS5Tf9aijFKj6VP/Bls35LSOVZDeFGGXJ
0mtNerCtvdOShLY8KuMloBLUfFlU41atkmvSWSvahXX4eY8FOJBHj3lKNelZ4ztotade7duvQVW7
YxpGJlY9Lu5qSLFJOibTHp17kkiJH4PgotM8S/O+eWvMMdqbYyrwJFBKkmQSW74Y8E3l9zDVsUhW
XyzjBDBUM14ZJlYPaKExkkRl5oVVHX6z+zWldk9BkMpCPaB8y14N1KC22zT5x6LgbWsqq0bUZX/1
Wskhv0ysN4ZiND+JkHlOHCIFy9EwCROSzktIK2ByI9PecvCLDg5Y8DPmH3tmeKWpL2KN1esg6vCi
aQnTVFhR8y0ODdVHnhz+TIh8vM5GmXrrQj6dk8zZIxED3RsVndUDEq2bPFB4G90PJZZ1HOiLU6S7
vlzUajOVY6/6FqeWfsQ7codNtVknmi1q86aBTmnOxeOo6ill5qA06s/Syad8Q29xCLfl2tjlNjRA
FbmCWN/qHFMd7zLROekLeaNCc6MlV392nFGtzaJO0RJECe09fBegQ89sKVzvlfGB7YVLLz/WRjF7
f6bTYpFyVgy9r4SZnA5mQkQ4hhT7QSWywUpVzdhyWqUiawEdTj7dYNqUJQje4jsy+uE5GSuZ+QZn
MStA2iDPkLw7+v0o96ZDbExhdShhd33jECdHho9i/l6MqDNIdqQJ7zV6N/8YVJovCLU78ToNnHMP
mRX3v4q6W27aUsTiOc1CpIMU+crgWYW+xvtWUUhnKojZmY9xSlPf50SQP+EMs10lCV+AK7VbFe0v
kkKpeGHXnwzQRhgFqgoNo4X5p2/BhoxM7RmR1hT10z16dNMwD/I0ANKvYkxaPNtp+kvGy+oxzSTN
o3EIseB2mvmDtW25EmTHllry0JY0rtFzq0dlMFkvuB7ktylfoBzHUyOV+qGnuQX2Z6DKqwx9h9Qe
D8My3jJur6pXvSnCOa/yeltt5gjex85zN3TX1jR3YVnYNa9lE4LcdNs6Mg86OXS+TZwOsahSuxJM
8op+wyvXeMsOROxGe7T66WjGyr6orWM+56/T1LwZVUN+U7j8MBrtuxgbl6ierUagD2PhF1uNxxf2
oS2Tw51qMsEwW6TeKP0HxkigSUN9QsYQDfuqrLYrUnN3NNfXbOGxAX2LEMNav+dJe6qy7Mwuicqh
/YX9c1sJeZWy9ou8vlVN/lgKp3QdVW4nU2wTOmkfA2uDW8T3ToOFah3PkJuVnbyMZfgrltMzyOKr
pXGTOOVjrQP2t/Q2qGLnWwta2iOzlhyiPiw2Udc92jX30bjuLLWBAYKWYGlosqXxj1nFfTgsbuR8
DTX+k8Zw/HjNX6lNezc3RpbMnDIkA5cLPxwObnkyjPk9Ma2dkIY3drMnKtbdTAtyIpdk339vR97x
qp1I7bqC52Ie292pXxrnzZrEp77ZdO0ELse69t0EUlk1L1Gls++L4WxIW79JizRYUDbNOBOWOBGW
zuj33BD+RCuM+0gvdvBCN0sNwNjKl3eguTUerPwwTX0gExsHGml6LJaK7k2IFmkeKnI7zA0pzDNZ
jwuNCE+bkCZWduNalgFX2mm9ys4VV7f0LVNtBAhL+6DEFK2aPZI1LmR7HWCAi1HCbAhnUZ3ydYgZ
eaKRASZxkDg0fcYRPUy0/DkxOBqqWXlmUhptMxKs71grdbWPRhd/z6vsJ+HkzVMso2Cx4FpLEu5T
WkWEl6OJMZObU9jHhYjua6qkJZgn8EO8AB8+LQMrXIDVCHVj9QrDxtn+toTLF8nbHFAMc/AYrWCm
jIfcWzv0TWavWY+6ldYX+i2Fn2NBcFW1vdQ1AQezowyP8NWcvVMZb1TfXLJuOTpWGhJSru4Z66rb
qO57kjoH4maJvd8USrhzVn36ritzfG4I0D2gOH4Ik3K3qIyoJQKUc6YY+8ZWql0yrfs26mZ8m8qH
YK/foUkd3cLWzlTQj+VMmksLvZ6pegqVXbWxwNYXBKzdW0yF5E0tUbdDp2+XcILC3WV+PyRvaOS7
TTujAMfzyJ+JOm+258duTF4rbXqiwXd0pg6flF7F3Nzhtp50/aJZyhlHHyRqk7YaAXS3eVEvRMTt
RVE/OmI5DEl3GmF/Q79GIOQ7cTltm8o+M+pcA1vFLNRER1O2u2qemLIb5WYZ9JM06FAt2q8smXaW
aJ6aOHylTf8kDHGJsvZk5fFD5pDyOa6MSpf1bjIdhJcs8w8TVcSCL01m9t7p2103pdu1kSeFx5Uh
F+SKLjuj37nkaZZubDu5VKP2KebCX4dkO/ZoOhKIfPcA0w9NNk/RohUeg4srreMAyd2GXse1JbgP
JxF0tXhVTqZaPver+okVQ3XLfPRjZU78O1iSW3aKD53AC9bywSObWe0yz/QMc4iw8TRA0+C6sC+t
J5x75KjzrINiYi2saNwkiSGerKYH8Ezb3CaHdNdndHDn1gZLXzMu7OvBcp1af1E6bV/iPwzUdrVI
4xuXvTNJ3VNa/adq8yVmd8+xIunTZ8qPmhTQDRBa8wCfVmVR7F7ySt7KeFCAeozoiyfg7J1uOEjm
RJs8Gu3dOsi4xmWSsjL6wyc32OOPMapCrxzr82BOyiGZlGDl0eZWcd66vPyY29K3unS9rQxdXUD6
6OMtNqeuX5tNPcH3wM7zzejHhR85veNnOxc5+41lIqfX8PIRm0AYpyRa1O/nLv2pj9an3ufbpVOO
S1t9D9G+BzMeapapQJpcXqJB+01t0rZpTG0lbZSufft3fUM03hilsLnU5p7Pz0cxy0ua1F/53B1t
NcRzb96drI0gFYyoKVfHEXGcyTc6q6ljuUbRKS653t0xHDuSjnpa3iQU3PvkWlXuzDQrSZI0U9Uv
1TrlzBo1vtZg7hXV8lWsQ+2jcIjv8857VkBdYkxomm2PF6Kk0ZxC9O3U+RWI1Xygx2v8INske4Yd
fukgh+NTaIvbOgDEW2uFoJk41E8F0m7qrN5EmlFaGv02zscq+UOfJQ3RiCDcWAsKUdk3MH2cACJq
vvuzyF0X0Yimx1J9kdO5npQ6MV7pVzvILuJx208CnJtZYIZbkgxNTpz1pHHemYLRmMdPzPLN75ma
z7tWijNo7XhDpmN2QXaefJGwavW+cDrzQzEdxaPnD2UTYU7s9VFIdDihBvvSjmcwY5267JMBPRk5
wjpuHewanRtphX4iSj49ELeReHJqGr8EJf0Q2ua4MSdjvrRZ1d/6vjOuAmLmuc2cdwjfTPyRkH2F
Ocx8cGU95Y0ZmV6UcY9WTl+dWlbBrUTUBUowM2/tUqaBCjH80pcKLT89nwmfbBu/ZuCCvcoYr+g4
zddlJAkXiv5AEbXU3dmcRutIkCty75RMssfaiQo/A/nhiRARkgvW/luyxPqR0ZD2SHMAR7YTi+yM
bz95VqKM42+oqlPjZUaYbbhjrR9IrSps15X9beYu/GVZQxuM6aR/zsQGn0hprr0BT/ExLtqE7i/c
3sHFvNwxUoqmAnMCz/4BK3y0xSpm7RoZ9mcj7PMgT9SvoWusDTraHr9IbD+n8yyujaM1t2nVFX/p
Jo5nhbaPjTUkR8f+ObYaEkIWkkO3OnzRs976sUqYNwPRdXhqjeLe1bDSudliyG1Kf75/UwfkowoR
0G4Uc2oCY6Ry3y4ntdCFtH+VWDDtKrANbocHK9aXZTirskm0yW8YKqaY2Hvi63p3QQsmgmbJMOfk
U2gCwM6tHHPxrGjnriVV7sHMbO1bLwv0tnfVH61jWUVPhVxOmiFZXIup26txNKIbJlNiyySPAdJi
CIotJCUynIqCJaYKTN49B9FYbNA66BtNy5tTTW55gNSl88FcqkG1NEMAVGIJNLJOtgP07o3mmNNu
HAjnbtYxaMUCrTgWfjWRjsugx6IFk0oSTUTv0ye0T0KTtiuH8KGZ7snYmL4BmDjzltjycPUgrdxj
S/i6snrc8lHnA8KwmsTp8LaMM2EY0WTvwwXaz9g3QdpP0Tnt5ndpr19mAr9oUaA1jqJXAiJDxCFG
LiLb9clmZJHpQj1EAGHB6zB0mqOl9/NVMzbzjNF7JAnhQAZie657e9oO+ZofY+TXOP4YJCqLEG+h
g5OD53kbqQZEQHSP5NybQwAbdsGTIp9DnUPwYnQb1GAOFYXOOK6endhDjmMee53pgWEo47ktrHoT
wnTZ95VBCEMR6uyV66xcmAWbk62RwVgpvoXb3zWM9ZN0AO48RoJkJAtzs2iYLRHEDIVXxOajIeWx
NYhStUGf8H5I4FuQo7fcR41bOVXl17a6J1DEOvEoz2yYFhwPROWI7mJ5bev6MicAr2NT7TeRnJ1D
40wEM9PESr915JgKt6ujaU9IzmdddaZv5n0WoLYfg47o3e28NDKQXUR0hioKkBPd92RZyw12bsxC
ia1sYuKn9/FqN9eGVHZmsKZvtdHrqCJOsZYpC9pm+Zj7RiIJHBlYge3Y8bxbu2g2mbwQgYvwVt1U
BW2IsdTE21KUzSa822Zm+gTuZIsLrc6FuXXe+VSVhU+JMRwN/GeeIMmSIxHjug2KIZcM38UrNG7M
SM1CJKshrbtICY8Uat9VPfvVQguNbZZmyHX5JZ0X+5w44RX0GeVEq4/vAqHl3llQybvVKJDC6eDr
7ykcL8bIKgh+/rHu1eRkK+SqYA9wNqOKzQ/Zh/pOTHy5rzO19QlBsc4s8alnNHa3o4zJyfpG40CL
Jfew3uvB0loGoXzGneWmzW8r7dWgM+3lRB+8uKbztFDopOWnEobTI6pRA5mDY6TvRl9mQW1r4T7k
wwcdY8Cg0Xs5EYnCbw5M/A+6SiCc2vbqk1Mb6V3vj84zKhT1xW4GNktFmEFSlMOtBJV6pBavg6qF
yRMpsJvhpTbobEtnDy5Mg7CxpjQ2UwIygBY4NZiNwg4vijlrqO+b12XI1v0SZsIbhcXdKVpwELpe
MOnPv+uQLTy2C+43+AGrFBctqtUrhGaVdcnhVGY1ZTrjnsBl6GeLY73qhI35SNsigpFb5SAcE2QC
umGaENVLhsgfWaiG3T+2vDCtJIdFpLcTxgt/mYXtasb6xu2Qkva73tEJKbSWFLyaq48cQWMeD9cY
uVMkB+VO+ygk8Rai12g6CyQBPE8P5jwCfrULezNk9OtTMqQ9x67NB6ioxUW24oLzPe/cFUWdzyDa
3CtV8tLn2otmo9ztyphCvjI4/y0NmcxlyyrBLWG3juqKMUN4Yb42d+U1+QIcYdYNsWdIvMu9M5SB
nOt3K7V3aSgexGJ/QJ/65ChlcMQlVhEHdn+N5fxT1qvcpLIrglBalB1d9xlHE85Igh5JSKHIa1TS
r9vJeOCZa89rlfWnli1+V6Ra59e49XdxE82BWYNQihJLUR/IBcoOy5ScjWT5Jprlu4JmjYptWm7l
qnZPcqLB0fRRtHh5W2A27fVrPRQcM8nesdGga5Mrk+k46MO0KY3S+RZ2y/zNEDV1lLCVM+zE85An
EkUmnonIJhyHqJubOdqvlmMe0R/kmxzGS54Z7HBthA5xbt5Lc2l8PZy29TgfLPCTHBp8GrqnxZL2
R7Owj2ax6lNPETQ93KYWOf5s+0W2Ppl1Xnt04DcErQNzUKszoUw6Z18s7EbawzZJksep7Xwa4D6h
TX5lcC+mZDtOZbK3ZuNiJc6b06rHFL9OLXWsbukhauTOXovnWar2BmGMhzl9N1Ssl07y2CnD8xjX
L205eG1l7+ipbmKSLQbaIU4xHqIu8fPY3GDq+eoZEHTkEyxm91Aqq/Gh68SsITTNNTZbcqZ8vVGC
KmqDrlrWb6lV7FZSpY3YIKFsCWoO6nmuHNuGp7d0jsLSNkU4Ers02mBkZvwz3YPtiI1jFK814uc4
ad+hzQO6oDS+lzZrdAAdhGCrJksFvC3S+PexwH2fwXeDfly3Ot4WHF6HxTFfQsRIBlnluRy4i1bf
yRpy7VCIppDWLTr/ps7+hvbqTgNyo+JnIermMhdOt5v0ymfXOKA9qd8mIQ6F0W7jcdrLmF09Ced9
FAk/rmC9SUKlaO6e+qrcUphyr4biVEIsoWHgzXHnjbzTLKre67T1oxSphpP4RVk/MA19sxSWQTti
01bNU2GUT2VHAwmBNq0VchdA4W2sSmMqoPFlDF5qmafZ6raxCcdzyB+EqMHypLGH9jmwenujOFl5
4lKeHSN87vuWU8YPMemnLkk2EGse5CSPDaYFv8uRq4T5w2Ijs1lnfgjdZ4odRx8BlEWnCJIzeWPF
DfDNOV/ofv09HF3316a446BVUB6TeIxiNDKr8wGGCSIIyAM2D/qjym7W00CIVUfcO59QY587u2a9
sM/KUB/JnPRzg2dZqfZlSNk/8Iw5M4M/t57ILWaXf6zz6CTG9GPqhoclKhNGCP1BJ2I+1gz7icb6
wjEg96tw6APTMM/DgIhHUe4NTMIAy2qcH0Wm09ZGMIBSK31gw3/Mzf7ccqRc1YwGgk5rjU+fjVCF
DKc/Atx6IhFpcFtrPNZ5B4eJRiwZTNsEMHwtteNcDFjfJrD8tJ0eMHidJLxpz4ymJ+SwtzgPfSvV
yY2DgVaKbgoG0eZu77CahgpmrBgA5aZP1F0SQ68S3FfUtoGZyg9hh4TnZcN7JYfXVrJ0Ishd/ayz
jlJfLLRo7U91Gthdhl9zPO/bKd3LyvHnMnkfY+uRidGLbpQ2nffhIxfjcc1sZ88s4lmyatXMBplx
QluIP5dxOcQjpKfUfFicdBfZIcslwx4tcZBFh87G0tqnyaCpoE8OcWDJfGyktjeyYhs6xou9KldL
55xcKSu+hUjehqTsvBAmDNLz8zQWXylpCXOjb+tZuTpm/N1BkeXRd9mHksLvXspVfPRJqa7UJr5Q
s6ORx8fQmZ8ys3kaVIZ5sdEdyrq7sP99VAlRSqZmv+RRPG8Lvef8ZJEYxlTQK9byarXZqYVusw2V
9RsTbHcq5iNcoCtUspW6IlRPUNOSmxZRhysECV7WlancZFcRJ41RH25rUjxn6TR7Mfl+QaYq0YIt
qqXskqG2txwc5pqaLadJU1EDOeulbgGl2x3PBc9Hvu+WxtpGs7ShMol61zeW9rLc54IEwdKh1+x+
cS29JzBxxgenDyUNH7sl3GjiOPumEEywctM56zFRhXZGD9V7Wd/lzaYi7CvQ2vZ+BLLNDYNkhshN
fo8EzeNbQb7IZyb09CFfGro+mbM0eEhC1R+SRH8al8R4EFYMzWlJnIi4i0z9GkeHTgwciYGFKERt
HoWkPDRq/JnHc9juwoTseMzt0fCuTM3CDjlV0wOZcPUEEsse2KwI5COrLPmE1EmKWlG2jw3Tw12V
6dZNJM76zVQMyKHFaF8Up9EQ7eZUzE4SrX43SpVs43x+oHUo3kMlVj8mOsk7FFXoqgzgIMDm1NBL
GcPlQRIRqIoTrNiEVjI9NXwzwcLxJghrXER4Pceg7KLku9NYkCa6dfDNuZ89puqC8zghQWbaoxQe
ZrFhnIAKuAqdJ5BrJK6pHXVjzuEiwZ6pi41Gl4SFfZzOWFEgpy2GyXdU6tNrXoYzuMjROozGZH+P
SQrYoFmbn6NskK5tg0eZZD6/4IBF1Yj4LkJA5lcL8im3n9gANEetd51eDgf7joOcku5nGscfVm/0
14TuQaAhqH8eCqkOrqy6kdS1rNov65DdWoPGaj0lNGXoq/prq2meVRmllzFKUREaciXyiKEkDVTD
Wj9LZoPwDh1n2s9Kl2/rrmf9UVdrY9lNfWyqtuQBYmlrItWXlXap6LlvZtpuT466ZsekN7YIEx4Z
DYmnuFg5BxMA1gUqqh5/tssyGDltf5u7GUAvXLFA7/oSdqXB/m9EOQ31ZBmDnhaqrwtaTaOg2dAg
FT6HlaVciENB0mqNCBldIyFtFcFeftWXiZFZKaOjbOeJvWMK77sJigsXhNpwSfC8wLPX0mMYy/RR
rayPptWbDf2fbhNlZr7l7OR4imUUEMkqNvaB+KKLOlpVwh3QMWzKSPM4AHdzbk6fwdnqhqr7uWoh
zMloaItNY03D1a7VgnLNBFQ4rPqwHScHYxT8k5kS35LbVXZtz7EAEZ/bxkhhiZ8V8hy2szx00E0O
MqtzPFPNSqqdGdfZuCkIF98NDEDvcuU05Oyvt/IZhZ9e+8YscJY4Kh0AvGzOtSgGLLT1oiycGPvl
MmewBnFP9G9apxW7bExi3zGwrsx9b5wx0FT8TMW81GFn+QZuO67pUuDhSCvd/Y+1RLFTDxqtBEdf
MGLakaqHrNchpUSVh9qbY6Zm/CYsC+AegZ2EKljmDCjwP/pYa7SGUWQQjQisGG+AZ2U21jfqhSjT
rt/+R1ZkKYnhNCrq1GGeFSe8lrdwj88e2RbxaxQS47n5u1bof60ef7B66BJJ1v/5J2DgX9gHL0jx
fxPn/f1v/FOcJ7BzGIZl4kdAK2aYKPD+y+khQQkgBUFFJk3VQdr1D6eHItS/AX0nOQUTCHW58Qer
hyLk3/g7Nlkg//ih5v+XOM9y0ACKOwUBR4r+e8AQcutRygmI3FqU6nuX35tTWBufe3Wme/KHK/Nv
5Hl/Bi2g8bq/lgYNlE9sIUe8y/f+IC3DPZaIpMlEQOxw52ehmTyMumVvRCaH7UBO7C1LKyqENl7/
Qq13V8n9SV12f2VeE2KEY9r276g0exYcknU8VFlE+7wysIDVDAf++4/3L+rD+4sIPh/xy6ql/x5n
VMihF1nFiySGfYMnhxBgPGd/BcD5LWTjH1fxDy9zv8p/uIraCJ+vdniZqR2Ty1AisJiaVnmupYId
kbVn2FazRWc3zlmujDz7RoDkYzwP0V9IE38LB//nO8FbwT/SMC3u7T++kymHSGlPfJ+Th8Tc77zq
rHiMBT1jq/FfksKmjebpLq1pr/ftR+pKr/hkoHVgdL7/K9L3v/2OkZr+8938ppSE5JeYxK6KYJyi
imLeOCn3ENz/2XdsqTyqyCIdvmAUt/Zvzigpl2kKiQ0P8C0aG0XP80vNbkgGzFz9BSvn988DLEvT
cFBK1bANgCq/XV0puoiTdUoMG+I/t8l0vtG+/yvJrLiLjf/0bPA6lkVlzz1rIFhzfoM3qQPwafaq
lZzcOQ0RtSzxSozvsHSujOOw3MpxiONtnQj5KShAVnKwQ1F/IBR09My1VLsfkVWqIafFaSKobbbj
kMi0EBzqYzY2+KhdBmryauRKFuH1qZlTtcy2mb7JTjPYpHSrO7Z5wsySSjPnmFfCdH7Ex4yARi6L
SiM1xZVNAFuu2+di4crs0wzmQAZ07WLfqy3HOGHhiqgOGzVJXLKArLuhaNbQeVmj9BEOLi/W1CMX
acdG2uRBKH2+S+7/3dZZ0jm7uJ3r9EZUTk1bZ2rQcdpNQ0VHnei84ugOQ6RoQ+SgedEM5nGLMSLZ
ULCJ/ijKVaITmGrtHVt6qPDsQQ0IgDZDfVeKWnm1NdusfHQFs99GZZdueymTFgmVHXWbFSSt7qlF
C4dSsSqgmGnMGaDWCo3k9M5mbhWH4m2OCTcF7pb0+7nIi2EXrYpyzlerypgI9/ZPWc21dgUoSg/A
6aNeJ/MnRL4Z51rCYGZQlXMiNbvZAsij/TOZuf3TUVOanlvLme1jRDye4zvWgh9ZEXajojru8+8i
FfSY22Jcl02ZzOh7MhoGK80dHHyMj0rlLubWHvRWT0LXNBf7oQE7+sBk1HpsyRn/NHhGKi/Hy/Tk
jLE2uhMp24abZDiv0L+Z6+gLZel+xbMAe2oYsHXp3GEUdGsZT88ZrCASs8xphUsbWzaQeq1pNXes
9fwH+yf93Ukbm/dEln3hdbEeI91R7JJaQJU/FKYLl0gyP3J5YAEDxCRyW0FtRRFH8T7K36VTEt08
iBkW90S61a8M6MmZzn/4I4rq7oFzNzxkKD9R6+nWMF6npS6/oe9jgY3qKLomQhBAb5WZ/dihxV9d
UeISQx2gjLeZQdTPqauTmh73NFeMdJWW+HpTib+tzRymfqF2FZ5+QtJjV2ptfkGZ1mcU7HZPBO6Y
IHCD8fyoE2OPXVEs00VEYmbYO0IyaHWEwH6kq90LVABn3w4mnkA9t8wIT7tqsC+oZPgmS4HvSklG
9XGJiwEWa9rWSFyhk8Uu2A9gJhk3+pVk8ASSa24pmLFyGjcSq/WAq1MTPy1Njuqxcgr1rDBQ+9Br
AUyO28y+EjtXMtDq+wmDmZWrH6ZDqieY5cSq8UXX8skJR57LsMYGxXDS/N6vC5MVB2vOXQaipdcy
rJcXbikE0RGYER/J5DTzlKU1ojgWygsuci5TSgPgqWMN0egi8TVQNC93DRiDp3NoFDLH4Cf6t2W0
CyZ1S2/4CXfMU1GiFUcp1hZfJSBhAPypyLhvF4QiXBxy1iDPNrq5k01aHA1NkixpyzQ3CEPk4WZk
XDcZBS7MJNQyQMyZvkxd4dGqZqqRoCqOIRIs2eDpcV19wBCyWAU0Y3yY8cnMIAbt5ktVFWTAptBR
jS6KNp+MgfS4U5I1fefmMaXaxkqsNdsAn3BkMMGhU4PGDA3SgUdMVy6uRmN+JL8Xpm8yVAtzoaJu
QrKTOsM+hB3eMcg6TQtBnspBbuUKqOKkAcx4pXIa4JvAPLrFnVRps3VCjb0wGQWqT/gFeYCzrl3P
d2vbwwrLRAcpouXC1cvuivwlrQNDQ1lO14L57725bNA5gfad7tRlacAY0EUQO4n6ly9M7YGPRKas
Ow/qhc3dTM/mNjYpWhXwLDRdSrVUza1J34xlsDUVODaFNo9b3YkQ5chehJMXLRW20SnS4z6Y7SFD
QA/aZnU7q4aVvzCKUxHTw37dMMC1piBL1KGhFWPjzs8My126OJ+ezLZOaGCFhi6OxDnFExPKZUbL
P8a5vSsl4ydfrLPxMOtTW3u1NQsjiNWMOnAtEwQVWsWb3xRGpStHUC5G6xaEiq6QoFhRU62tXzhg
RjKw43G8YOJWzIBEtNwOcDygsqxsCB9BTqAFg4Z7U8+jGobHbarAYk8G/hikk5GR08RUY5EHdZXq
/bNJQ33y2TjFN2MGprJjRjI7mDVDLhjIrWbexDqQO49hQTi5PF9G5fHkDCug7zgcwR8lQgnQRgnV
RbJYwj12+vTMspo6NLsQ9shFx3OJYfOmWXWCln8MjRtSL4m6ONRLDo3YUX0y4h3TJaPDMPgRet6m
J9sep191l1mI5ou0qb2C/ZxaGuZuv7WSVnaHXHNiSW1e3EdUfDb4aKWlf6NKzwl90M23vsfgcVJi
patYyeCi381q4tSIDgGkTKw+27RIoD/+foD735L1TyUrZ7j/d8n6+lV+rcNX/v2PjjJd8nf+WbQ6
f7NV07wD8YgRIBeCo+k/ilZL/E1IC0iewyGYc+kfilbN+BslAD+HMoj7GpnK/zWUqdjQbJO/44Db
sE0dhN3/pGbV/3xkNQzToJw2wQLqBrAEquo/Fx4qBKxCqZbQf73Cs3F/fiTuQ+JeI/cSu5eHr+3L
4dfbz8PtDxfp31Sv8jcqwr+86m9n/5V1zyhIqfI/Gvf1sXKfMc+4b/zi8+tEw+b+669t8P7t++X4
ejl9f/l1ezn+fJzcv3offzqv/+uH/63+QyE0K2vGh6+qV039bOPH//5zOn+2nP3rC/xWEOiz7HXj
/jkr9+31sXAr9+P17fX4+UUnzX3j34/CXd3nz+vT/vrxvI/c/ZP7sH962p8uT08n7xKctk/77dPT
4f5/weEQHD9ul5N3uB2899vFu92O10fv8Ot4uxwe/ePx11+8f+NeGP1Xsf8v7/93a55t0o9UBt7/
+eP89njYnT+uH8f/ZO68duRG0rR9K4M9Z4Nk0AK7C/xJpinv7QlRlt57Xv3/MLs1W5mlrVq15mDU
wPSoVWIwgmG++Mzz3t+v19dHJ/f+Ynl8ebxcHx4vLy/PLs9WZ/MrHl5cXRxdLU8Pv7nDbS9PX70L
DJCPV+ScjKqiJgDAWD7P04axfH6+fjv3F9f4IRjGy7frkLEkmsb/pSB/cbl+u35jeK+HeTbf8ZN3
xeL8IVi8Pz2cvr8+PF0Ei8OnC2bXw/k7s+vi6v32/RU7lH9uL95vSxbE/cXx8cPT69H7VbC4eP1m
fMVuheDn8d2/mMYNji4KSVx3deJuTtz536vFYnmwWq2dhbNYOvxmsXE37tcTcyuT9NVgit3BBNwx
JER6PZceMg0vXt+Pns9S+vt8+eYvLk8Zq2xx/HB4+3T+dPrNl5xX1Vdt73kXml4jiDDSacnYlMZd
KD/68XlILImk4kUu337d1S2wfr853HuGSfGsIqx9xSyUrtsEE8Jzp6I8Cfvjthab1OoXnfZemukS
ds/jNDyFklhm3aXW3Wka6rHaoTQ9jfFNTySkvfZFePr1W/103/3THYkfTYbytvsB0OHJZJNkWmbz
9TNE78VluHh+Pn86Pn96OD99vZIXt6/fLWflZ9vux0b3ptsUVCWprDRay2QU63cmFImYyO94Zdn+
ompgblhHSvONc+vTEYNXhMuhjUNvPtKsvU1whOCIQ7KE91b6tQt/aUK4Ke19d2y66eXrcd1vyzRJ
5JyrezkjVVi5e3Or6vqmyhtqHFEM6k7qfhRPndarl1UUpud/oylDoSicg312MO9+QbyToWx3keUm
ZTNd6ZPfRM6IC4Qc+ym9+bqt+bU/zuG5WzouZXzcuFwxFnbbMvM2a7XKNF2SiPUzu9a9JaqIyTeT
8metGKwTEIsCw0Le2xS6ijoMvKUmkZgWgfDeNNcZRX3u1335NAvnzhgWpg+eeioTxF5nCj2kxneE
AqbWg7EK8HHf9VPiCycDL3cYppXKPddrIreMLQpaAT+9RBkxoMXX7/HT3kKAsiiXJuPc2Out2QbQ
NXLSDyjQM3AnkYvU11Pj/GIrFj5HuMo48GQDT/2epVPrAZKpXivctq7CdWxNKoCNIlj/aisahQPA
lfFJUuK+7+D0SUfrA8OkNqeUZTyCGT61wPa/+XKfFhe+aYXQJnhYxbTFvlCHAVYv0ueEL2p37cOg
VGwHPz2XdZ8Lz9cdUuetaGfG77W1t7psJBdS/HyDO1YRckgxlUCmU9bNpm29g8isl4mU3uVwbsvO
dBDf2TDPllJprJSh3SjkSZPPvNSH6UkYmosrmozCDhKdUG6G6Bc3Aor5bKCVHC84mLHx93bVQLH7
OSbbuq3k1xQtwIu8iDRUidD/8epu+fXI/PQjCBmiAFY01XN7AyMrniA9n4ERWZSvGkvcC4scxzCi
5OXrlj4tkPkTaEwsOibb3FV2Nx2u/mkicuhHnkgJlOqafCzpwvxmgeybyCatsDS4ftAXAlnzW3yI
weQeeeBDiVsntDqTdKGwXyV9p54aI2XlBYqcB1/36tPMImzFjUomcsaNRwdcuttg2EggL5RqdJXj
6lw/a2+zk+reftXIzF40d8hX3o7n02nwNL2H5/aht4T+940BtI2RfZzc+6+w1+d+KBMp6XmF/FZc
yZfmmXaavxtr/1Bc9KRZnFukJt/I5xEJCgf1RpyJa+2brX5/1PffYG8P7gJBWcmM9/LLCOoZgri+
tlL1/jCnYuPrAd+fRiwPIQCJ2OD2sHP29TKkSC/kpm56V+ko+lSsqbrCbS/ff9PKT5ohq5stQTBT
OVf2xtQvhKdQozu6WpAekA/Su2On3Fvk6uGkpnq/Ij0qpkjhRij9eiAi0do3ZkoFYeEBiLSmhUlN
p13eT/2q1aGQBkdJ1W9SrXZT6UTFLarIpB9QuSmiJ5tKzxFhqP5BUR4GUOhecaCM43qSX1U+oCzd
mXDBULBZmuRdxeFr3hS4cZOVTjLnNzvlT/pNwNnQCHEhiGxtkfwf10+k2cnk0d00n+znIfa1xzxN
vtl0ftIIFpwmcOuZqglhZHfNRIoBooVUFlcbUxmR0u6Cypjh8JtPyEM+rgomCo1gHcA/MWbfxm4j
1B9UtaTVvUtS/biwIR4uksaK/kZXGC9l9qAo+Gb2DG+0pHXPVKOeorhaHOtEd4mLtdY3u8z+xW7u
i4I7BeKjKsiUmdffh69CcaOhBGXXu0Mcz3KJCck5xOBOBiAU6xwchxOPg3ry9QDuX6y2jRI5YPwY
Rza33UY9P80TytB7t6ut/NCsqqcSflfoTIlEWUZdkhunANZwE69Vfn0WWoqJjU8aBhb4dtP90F9d
pFKWxhmjqgsKe0HkuSQ+qd9snD+bhuwlZFnQyfnatNtBgd6QPFVSB/7EN1eRnrSHCmf8Nwouyv7m
OI+jNjvfTFQxNGs/uUJK0NbO67R3I00VRFSIjpbozJ53/Wgdxt4s7BwP6apGCZUfEcqy7vP6wR6S
jdah2UZg21xESXpd9OaSIOE38mVbY25/nQCi4jbAfQC5jb255ast2VOclq5CXJskxabKnvVBKc6q
kHSMhRd7lwYCu5uJ2zDXeMWvL+qBHG9HNhKVwNWkZi9fT7x5Yu29EXxVnUQ5bGneas8mIaXXoAYG
ghyZZhQ1jIKyDnIzV0nbf7d850ftNsXOYEJwsvlC2O17y1cvLL8gdta6XWhRRuKpw6IBtU1WGfEr
6rzC40nIG4o8LwlrDN/YKp/6qciyNYOcDP41T/Td+QdVo7IAeiAiQpTah4GezDFws0vQKEeHWVl+
Payf5uGcqgDSUIaJpdDo3pEmgyYSCfE0FwDfWSI194UgjOeZ4yMxY/mbFfxp80BWhlg7uVP8L4Sx
PWtPgrtMebcZu15kNkt5pHYua6f2wGjq7rKmOJsDpk/W6KFYq6+7+Wmv3LY8WyQML0tvr+VEoqC+
qu3YNUYinKpUHFdt4TsIxDwCZtlkeeZ/8x0/7SO0iAmN9I3NngXdbPc7hqIe8KsbbFRlJRO4nIPX
U564X/dr7/MZ8319TpNiUQj+2c+USgkUJY05EbRSIl0cp1aY1JdgJwcxKy7DxciDIS6+OQP2piiN
AhFlxsxtEpLft7YyHcCi1VSIwhVF/RJSPrgmzkdwHcCUePq6g3vDOLelk1uHO4KzBpry3rLvuBZ4
iK2kbtOEyoUXFd6sbVH82sfatgKoTBOqgQmCA2T3Y3kTgecCwIgrYIOtJyWInipo7b86bswHW7Y5
70ndYRfbW9rhUPpGPjFu5HpSbJaKOrujcK9IVm1V1t9Y3/sXAJwepBwCA5wT6WS6tDcBRzJwk7ID
4hGalrAOzELDE5L5gpIEq9IT7UImvZ3EjawcJ+Os6KvsYSpAFoN1acdoieIjFSxqSAHWY4q44TO1
3Vn0ZmXwh4EkZ/0yoHAdjWMtVNHpGyhgr4+6Sa2R7Ypi++IXpwFmNzQ9E6sbH5Ui79ltEpT+qkL3
AyBAEKysCReHp8T9N6tpb5eAJEwrM/IQjjb+qX0T1PfzEnEFdGWgDWeXKsn6j6VkdQ8KOf0zGWSc
pWs04/oX+8aHsoiLMf+Ikin7JlVJkQg5XXwoMUU2qhDQ1IhXe9/YNZ92CsG2yw0bJS6TTemTTTra
ZQc7OkEGgLyJRao1A6QFrkuW08il9KjgWNB/zdpmCiqg0e2Z8MiIfupZw9hBVs5SF3djuewjpI7J
Ws+/WbyK2D2vt80YCl0DW4kvYV9ONqYWA7gsnIJyoKKYqlv/FH0iICZdOR0qvVVclUjOE2wP/VXd
DsGysephoQAeWZtl7W+Acil3v/pNZ8ucK4ZmqBw31p4VmVqNFqYRhcs25KhNGOn9KpIq8U3PP22O
jC+uSSxV5iqXmXlgPljElD6HaVrSSlTp4RWqmMF5H1HU+ut9YWucXSca+ZRz5PljK1JN5bOoNKSJ
Q5UKm1Zq11T5Zn9jrmDtqCooe0PFNt5tJQ5yXUoKO8Gm72DXDL3qkpMz/p2+0BPcWjREnuZuKxOk
yhKbNWG/UpL3XMj9EpQJTOyvh+zTRsKHAQKq8WXwNnGZ3W0GmwAN+bmZpM6lCySHqfYLJzJTmqBZ
43OMD8yQIqCvG/10LM+NapjGeE0VurY3glPYwETHHnAty0NvJR7kjRZTKk3qWPrLWxYbCPYxttyc
YbvvUItJLdFVewhcPMVcw5QM1Fc0JXHh/mqXmAsQ5hRMeU3n0NwdR+hSGsl2OJkzylTui54rRwn/
M1SNpa03qnj7urnPn00lNAGtXeD6pHZ9bwQTpTJqTBGay6lWqtgl9NXYj9S/FFDi1jFsg43Mp13/
arPzOibXnjgPjnx53ro/LOMIVAvplAn1tDIAyKWhAMVf6+Vc3tdWo75Q2LMi10/T6huv8t5Fh41z
njLMRpiHHH3b0PyHhodK6ZpBDiR2yt47CnIzPYhNiPrTMI6OnwHklpJYOiXdLHIROOu/6ffnIwl/
kkz1lo1DRsZQ2e03GSvVQD2z55jkAHdw1aZglptQIgCPqcD9XKhWp3wzpeZv+OFyt+0zjnTSOsmG
sex9hW6rk4HIG57nQIOUllIbkykaRcM3rXxei3SNtlSFIlSVKbXbNTtqIkoKVA86Rzf1x+iP4A1s
AtJgXNgv1Ph+PYM+NYdFqcompjhtEZrc29b8dtD0lsJSgEKTDMgluk2ErG3UEnbpL7bEPOEU2F5N
mTX7LRGRtMn5hUgfe0N2mJGSvKg7JaaovvJXXzc1L+6dL4Wlx2LgG3FrI39/bzUaoHW1ifxEJ1DN
CmCAOnQXRptI4biIYiH7J9xoqSprosYHEiQ6YKO/arBz6Zj9M7h6eZKp7g1rUmsVsapEd9AVoxS6
EBnkOaoGb/PS0n71ojO3RdkjIR7+UfeTpEbqatPcggoWRG1x2MZSfqJq4Xf3xU8ThVaY8zhBFQ5b
Nu/deRmNXZZKePYo8ZTjcilpEoJhPn5WmaRSynt/ebbMq4CkL5W9e7aud5sbtIqYNScI5ahGdxTF
KnXO2aCcmSnC5F/Pls89o6nZWUP0H4eaubfi/FhkQQKa1UmBv45up5faw1hKkA7KVpW+OWo/bSL6
bmN7U1MJi5hS7FFz/L7rV4Wa9QsAMOk3++PPuoQrnDOdwDzLbv7zD9szG9WojmqnoWBgApGJmsq8
9MmOPhaVpTd/Y/xMNi2TQ52b/TbN7ENjyEcQnW4Zv0B4+kprEplKFk06Vkn3/6Zfn/Z9Clfm6Imh
z85+4nK7/Zq8ETZVRFOK2dYXwSQsd7JiGZ5iMkJ1ztJvlvFPvhbeChm/kwr9VJf3xrG1u0qEea1B
L2rM6y6V/Y1tprn79QT8aStUWbFh4bv75DKtFbvIe5JxnRAg+1kWJepB2kbRL1+EGTv874Ti8VJz
vd8duyFooCmZCdPcBM0Z19TAK/00fjMZfvKFNAH1HdVQ4pSclbut8Oip1jIZrlTjm698wWLZGtT0
x2VNBJMM8+6bwZs/we5ez/TG8Snjf8E81/capB6lknDvk58hUYriyFONOm+PB/INRzehyq8/lfmT
1kiUkDVGkr1i38cfdomplz6tUUJsU+EcUHieUa184vcFXBjDPut62f/GIcPVd+7FTi8R/+DyzZmi
YmwBz98d1qaLJnVC2pX4fdlcFwpI900jwuaYdB4B/KXQKXfM1Fp6EFmenCBM3ON7HwtrmUpTZK5i
O4NmZOZNeOlHYrQXtUZVApRGjULoSreQshR+ehUXXikWBqJZ6G4akPZXmHFN4VBIFVx5LAWUCJom
P7IKSkYcn8JmChENQ8eBJw3qjVrq9UNKKRvsCr+gDKNtcnXlm5NHJk2jaS8af/kkLrTJQpPKjHLk
g0E8uJpfxEQkW7PpQITl4zV8CeWgCuYMixzN0EM5ks03W7KheabCa9Zx6UXHsId8/IfCs30nqPXo
jFSWNHP8sk82FUp5/rIpUcTMNZxZi7bFVbxAQDA/pngCMc4gLCWA3ZWpUsQQRf4D4vEFJUk+ArKL
Wo7E0Wig/XVIFaCFJ6zrLAoGEJC8iwPQ1YyR115zIYwf2q7xkkXK8RgvfNCGl21eRCOAKo77BR6p
8F5HLYhKIdXIx5UyDfWrr0gIUep9HV/bViLGgyxrLIDKU3ZBRhPo7JTCietO5CH1/kkTHrWFYeZO
1JldtSipsNok/izBoiqweijNaCDdykUpnev1FN37Cu4mpwlyq6WmhPJ4x4x0KEqSBV6WIjUJQeba
SMu1CXmyICFM9NOiR0wypNCm6DdwnathYQWa6JG+DMKHUTGCB5BXYPqqelD1AwnMQue25D+81eR+
HWMLM2hjDT9Z1suhguM4+ccAwpp0KSLTeopQoVIXse+bqdPMhcMOQhqUDTVa0jybRY+8QBrG2l1X
jdVTP9b6Cfwd47Eksm0e5UDH+kXbmSXcqRbludQ2oPJQjlhf+h5sRUfVvBLNZMplkRszTIr9KeKZ
gCeOXWotu7oQB3o4BZKLDvYcS5dFBaMupjFHxJY4qKkseY7VITm3IeG/tkFi31FUGw3OhIP3yC+q
9FEptPqOSJp0EyLx9OJnJKABG8+tyDFw+pVL0+zkgyDUMMSMsNPGpdZmGuF20YrByYJOPmtQXzOc
WhfKNViSTqdeym7OgQkXpoOBB2UEZEfNlTEwkiPBBHoPqNf03MGXagSRILrztWLhX3Xs8NfdaI/3
gMlb8MN1C/iSUpe+WCSa1fROYJbqEr1TPV1xe/SjVU50FIm2LgB5hqu5X42TVK9tdZTmXNPYzLBU
26Jxek2bbtOkK498bpPhEuUF7XU0O4iqJnT0eGPYXQndcdA9p8J2QxkIBjhYVL+iZCWwp/ZQxp10
hzdp0ldZJ6STkkrPRwl0W3NA7kJ2JHthAY2Y4q2L0LISbVV7jX8QT2UUuYQCLUi+FNzFK4nsnu6g
V7EoVlM9JSe12elvyBIOl0aZTQa4ha6i6JghoII1bSrZhcKbXEslGnwS1e5nal9TuOqPaefP4nmN
4TRJaD1OylCephHrEWmP1LeXxCxzfZVWSnrYiWEwnaKWRnsZoqJrucLcQuHRZKsWYU71m6vgTCDZ
ETuEsdM7/bmb/L5CCWoabjmEDHPd1iMQr0GRsmGlSKpOKa2aDtlqsOLoHCaEJbt9q+vXrQJE1S3E
GKDm2lTtaT2lSJJ2yE3HTqGavubEsVTDUWLRK05fTMRM+7RUZDRNG0Dz8Dxfw0a3gGWgX/fQ1nV9
PonCv8jB9T2qXMTfYe+W7BpD0uKBU9LEZeLEyNkkKFE4oeZlb2FYAp6p8ikJzkqZbFjiTeN4Fc3y
jaQ9R/4LHJT0HTyyhdYuRnm3Uca5rHcIDJt+N92t2rT1oa9Tdomy1xBda2VtPGHAl+EKGHd/SvRf
efeGNDuTIBMOS2sc86e+ZFEv2rgWzzbgmGHTcussFnEfJ4/g4xGuRilrpvtw7XZDgSrbYROG7Yvw
kP5ZFJM0PJOrNMgrm/E+0UH3eQxdyqw1yKZeGSmh+qU3VDxT8SW40JZk9/FaTcPuIog86YKorPQ0
ylN/OgcHHvschDEickK5zagqbAmkhi2RDAOpaRheA/7RQB+IglBtR6wxAZp5KLK0fcGYaq77oWWy
GVbWXclIi7wg682JMPRQwxd2opRPvtGNbI2Rx0miQ/PlaM6AlgAuCzIUfcGsONyPvdvyT+VlKtI4
h9dNE6cXQgaxD3W1FplbDEkROTECd+eVVjevHUraB8OAvnNQxV7itBkfjvk2S0AXUNmuOdiMZ0i7
OqW2tTLc+p2IHoqthLTgJMocc1aWlobKeLS3ctN+XFBYKLYy1LqQukclRtzZQbIYnepOg8xCBkJy
HG+FrAOzp/R5zPuK0dmKXaM+GN/EWwlsu5GQw/ZItvUWcsnOR9EklC14R4hnFx5vuoCui6i2nsBf
5nVnse0+mGGI8lBkkztizKorFBrhAloUY3YLNACA6dphpwYrzSgo3WN/1289a9LHjUHZ5ZUqkcy3
9KUgR5mGDLuJVP5ZJtzrPV8sxKweTskzvaisIJ8lF1KzpjBtVhwHUGHd1Vsd8sYP7Mpts44OaFut
8jHs0ObUthrmWWm3N8MsbF4TF65cybcUwbDU9oASKTLoSA+qdyXVfEdaN0aPeKaqM6lGOH2YJdSl
QKHCmCAHyupkvHvKmnM/OikzyWsdqj5jaVHNsuzeVqFdVVsKRj0wNGhYhwYo7akogGAToZXdrpIK
HUugj6OFpCH/3jaJ+lw0So5CdVxFNQM/WGw6iMbLZBVD4GmQsVsbcdczD6HSkNK41ZsnT0vxLDfE
4EOoBmd6E76odqyZAOLKWFrFXZ7nDzb3r9CVOF9yF5SxfgWN3bcpRvURch8phIVaGTL26ybr/Lfe
kkEIR5MlTSupTdN7zE4qmrggJNO6bmJWjDIR2kIkKQ+9zQCrn2UHfLiG9d4GUMyFVlB8r1rVS9Tp
crsixphMDscS1bhBGiE/EYapFB12eGA1F7qkTUE9OpepiWMCzMkhjsSaTieRHB21IKsgFVH1HwWt
E0LEsy8tFA0A4/dNZt4PZepfm/FQ9Q7u0yr2wcdWhn9AjEOabi2pKo2zhpjbdFBk5ZQcmllCHmgc
tlgXTmhbanIkJUZOMWYL9n8NKnmMLwIRAHOMICa6vkC4+7DD1lYP9VSPm1ctwMhEoaiSwB6khDAT
CjnTFoFHmFbjum+tkAxAgmS2t5TkUPbdoCs6hCBiqlQe0IwvvGFDoKUskCkR3mgfkn6T1seVMmL4
sZ1o7VWCfdMeDR0U4wsBmpCK2pBkm2rJs0W0GnO/t29g3JJs1uudZW96tgjtUmDyeE5PjC66ylHM
Tm+sXo2RrVZMOfbvzNZCprExQ0u+jzKQDjLrBGYnh6fOlYGf1K2DWishgWZpgMwKYlyk3sToQcD4
5BxVoEDGqJxgpKUQUDkM9FVoclyuq5R9+lop+XDH7QTa+NAM66pDSaOBsDaWodndKEo8TedagAcQ
rd5kKEjI68nJD+H5ZmbQvVmeB8cRkn2frUohpQDo+yaQbk00upKzkuRiwI2okOuTaxS6J6M9Ps6I
3hbu5mNTEP9GQrbn2gL3C+JLAEzZr27zHsD20m9JPrhGwBdZHCBlQloHFWJVJ4hnFFqJfmcnsRug
eHNft8oAQl8PlHglvKnC0jP0+UJWNzPqtBh8GubzhQcFEleYU7bplcpCwbqoTws569hcKfAASNcB
YJ6OGg8fwrst22OyFFC+1ScDyXjrJDfSprssrEQX66ZCqBKrsS67W2opzPn479NkvBuVpkNp1DRb
rzqD34fLHu1d1J6dLAkqrnx2mDevcmzFmGoNoX48EnoAqYzMPSfLRXKQd2E3HaiRpKMk3yl1OiLr
UGbJKgyCODq26yAEONlHZneuyAMy0o2htQ9mRynDmahwnC9EVcntK4Ucera09K67GyKVLdoye610
NatKQd0nk31JkEjJlgLAd+4EIwnBy1KGNLxuy0CB06s1JjcKW9MreTUN1WA2UBQBkiyjyisLTDog
5OY76DPFOx1qCfOuGydx4w1d2DsZVv24aoF8w0dXU1O4jQp0+4jsAEos5FRAHLbRF0SqtYw69brh
I2YrOAUposZoo8jPip1oxsYEQi4ooW4aE1WecsiTi7G2lGoB+rtJT+LI8sITgIdkD40QpcGzSf1U
XOHLB1bbSkIHv9gVUXPTa3kWofQGSA+wSQDyYm2Tox8e+G08UwdEL6RV01fFu4fa7b1iTlO+8KSq
NQ8MZI/TheyrcIw7v/cvbTtABsoHxVw5pSz6BNpHGecO8m1UsbX4vA8JyYrGAWvKNQpPmqSc1xmB
G2q+B+6shQX6YyFnUObd1sA64r/QxYOkyVmtaDdC1wvsyMDI0NUItkk+jN3zMMaZfQ49ovaew0nJ
ApRmEmEdwR+x4rshxqkBGVoes+NAIKFx2vHi06mkqX1/kkI14PZpJxVYY2xa2A5aQNbmppAH5n/d
F5oBm0M3wZQOUExMbLvJT2+BiErF4xSVw1s49DpY38yjnUtLbti50hCv+DJFFvfQtKqJjQsbyBpv
Wohr5fsIozz2N2Fj18q5ISfprQJCxVwOreyda0XGXT1sM2/ZFhF1GwxY9O6zpGwUxSNLrAIwE9UC
taw2dOm6dYRus9UcAQDm+p4IWztEqoHy+3jQ22NDr0AJNHVmZctSh3qBMEumvjc9knsuDgZOhjou
yhe98y0uYrU5nEcmmXSsngQOZG7Eno7HDvLpiueRZadKvn7PFTef1lM7JDeKUINpmcK4SB1YNjV0
H73RjsfIz8Uy73K1XtdzvRPInjhp17BnEpWkEfQOl1UXm+9TFa2BNubFujWK7jhvZwJgYSMPxdmc
9otJ6b16CQS/RLc7juIjMwurENalHffLUC3KpVJ28rOowwx9rWhe55VcQjmxItMOV0QoRzekZOua
L4IXAbPBu2xAtGfQRnu1cqJy7F6MXjFeB9PPEkfqhumyaNIRH5uslCdmBdLQQQ1Iv2uqCLC9qZP8
Vw6pMjlNqIZPIFzyelWG3WCtuVNmxWklyQVklFAeZB9B73B8NdGWZzMXoQdrXULO9kmfUv1Ytb1+
cuwBHuBSl6PuCg9JqSwRtq+uEkj6iJ2pUzg4vVK0t/BTAGVkPcm9bk8C3UNl2SaaIT1qRA6qIDUw
V1HI7+iVj9pyUIhZOGMvN9MmkhTcrlIVFW98uARkxSghW0+pmf8IUl7CMaBV6ChRdB/dK2EKfAdu
KYenbxfZY14rsVgVnTR6UJk66aHPpkhCSziPFeRv9FZVlqPwsUIiLomtU9eZAjZn6BSGeKg1PNhZ
XjybIspTgLhesLTbIX2r1bDmDpu39xC+WtOBEQIMehQShnnAleGGOr4+XljQmzS3hhMJOmIwwms5
rBCGaRrN0h117N6DDAePMxYgNRGi9rXXSsy06IS5cya8gQxGA8sY76XVxDFIyKw9GjVdeZX0qB0W
vW2210pPYtkQjwL7osTdt0laGWUVvU0L5VBN+gBCMryv16yJ0TOv8iq8zxp8SNx3MPpdKZKnDCte
G3Mop3b34FmxUsbcFLA3NHg0MTKdizZRzaNJVKJYDJ4Pt9UXkEjgd0YNF+DUzh8GVanAVMAMJngS
Jj73M9EgmRGnqTFB3JbYbJUBqxa2tm+p7LO9jjOzGvvKoSQpNFBRHr3XAVoKyhSeZqfs6pFULGzd
EucYQ1izieUNqG93cv1WhgMta3nqp05ocW6TFFeRtdA0ih8foAsoWQh3hJGxBOITvkugXeDmW5F+
P8R2WLte2pYs9rjtJRdVdhzEZdlVwSnyeii7emxp/UloJeCEmtRKeieuChW7Ky6KY2xF1CMDWLGo
Ysr1dKeJkkisOVZt56B1wSJBG7QE7kJR10w3Hsw3v/V6IODsqeoGgYFYwA2tKG0L/bx+Gqd6wNfY
zdivRmugCmaNqCGhEFxDKkDu0WAI8LTgkdG15KqQkzE9laTAipdqYIePTMZkdCyOXMU1uBStRVBE
7UFXGoh4WDj60QrldNfJT1V81TURKPfXvZ0X09LzLK9atbUGVJ+gYqa7fjMU9SISZRZwxJkoDFmZ
jcuiHao8wIIFwGpXqSqjI9IAaaLUPRncllBatpQgIzWuaTcGNN5YC6qN5GWafQBgRX9rQ5i1S6Sh
BjK0LN+/7Bt1QEcthSfdloXL48lphLtaUyZqV9CmtFYfVVfulLRaFqrdjcga5RUon1LrPNeKJ0Ne
dvoYvqddaaHpOkwiOEgosEMcg9tKN1xBR6lbpyMVDrdRjX6sZ3GDcUgLlN+s1Eu452MuHhWpPNRr
MaGdtDC5fSluI9TusmlNccPygBJdESUGCZ4r0LWkpD2lrBU/hpTGHQEuCVkXPSp8F/YYywev102k
5qrKXLDkB496pXBp5xBdYOCRlgR0LUqSdagM/O0hypAS0acIT7iSmzC8qiCUJddKPFy7eEukqypK
Q5/DPZdfFC80EIvEMxMcTH2TDOuQ6Ie1ULusOBsyvAAIZ+EQ4cbQjuAO1M4+iuBkT0dpj0HucPmV
s03R6KmPUFjOXuVbtXVjFbbE8Yc9FboTGXuNf0lgI0jPK24bpyFMuMA1od6hADTmL4Vkar6TNmXy
bpfldK0TpZoWsxSmgm8tTIA1dQp5V4M2l9rrSMB1LYXNqN1nG9Oz9JADjUHGpzTWZ0PbToC3sxED
CZ5mfFTBibKXqWVg9uqDecjOOd2XOrVsaIEWlEpj4/XdGpeqtGkGAZorR8ICx5UEG+zP/LhfIuGc
FW/ZFTKxb83JU/Gf8199yQs0gf2g2RJP/+d3Z91bRXLQ2z/4wfofqzZ7fWrCPNv/OzuPqP97+8f+
Wz5jU3d+s2QTbsaL9q0aLwkGJDT314vPP/rpT3kS7/bXg7bq39f53/uhrx/0F0Tneize/us/XihQ
b+b38+noR1bOjOTcwets32jbma8ekDBiTfvKk7cMV0KtNoAdSrr4ReAuoSTgx58bMF6NOVGEUvPt
L5IPaPHDEP1vg/B1/36M9VeD+VUX3raf7eD1v/5jJlL83hgo8h+kMvFrzhn52Hld/EEWIL8IqG5/
/dnUv1Hn5zjsb3Ve+2P+7gp54btdN9U/bNnCJzjHkOdfxNH/vb77TLX9ra5LCp/dNkE2kGnw8bOb
9h+CCjEbqtOfff9zkP+NPrsyx9d/r/PGH5jGJBVZFN1vf+0Pgv6HTKWqDkFnuy/MOWr/1wnwfxip
f+6jThAmr9sdNHyrP2zD3/7Aj/3l8wP+2jfmzQEvjab8k/C1/dF5S/3z4X/uIfPv/3tnh93ubh/+
cN7xP/x252frTz/8V+c/tvXxP+109ad9+PEfN+Fb9VS94EPe7nV/9er0KWXf/n/J81MWPn08C1gO
//OSn86Mf06WL5+aveaUtf540DyAZC7+9lPbGofezlNnsMzvPnbxxuWmTX88aH7ZuVDotx9LADt8
+sdT9vqPzVs1vfl4DLOdl59hRL/dCtC7qq1/PGj78qQw//ZjYTE97Y31DIj53ee6b1n6VMU/HjS/
7pw49buPPagYhuz1x4O2j/0XTLglrum9xTEn8/7u2zrT20uwO4/ngqbffewqzPYHwWR3/+3HPlX5
2z8O6vnZO/PM+hd8uFX1lL28/XjJ+bvNNXi/+8rr8Ll6SlBG//Go+cH2v+DLrbHus/pt3Hkuttxv
v/BblT5lu4/9V4wD16Dd0Z2rNn/3ZR10lf8/d1ez3MZxhF9lb7arorIACqR4SRUBQpREgqIJkK74
NgBGwIjALrQ/pEFXqnLJQ+Sckw+55Zgb3yRPkq93MRR6do2/aYsxLy6TVPXMzvT0f3+dcvbFpAV/
um8B7K9idgg5Sonvft8NSsKhRk1N3nRTNeG7pd4bX6rvdewwWI06I7zJqhB+7lxzr09CA52p9Nbh
hlcCp3tm0nHmmiY12GDeR9EFboS6cbcscMZnBnI91QAE1oafM5Wl+97gWfaznvajLB5ZWiTV0INr
f6x08Tcy19CMPMSZWEI5XWp08t1yJwrVILJ0CrICT6RDsp1RJdA4382e63Ss45KWy4vUvWlH8Z3i
skJCNV9ErsIHaLz/SVxEiIuN1MRSyi+O/HrfY7iMoOX4w4Nj7E+XXrR2CVOrnO+Gu7nUROcZY+K6
hNfRnSkuJNDVLrDhWwWHLmaWMIIPAoTv9JArj7qEk9S9M+l98ersHonbULNnf9xdql3dxDhiZlzW
JfTHFTAb9DA4NeFoGHG38ZUAz13DuBqA71qIJttDyM+kIXAmkMhQUHoUc4aW8Gq6Ou47b/tAQBjB
8dBB9BHGC1ep1F1mj2d3HjmHqBuD9kAPXU+PWnoElNVphEkn7LQRJQVA06H/5h/+TuK/yjUDFEHt
NSrlEHZFByMGBK5friq09BieL4fGeNh9+78vRHPO2KhFeY6htZYK1ZDZKQTI5auSTuDTlfx8CeXc
0T8bx1ijyLjvfruQwWlwgRAkMm3Erh3zGZMaePqpTlkB35UWcrmbqlQnllzOYASU4Uu9BQIIKgRH
Ux1DPluCOX0MBFsl+LGZjczwFiJu/b52BN1LlLzm4Ci/+QUF/ad7wBj1AgVio83L8Wo33o34c4jP
KIW6+b+LBjiDNf/m/yJ2/tHlBKATWcawOmnxyRuywFGIqNWADABLhxgMWbWS5NiSbuKoZgBa2BV2
22k7i6MZM66KFInz0LbbZqGOq55YriO8aB9R9kBNnHPA0/U8iG6EkugqsbBX26MOcf5stzuPD/QS
+I4BLQ6sdID/NF7toYsf/c0lt2G7NS5QnTByjZ99NGkDPhRwYsB1p0GKhEPIvyT7UkmwqYADzyiH
Efdfo5EeoxdgmdeBswIM/1Whkk0XaiJCYAZBWRWg4RGPiTq28X2YgnDYkFiuo5NoFqVqyq/qAEgV
KHYDTgVa3QGVhuFDAofYUaNxrPuWEsmHg709wGCCHQjY/hBIEgQi4X1bj+oo+I3QCEAXDjHHg1DX
wSF1QB3trV326bQUQN3w1DfRUkuc/UfQQlVyTSL4AWH8MZrcLPwLe7PEbwAFQ3E5IYXClQFMdIOq
CH6T35bT/cxR+DruBenkZ3jrkxHsUGYlCBi5R+EIIUV7l3TVJeW49Dg2tGmaUZrcwRdaJkv4g6sZ
pqjnWlVk0ETIj8UEaJqzN9EMnRdDYwnREewJkG2NFYvJScShLvUs60+g5hAdQeg6QGH7iAUaaKSC
73kc62k0iCkkFaxfT4ADW6hKiSPuHeZz/GDUpHNrqm7PhK1oGgEs3B4I3WtDICz66BXmrkD4eEZs
nVUmxoZvqKVmOrjW8ZBZ3CuNsg0pH38ySCqljOP3S17M9gfeHs1n6fIx7K/VEeuffPtzptB7ZeCH
n2RwJZlM2ReQKW0UvMecrEQQs52OTTTj4prQt3xfZw/P/kRNnbjr65LXsf31nag+f4TrVfz66zsZ
O2qg7HvtsNMSIwC+3P9oWw//TnUw/ObdbWRi9uowwt6f/KkO54x7Kxzy7c/izPRdq6BWDknsQBcO
DmB07GeT9EQM2/64u1TGfp1ToBGr2lPWdxB2HalkwOt/ADMrQXoepSlnh5Vez4ZSGCltdcdkcI3Q
Df1PYuIQFRDCHSjSgRMpboicbQbpa3gxI7oFJI6BKLuRlJqEmutE9yR/EdK228wfx74AG58bmPiM
qoTKyKlyTZSDjvuyWqGPMeAsSVTGdl0Ogm0vgC4ffs1Ct2dFopjtEp4JT9IAi9xuf3fB1tXzwVhP
Jk4iQqJMbhFvLMWeAd0osW8kh3nlByYJCNCl/I8KznTkJOQJqN6X9booK3HjujRMyJtuNuS5GIS4
/Kn2Iu6l1anvyHurD/+Mgl40ffg1z7FdxA//CgeGx+cxTcZ/oR6eoRPCRXpZgK4K710BXZfIl16N
Sg9cojyxmcU3KOcP3qiEmUV1iVI/tGYYx6avE9C6L5dgABY8+ZCZBMAe9if8U8kHwcwdAbJm2lf9
O6ZaAXXvT7iQod3S+6YZXr6H3DRx0IMxx8rnkKfxp3zUn2t2d8BIRYUHZpYAOxQTjlCFvVY+PWH8
nTycZxiI/TiCV2sSmJf2hvOgof1hdxviCIVxfWU+ccINAcLxFKFT5n0KuAVNFY4maqiTsd0hnYNE
IV9nrqhriJGV2PA4cy9NQLQ0ET/mr3RPYK8Ii/ajIb8zCTXWjU1wpsIbxgwSEQMkenjEX0IvvkWE
Ozil/3SPLpfZIR/k4iu436FpMdSOcVOjzngByvzqahJm73s146KhRuM+ffd6Oo8B/+CKM2gZf9JF
dcdp5ARYgZ7uT7vQ6BW0BZ70qbpXACRzhEVN4l2fKZ6TQL2m/1mgnFVFpSdCHf6+zIHyYSQIHV6W
sEwR/xqaW+4tY/aUwI4RWJu7b1oiFXGuZ9xPxrAQ/+1eqBi1yJOqml5MHpWgf1MyVTBcSIAwuu/N
bIacTGKJ5ep/ZSXKhsHRLirt1Qxig1GuCXBHb6yM20JTrwvo6576ZMonDXPdfsLuZmFPGcSsLJ3C
xpLYMRxaMgtdMYdBJ3at3fd8dd/XFcch0bt2bXQaKt6GISHqPqBaMLoN3gEhKJsF3wdt5B2jNKuo
hsGYipcCF7BY8DQLVTKGD/l9YP/XVC16gEnz/hfTnSG3P5lXyRsUyknYPh0zHKKDo62S1G6XeBZD
ZlZShxTZqGZ6cWrdsblBAV6IU3v836JlfXlRlNGiDm+tj7w+kUnpmrnCBQGn7r9/+0dyQz+dxHMk
nrCDt8idTpW9NSYPUYO2vyeROesZ1DO8ONPoNV3+QowAO8QcH/ur3V9sV8MpuLHsnnx/bFQ0h79k
gh8IKIvFvA4PGhjBJLDocXQzjHCAPXUDN9JMmVcCgB3UbApc3qnKANnJMCgw4BtjqAmZxtdCulAv
JubFAPAOL5Iks/SI4xdrCMSB0JU4qqAsIIPO1CwdO2ZNcTRrlcDTBZby6vhnGFiqbAVorO+Uebqb
KCren+FVxCOSCzygsVJ9bai9mnCmHPAEia7GZqwwi25ZREjkmFow8ZmykdBjmNUdufVLEuZbe5Ap
YFAtn4FEN9ubWIeDMRWfOZVMEpmDNwpDR6hFrgJs50BA8Z1kCKQynQqdZE/Iw1SAFQQLnLEGJub6
EyZneJQ5uAmvGwKEdcxVs0Rx21WcuZvF2Gf/zV6jX/seHZPs4tB0sY7y06mBqhalZ6gUikbQMOiq
acQuR6JgoglEKKQn7SUXsRT7k8dbJXEbhVUSRiLC24oGURJ8e6r1BDGb76qWkSjwywPJQOJC4z5q
gZGFrxCYEvg1rSiy7S/Mi2ustYbXu5BvzCdj75NuVyJ6+AYYHfDnAU7RzZugc9wEM8A4WDet8Vog
5LfQhQChmZfpC2QiFvTzyD5dNmnGx/5Yylo5cHQCiuEk45Gkcm9l9qXrcUMb760GHsuCQ4sG+MEx
cJEm9neMs9BDa5li90d+Cve2j0IPSyn3PiWKf1rjGPHBqUoWn8MXENj5ub4LWmpSAcYhgVBybpwq
TYnS/msVoieBmxOEA+wbSDhXCDxaMvkNSrxZOuCfNKJXHCwTYCF2qd3Z7sKkA2XwUCukMTp7BRZQ
s0yhGfWuovmjJhO8mbi1qwJMDSWVIKhSndQpN/ZvL2EKiI23eqJD9afgKBkAgg61srmw6dGLRVwU
gUnMBxlzg0LChe1FN7BNGadiXrn/ZfeQauS7lUgT9zIAZDmbFeDMH3G9JskPHMO0EMG335/bbRKV
/CUjsy4RCm1Rzg5TEB4twuV9N9DUfXCADm/gdiM8+gqTKeyfdxcSVwV41sI+6QBZLQ4+YFDjHPZi
leDAolj5JSGIo+EYmAfru7yezvGhFnP/ZuPl/dNBA2N8+Vdt6o6xEOfMrbJ/sb9c3Tw7Mffa3mfO
pgJKqxVB2ASXDnyJRIFAewI/a3LrxnQOBOxMGH2pRgU5e7QSchnlSkNCvFg+ZTwk++Puj+gcB5yH
Riypwj4QOIsLeFM87VI7XEu2ijtX8KwgdFgVTInlfgpXDhfvB+7YF3tsDUb/8tesf37L/9q+v6Xh
A2wzW/19YUDSzVZhpDDCv/tXFu5sfqL2I+wGVgmZEx3FI14tJFHEconh3pxqXSLl2Xv4D2r651wo
rge9r+KAr8P9VWA29lqeD/dXoeg8w6+sgPB5fl9ZhRj0/L4S/ecFZN/X/bQdhfRRnPWZ6VOzVsXu
BgrCdAbJkNwhaqq470ayJVYYYSglt9kkKgJptzAyuc0mEO4lpIamGsO4YqQlKrZbag5Y7SrnSaK+
ruVwh4QzexxN0YXGMQ4lqtks3WocFolyYqCvuqCuEojrcEGGwETNeMOmROP0WwVn0T633E2QMJXe
g4+d+6vVBfxHhMqoP9HtppdA6iHk64SakFN2Givx/zaM8F9gKkwakdvLyuLqNAXwi9ux2yStIrZ3
atK0CC+d61vDJYhE7Wmxylk2cMxqCQBsRCBDM1TDIhwZ9QE2aY8lDztIzCDpoXi5OJ8W+BIpyIoQ
dL2MeJptncwpDuraYGgRUI0pI0XIW4VUKNW+S6Q6mwSJkYyDawNPqlLI1yVex1V35QoCjNxEzssB
0qlLRG9aiLCg3YWxlEQtaldxq6gukdRBJ0MatAHYiOxcxp+xxASwgjthwqTjh18nejpfPpWGRFlC
/gEdhRX4MAg0IUs01RQfUGiB4NtiONh3yx+xh5j02gDa03nkRVX7H8LshzFK4zGWD1diAElrPnPG
EUrkKU7QgYeahtjM2H4lFOw7TKBjRCWQQ94lsdKsALMmcbjY62e2V4kRLO+jeOgcgUQN6ml2B9OT
7VYCA+FMY14pR6YDzLZdZneP9QNcKEslN5MlYCZ+ALR2zKhKFJR0VTY0wVGsXIgQidqRLkals2hA
XcJFXWT9aM9Be2qoRolrPwnn4Uc0w8DHDllnByC47QXszhx/0eiMs2Ryo1ViaOl5FIDpvkkCtxoD
E1vsYrvv+YRmgwXdrD9EAQDmFLCn+Kr+UkIsAwyoX2VqI8kFeSfhGB/1s6CTJYwjF9QFzuiXy3a3
fXndPv5rQMxDRWYl/kf4GcnnPcCrvK7TkOtXv1vlbZXZspRKWqSBBxPUk/35fwAAAP//</cx:binary>
              </cx:geoCache>
            </cx:geography>
          </cx:layoutPr>
          <cx:valueColors>
            <cx:minColor>
              <a:schemeClr val="bg2">
                <a:lumMod val="90000"/>
              </a:schemeClr>
            </cx:minColor>
            <cx:maxColor>
              <a:schemeClr val="accent1">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sz="700"/>
          </a:pPr>
          <a:endParaRPr lang="en-US" sz="7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a:ln>
              <a:noFill/>
            </a:ln>
          </cx:spPr>
        </cx:plotSurface>
        <cx:series layoutId="regionMap" uniqueId="{85CA3134-2CF2-436D-9704-AD427A7097A7}">
          <cx:spPr>
            <a:solidFill>
              <a:schemeClr val="bg2"/>
            </a:solidFill>
          </cx:spPr>
          <cx:dataLabels>
            <cx:visibility seriesName="0" categoryName="1" value="0"/>
            <cx:separator>, </cx:separator>
          </cx:dataLabels>
          <cx:dataId val="0"/>
          <cx:layoutPr>
            <cx:regionLabelLayout val="none"/>
            <cx:geography cultureLanguage="en-US" cultureRegion="US" attribution="Powered by Bing">
              <cx:geoCache provider="{E9337A44-BEBE-4D9F-B70C-5C5E7DAFC167}">
                <cx:binary>zFxpj9xIjv0rDX9euUNxx2BmgZWUddpu3277i+C23boVCt3Sr98ne7qnUpVTOTUYYNeA+6isTGYw
yEfykdRfv8x/+VJ++9z+NFdl3f3ly/y3J2nfN3/5+efuS/qt+tw9rbIvre3s7/3TL7b62f7+e/bl
289f289TVic/U+Lzn7+kn9v+2/zkv/+KT0u+2Wf2y+c+s/Wr4Vu7vP7WDWXfPfDayZd++mKHut/e
nuCT/vbkf9rkW91n9ecnP23/7pe3S/Ptb0+OfuvJTz/vP+ue3J9KfLV++Ir3eow/NUZyo31ivv9R
T34qbZ388brE61JRLXxJvv9hfwh/8bnCB/xL3+n7N/r89Wv7ret++vu/j956dISjV7LOhj+0ENrt
C//P6+8n/PlYy//9190PcObdT+5cxF5B517a38PLb+3whxb+A1cgn2qJOzCa/9Aw4cdXoMRTwoUW
VIofV4TXf9z/jys493VOa//Hu3aK//HDvc5fHv7vdR60n9es/OPg/wGt++Qp+/6H0GN1C/aUfr8I
9XeLx+t31X3+m5xW+B/v26n8jx/vlR78PzD00Ja2+i37D+INf7rBjC8NYOQuzCj61BCtfcb1DyeQ
x0r/V77JabX/4507xf/jhb3qw1/+7+398GX4/NW2f2jhP2HwsHejpFR7eDFPmZRAIPrD7In/h9Af
8PIvfJPTmv/zjTvF//nzvd4P4X9C7/8c9/8MhNHn/vPhewS9A/0Pv/r9iIjru7c+FIh/gMb11789
YYCQP8Py9gkPAMofv//tc9cjPlP9VHMluZaUSCK4NE9+mr59f0mxp0YzQrkwypcKEeTJT7Vt+/Rv
T8RTKo1QRmvFDPGZRFTv7LC95DH2VAnf9wlR0hBOjfozaXlpyyWx9Z+a+Pv//1QP1Uub1X2HT37y
U/Pjt7YvKqRvmDaQzxVlvuYGxtN8+fwaeRF+2f8v5iV1TpN2CZzoSxauSKzay2Goub1JVpH3F3c0
8y+J45wBJnxNGfd9inPdFdd4Kh6Kns+BX3SL+DqXhb+WQR1nHn+TcNOuXx6WB9/YHY8LwpXGCYXm
YtPjXXkkq4t2Kd0cOI/Ur3vF5FuXyfzyMVIk01Ccpj6ck0qlyOahd6WM62oSMtRdoKk3RkvfjKFi
vP8Rln9kQid0Bwi9c5a/S2EUH+9rODvVx1Js3DWxZlUXxHVuDvHgiaCt5/JTMq8uygrjvXjsqQSB
lRGN/FhzWOKxvNJflTCzboOhNfwi09N8kZajHzxeChNKKe3DRwTZncofdJa3JG6DnKf0A8lcdd03
8xo9LOW+7gRhRggFa4cdaLja3RtqXUnSXpk2mAueqjA1sx2CohViCKxZbBf4bkrfPizz2LW2+xI+
EYJqouGwdMtT7so0NXNNNS5tYF1Nb4jnRDR2Rf6cDFqeOd4JUYAYOJQRTFG5Nw3aVMRWQwFR5dgE
o6nXiyYbmrDLq/Lm4VOd0CTKDc6pghoVIOj4VKKRtfbqqg3GrMuvhyyXVxI48YxbZn6ZWquuHpa3
+c4/AOq7Fu/KU+RY3tLb1coR8traX5uryo8b75CPMjsj55QKBfWNLyiOh2z+WE5c6XXJrHCBKV06
hnm+5kvUZ8P6iSWjOyPslBKFkho5EyNa6O31O6hrXCt1ly8uSBZaRMPY0heplHEouF4iOWv+I9L+
U+g4eTjNlKTwMyHlzpVHPsS6z6gL/HLggTA5PWQ9VUGSrckZfz4lShLOFLzZF4ruAorvCVF4M3HB
0pIy6mkpX3T5SgNTJe0ZB9vAe28ad0XtHGxcVdN2Pk4lVvtLmqrkUheLe6+QpT6beOHet3r49fHW
eFfkPUVm3jwVPhSZkirkbSwusq5PzrjzKZuXPpdaCs6I2NtiZ5q0Xb20DZrMDC8L2+Shp2v2I+39
p0ZxUgqMHc4suVB651mxiLlLjXKB7aosYLOVF9lo5ZnYeMrUpWYc2Y9vlDE7Ka1RWZs56QKvNUyG
2pTFTSmr+Peq6dK3BnjVn3GukxaoJeDQ4BM530nMvbRsM8lc0CMxuyzH4aPg/DfqqDo83hgU4YRu
kUtTtX2RO14sBUmTSQAy0thT4VR1OuKl359xKH/zmGMzlwB2rplB8o9AskPc1NPZUIq6DRxrWdDV
bArFmuaHpmmSy3qyLGikuIzjorhkop+8wI31EKyEp2dQ5L7BSLiOJJSCTdqSnuPzmqwi4zgiyvh1
X8pXdcfT7jplQ9WduUF/c6P9kZlErkOZFsLfpx5zl+jUn20bpFla3JCSjhfONeytHdvnifTmm7Zr
7KEtrB8wyA/npUhD3EHv9+Z6WDx3JhW6jzQGwRUeaZCuE8F2bj8tyI+8cXZBQ/TEgikxlQxoPyUs
mkhCmyBrR/m6G/pqPnP793UOyVQjumvD7qdHC2VzNfiIFDOzOmxtXoQrG+ozN3vyfHek7ExsGRuz
Jg6gPaX+GA1JScPJxd5lxZNgMR9tPrnosb6Dc+GCoTipwF3usFurqWbIKF3AFt2Gnpl5OPK+PqO9
++ADKZIhh5UMBKjYxdna0rjoVO+CIjHytdWLO7Ciyy/JUOa/9Vm7Xjx8qlN6hMluxJOAn+wRIS4s
SDCBiCTziTfR6LR3S2OShFpX3XM6LqaP5gRZ4JlznpO7O6ccktk5y11QVnV7m0/WXjfpsD7PB6+9
HbTgISly/wz8nVLulm0SRpDAc7aDv7nRlSvbGsrNfPFr7w3zcKBmzC+n2pAmSGuv//CwerdPPIYF
s1W+jKEEQljc54IDS6ZadIkLxrirI+lcG7EqHwOvnh+fdiKVRgYjmSBECrHziIKvazFJ3gTLNJQH
UqzDxdyLxyfTRnAfCQkSQbqxA8eIWi+dtZwuTeCpZrpkBa+CIleviCtEULbkjHWewJIjaZsV3YlX
U0JlN0ugFcnK2A9ZpgoZxrRdlzOWoe/fk1JCkc06OPiL7fU7guDHWZmmaxOUI+luUu1Vl7auyI2t
hD40So5v58nziqBapnR6vCsYstEiyK9RkLPdIVUx67XoEf1XrzdvSifoLz6hQ9hQ4a5tK9c8aNJY
nDnxCcs0oN8QIaiSsJtdgEBNInvmT0hF/XgIGmbKoPHzNMjI6D0eq9Ht+Z5dg/VDeDxWrm66peNJ
g4QqteOtHNxwXbFe3GTc0Ks+Vn0alK4bzqj1xJWC4gDvgEQErQy6i/1t6uiKnhvwepA0Ccos09GU
2e5GWDa8mLnNg1qbLnTZmJ0Rfc9st6ArOaM+pwgZYnejIp7qxjkgSpLrJqCkZhfgYsbnj8QWSAH7
YLaaDOnWHlvaeGbttMJm16z3bdAN+RqhxC2vWKPqZw/LOnUioAvST63A5fi7DLXgGc9E0zdBYeq5
CdzgrZ9Gj5bqjKncs8rtTJyBlNdgBtB+OjaVbM0bPZGhgVUWS9Q1C78l5VBdu3nozmDLKVEK9k+Y
3AKt2onqp7i2tqogyiVdANrDi5p1+ZhaspxJDk8pD7kQXMAXxPhqBy6u0mk206YJWk6yQ+sh102n
1B0efUVbmEFohPKIUrsytktUalyWAcLEOgdEdmngbKUff0FIqDc+DzI03bOvi580NO9iG0xiRHIJ
oDrYWeevYpesHx8+0IkLYmApBUfEARctdgilaOVSLymagLshvuiLvgsLNuYhKJHbhyWduKAjSdvr
d9C/touL1yVvAiPH91rV7FDTuDljb1tkPEoFDJIOVJTAP+AuuORjIX4/u8r6ng18ackzl8/uTcUm
e20SwdfATvN8+fCpfHpKok+pYZz7kLqz8NWVeTk5SOSJgQKdn0ZzXRdhbEZaBqmI06t6HpPDkglz
WRNHf/cW76YTdXORsql4/fDXOaVkXKQUoNKJD+7++PxJXVaDjmE5yoxr5DVefgBF8O3xQpSQlCuB
6hNIcixEumnNukbYYM5amoXLlMs+6ohp5Bk/OHWbynDQRtQAP8xmvHdMJuZFTdgC46zzeg7zlMmA
TN6FL8aruveWM9JO6U5LtD604lLBzY+lDXMn52q0TaB6Ed8W4+KuG6Bo9HjlaRAeHDkQ8sg9sa1K
1bIlASLmXdU+s0NaHWbBsjN07ImzQG0oooCIuKi95oraeoXJ0i1PVemLcjI89DORPpYqQqOJgIEA
bKC20Wy7vzv3o9fR673N9ouMVc+rZaZRE9f6DObeZzo2MWhECYVeCiq37bB3xFRytYJUygb5EGfP
vEWzC9+VN3YSJpBkfKEn8brxSHxwqYpvwXffSNM0Z+LLdvs7ZIF/+wxtArAtep8IrI4Mpk9KJAJy
pP6hn9OufslnQcZnYpgmFs6TKbPrdjT0HE17wg1QDaDpR5kUSLN2buDZVJChMjZYqpwVYUrkEk1N
9ozxhIdDF+Ofj7ZRBB8KDnrrLfv7qD1QNVcrAYrwNM2CqWPtharWc56wfe1jjfq4UjBksCAhzb4c
AOeczK3Ctco0S8JSK3u91Ku65rFJz5jQfQ1ClGZIE1F/ULIvqICVkrQCGrSFyLxosaXTAVlT/53p
mPiaTtUUn/HzDff3p4PnbUwj4IujHXtktGnhxJw4ZoOmrryIGyfeu2Faf3ODKiPfr+lvoEHm2yZl
9qpqaffp4Su8b64+A4FCUekgkwSqHYuvakeScRpsQMo2iUqpvpat+iRqEFTO1FUw8HNZ5X3I2SSi
aEU3DSwr23lpN2V5Rn1ng9qjKFrdMFzBVeozN3mv4DA+5+Bv4Qh0iz27NI/mPRPc9jZoc69dQ11n
2a9uXSoetU3MX7piXLOg0Ck4I1WW3bkYccJmBZFIZ5EDgj3aN6rbtVFFrUYbeGXsLkRSLH1oYj99
a7uW5Wfc8ATwoVWCUlmB9d/Qb3dYRr2CTz2B48vuJXCxeOvHpohG3pZ+xLtUvClYhVJ5jqeuv6Bx
HKvA6zr3Lm153Zypt05oHv1YDANopNfbdMKxRdGy69vVTQB7l8Jdx6H/bZLI52sym6Bc4uJ5p9/7
LkkfHcqgBLTRwZxhMEDInV2RypTCNbBksfDShn0Ss/XSjH7WnVH3qbtF4YVhB4Zy0ufb63fDTF3n
MUYcbJB0Q/xuXHKmDotv4ts+44O6fNg/TwkzoK3AQBqCvztt9pzS1OsLG6xg1m8a3w4vplp50Sjt
9PZhUSfAT24iCBqKCs0+dnwuP+ZiUTXOpXIVf817f3mnezVeFnVZXqGhmX54WN6Jo4Gjx3jLNtyI
AdRdGVtyL6uGxQLXrdKRl6KB2bYJOup4z+OvTKPljJCIo4Et3tlGJqsm6frcBmbhbRLweRhitP1q
du3TGlzgwwc7gakaORXfUI5shOOxIvO5lmUyeHXgV1Uexjbt8sBzaPyFse7o135pR3LpEGvOVE6n
5IJuhEj2fZhkZytDP/klZQpypxoMzjxk/AVd0Ghs6yx9N1lun+kx9c4kdyeuEQMKSAEUki/8x84d
RjXyqvcSQF0PliCu4eVN4WyoVCfPQMsJC9XAOYEJILDGmH46VuzKpkGNU2WDuFvXsBxWernIUV8N
bZxHU514Z4iWU0dDWb21T8AXo1g8lucmlbhZmxotTi6vqbfSqEqEfb3qrDxjoZsF7tIAjSwKvQaF
uS0EyGNRXDraJ0tcByTJyhe8BX2Uc5FePGyZJ6Ug7goq0A003wPJHegiVVNUUgBNXF66g4uJvk29
dHo0F+ZrNDGQiYLEFVRtpfAdKV2K1ptcGkgpxaxCTLaVyxXP0VeLFqGJOwORp6wCDNVWxyCp4Hqn
OkJW2Q4ZcMvr+zdjv76qrJsCiXwqUC53Zy7qlLRtVnWbl+TI23Y22NRdLlkD524Xl9zUWcsuuiJR
12Sem9t1WoczpztxZUBkMNGGKMgUO5QsFG2mGdNnwTQ2DfqyKaFjlFg/PpdFnDB2iNiIMXC0nJjt
i9y5tbnhftpn8ON5HFUVVZgdiFRhdRZkWdy+edgQT2gRSkRrEkMKGAjeC4tnf677RNeBNKmoI3wd
96VuuYiD2AORC+afp49HR0RssKXISTASuQ/bq9XVnM60DvIxi8PCSyJO4wxMrfAOPG7nYJ79KXr4
mKd0iqRabBT0xjNtarij07TPvabyOHLMrryh6CYeyoolQcHpOYL9nKQtNtyRJBuMhWEqqA6aoc/G
a0B1Xx7qpRibMCsaXOXDBzsRaozaGqNbboKYsjtY1be6TDu/Dvp57S/XRXgvVxmbyInOHbzZLDfK
ZfGHf0Oo3GAF7oBqaSe0rczkZ5rVQTdBiRlGQd5Vi3yXyrq9INKxi6lL+RmZJ8ozAD+yaqz5YGyB
7/Ta6dV2OWvrAJWSHyRpfWOaufywxGmOXSFWfRIVaSPhkfaaTnN1Bmzu59JbVwgQiowaA7575yfc
qpmVWR0MavZfDbRegjJtk89e7Ibnq/biQxe77rnXdGci333U2cwVnoI8GoTCPhzVPTdZD34yiCkG
h9DSSA45y+mrhy/0Pgqg6lTgITFWBh5tH19HVQ9ZRlMQNvGQfkrWdEyjHotY9QWPZ/upH0Ty+WGJ
9xW61bmg1JREDBR73En7yktJiwyi6rNqClxWi5dmWIskaNFWuRCsFoGqEzIGcRPn56YWTkn/nsX7
gqstzz520tGzJPM50lDSNGkZKQ+OCe7eplNopjLzg6yO1ylqZtIUVyCL/W8Pn/4+SDDEEAyEoy3B
KJjSY/kSHQmkyQAJOhfsGn8/Fw2fLmmq9cWjJYEiBTOEVs53gv1YEmoHatYSUbKOjaqjetXTEpgC
Pf0LOYolPQNH972UwY4wMLuNuwEYdortcq/I575DOKGl+4oAEhVTXkR+EYOB62t7mVSL+9hMqrnM
F8bfP3zY+84C6aDSNZJv5YMQ2x12kLIYOkjH5Fh+6zeSBCKv6aNdcpOi0ehHtwcjprtEAB6iMaU9
IUOcPHOTL/zFqGfv+t84iqab12PaE0shx0fpMOvnYSoNipzW5iWG0uMFTWgynpsFO+H5ILcpqEpl
MDq4byehfyqqqR7qIMHuW2QcZuqNXyXXmPebb7TuvUenpBg4I1uzQ2Fl4d5EWJfQxbrtijwvZ4dy
1OULAd7rUCUzf/mwCk/ZIiYvyQ/CEnPpxyqs8oyg3loQ89XUXZPc8RBkQhXRZSqvm64lNw799lei
zZuPqUqbM65wAmOQxkGlYJ0wEL+fDRZlMWL0A8l3PCceDRwYxZdclwo85qzat5R6YgwEz9xbniVL
e+bw9/MCZFjYldjaxprL/cSU9dYGLeUSfbXVko+4jEwGNYUzhkOalB1GHYvideLN4t8AHAjGfAEu
GbCz5/77LOtcMqIIWHzXhR6+4fWo1/RXXw3Fmdx15+7wPIOJHl+hAACGI7M7vuB4TOvK8CWLyNSJ
yNdld+nbMT+DoHtS7+9iNPCMMDj9vlbD/lJFMsayKEePojflEI3J6h0syb3QyY68QD+xvimY9zKe
4/nCodv5Kh76R5rzva+xQwTekKlHcptFWdtWwSxUe4nEcLq0qmJRYdaDlawP4M0g3jDMeHjYmXYR
67t0DPhhYsUHkwoG51jXrc1slqshi3SSDDfCyeVAkmG8sNl4rs1w6lrvitr8+m4GvTK1iGrMosGY
7NCzUkd07uyZa90B3/cDYeEaV4psDoXP9vodKd6YFiLN8jSKs1ZNNwRTsHHYLU3RXrMlN+SNavr4
kdncJhST9PBGLDNhAVPvkli2cNcKa5JoitPkucB4U7QxV2eS1RNHU+DzKNYgsI+j9qnygGWR2APB
FJl50dXt4JesuOpZpegV9sI67ACpBoj/sIHsAOf70dC63Ca1IBvFyLE+baziNFt4FlUzyWM0gJsh
W0O1dpPfBsWsZhP2Oh2ny2Rw6LY/LPyeyaCfD9vHXASG7YG1u5Dcjr3iXlzzULg+uSJtvIQSg69n
pOwQnUuw6IQijUKblqEXvJMylBkWWCz1wyRbkjFcWGl/yd1sDp6cvUO3IFpXdVNfMLomZ+D8nvtB
tEbzGfNwFO0UvoM6k1sSF3nFQp/Y1H9JRTO691nfU48HmHHp+jPdqFPy4Bff991RN+8biunKSxp7
DQ2Xgo9BOa06wn5hGYphbaOH7+6EKHD3BhQ+Bpzgh7ujNdjoaguM1IQxqo5D7Oo1mhGXAWmuPXOB
u4xgu0BMQaDFjr9KIDgd22heSOfPw4RTdcTepnHdXHrxWoXUU8nrfkSPP56GPMyrmT2bmJjOXOI9
v9zEozWCpA6TO7DUY/HUMwY5cEpDGKm+9NaeBly2IKaJx5AfWPLqYc3e9wqGDAtqhfEgX/R3QNok
cxHnMWCNlgW/Ksp6PLgs7c8o9f6pjqTQnVcUhhnPFSwO0dFXYaKlDcsZk3d+al6NIxNncOaUOLCz
23A2FilwvmMlihrcaaZlEgHESJ1fNLxdsjRMRcnKIdA1X2h9WPoy4xeP1ybDJiDGYDFACQLrWHAK
qhEz/NQLmbbyY1qgjWm7R44D4ZKwVouhaDA66ADB44+FlHYpU6kJDxcc56Mhto7QxWjOMHD3DQML
EESCgUMlg1x8p8N8HONkyk0eUYquj9CZPXhZ5l8/VmGQsnFEaImCmNpTU51lU9poL48aTpGZYeX1
IiPdOXu4Dx8SkIgSFyua6LjK7fU7cRxUfbwwp/PIGxcbpClBeJv8/GqO0ax/+ED3Qtw20YSciqF4
wbLQPsS1dtuyzbIiclgV+7IWQ/VWiMRduFzMUaetd5OARD1j76fOh0kIhv7t9ryG/SxJu0LBiYMW
8yx1aBljlL2jtQpmz5/OePIpUfAoxBfUK+BFdmYhynTMsPqFDs7K+l+a1FahHbX/kWPA8NHOtG3v
YQYJjPpG6+3snKwuW5pBF1EzrfbSdOXvLZPnRg/u3xfsAe0IzP1vYXOPtx3zsaKOzVYYoFreDXZd
o9Xj6TPsvXbPSdqUz+vVa8/1xu4717HUHU7EcrFY2YqziPnjejU2WX9pu5FePWyL93MRNDXBoCFs
YgUd/c1jsxfzkhXOQ1Hi6SF7WRXDGixqrsOKN/TWT/O4CrIpZlc87ePPD4s+dUAEMVS2FDkQBq2P
Rc9r13jePKMeknKO5ECLZ0VPzjFJJ6WA1EZ3H2wvFtaOpYh8wMRTLLJI0XG8YI0tMEPmn+N175s8
ahoAIdse0YBe3K6osopUtd+neUSGNR4u7dR09GLN26K6chXt+zOQuJn1neYijgFxWEjBkxpQRaGa
PD7UmNTcuZXnUbw6fpkUbn1Vi6yM8nbjqswwmjNmcsIFwPphBGfjzZEe7+4q7Tn3RjXlkVbINvre
R89KeVZfoVDpL0bMlT8bVddVh4dN5IRagccYuoFUiZi5u7ze25IvN+ZRguBzIep8vY6zAZSuRTF/
bmn+hFKR/Eu05OB4qKp2SjU1WZRJXB51fZ9YrJ8h9QsxfaBlmEnTpVcFt1n1aFgG0ShBYyHA4XkU
epfLcTVNXTcMVVSjGRqCW4rfyqlnVyuz45eHlXnCE9C4gpuDKEY7dz9B1Q8KXYB0rCLM0atw9EcR
lqv5+u8IARMNngOrYPtymPhNgnm+voowAD0d0pqQqJ7MeiaC3rML0CcIY+j7gbPZBl2P7X9G8Ybm
Ym4j7Ja7VyVo94h07XSZLr788PCB7gEk7F1sDTFkiVjn2U+31W3dbsPVLsqtYG9jTGbF19m6YMk1
snFLTITIPek05FPjik/5NBh2xkTQQr13dRiRwKgkEuRtEgTL9MfnRTlXYOmzcIdFkAJ74N7KSlq+
HMu1S4pQVryr1kBm1VqaAPuTXV4GRFdEFqGP1l3sDiYjfuW/WSu2pJ+zArMY/HoqdeO9T1UNhuJD
vBR5nV8pb+y8r3WVe7EOvYzEXh5kxVgX+YFMCYlZmC716EjUj2j35pe9yVv2dpwb49lQpum0/X66
OvbRqbTqf/d70kwfVrpK9qKtVFt9dQXvh5AOS+Yfcs9mLg9yv8+rm6HJsxuicpmjOZaPy69zWvdo
kNdD0ubqgvKsHsLFL8bJBOiw6fY5KbenJeQsLfV70DuU38pk7MhX02H36V2BgpDlgcValF+H0Eyl
orH08qHGl7dzfNO0edWH6NzW0xt/8STWJW2fx3FUoUlehPnSm/bdzFmb/9Ja4bGr0pgYBCHOYsVH
Vy4DWyPmplmJq9atycoO/ZjPXh+WpDRcXbVp502XfYVRq6BDzj+nB3/JNJZpK+NMFSxLE5PIpjFb
Xtth9euvZVNLml32eCTNB9ehnB2jsrWN9wLzsjZ+0WdmxbDz4HcZCpWxw1eVmCz51R8SgqVWttb1
+qaRDWZaTYJHRxzmjrg+HJQo81fd9hyaKvKYN5gPIl5U96kZ2jIdQpBM9fCmszlI12Cs87JNUcrG
xr9KGe3n1zKb+wJVRLIODv3KnHg8D0raDusHOasyeZcJPTrvAk8QmMbyuhzGIX2l0qEZxwBrM5q/
miZlyynoy2Ra8nDryiLHzhY52w+twsY+6q66Mf37dWFTPAfZKFbvle5YUn7hiNg0CSvP00kXrVOb
U42OPxHDGytTIr7RdeVJAVK6cykJ02RUeRpmemz9LlwGhwcsRYmxUwLxcGTzNo+XCjPrQyP1erkk
oq4/alGQvAgwL5EuiC3loKZPwMqRkqAfeLG+dIPGGOSl15mlYwHN61YkYZH0bGiDTK80/ta1NRUw
5Vh2WFvwlsUnv2q+rB121vm8tmOY5J5bPjapWf2biTZ8fcfrdkjeMBP39Vtst85lJEzsTSHWIlYV
aNLHdTTabCHPK53EWPgHGb++Lz1Mj/SRHSSEt5NTz5Yll/x9n+thvdCxBQKFGLvrUhJhlchPvCu3
lOi8BrXjy/Kx5hUc9aIiCx7TEKiCrBgRqXOvbskta2nVmHBrgRsSpb2XduOBpBo0YLDSAr2A28HD
JqcJ/bEa1q8i9dDFiuK0wxRQ4NuFWH6BEaFaY2PO99bFD3Ky1tNHTFh6eRJgqzyun1GaeJhSxXN+
MJYcLFYnxWfh2rnJQpWQlbyWaYOHJ2BrZ4lNHqw9RmSGAAArhi9VvuRpGng0Me0QbvMQXXej/NLx
/kVhiSjb67Yv02a4bGesBnfhiKJAyahhMhbPapbLasCzi7K0Tq97oHWOGWnf9E3A8AwbEVLueU0R
ZsOkG3q9sgrw9S4uxTIMr+uCucIcutqoyX/Xxha1D7I7LVi+9SQ99Xzu13m+1Rga6uihSVY+BZNZ
Bv/QdQseCxQZb8rbl1XuFnfl8DyPLMdEYW+LPDCCTuarrih6Hhd9vsjf+yab1K1Pio58Uhnt7NtK
YSMfU38YVsLgIRZJ7VfKgMkBHZEthNOcjeMtkY2K3y4okIf3pLdteVmWiaS3ncbzqELAF/lN9RUe
cJQNS3Pdxmt5OYnYx0MiJpf4gUz+l6Mr2Y5T16JfpLVoRDcFqspt3MRx7ExYdq6DQA1CCCHp69/2
m93BdewqxGl2p2O8L4eMPTRwHpwz0fAH8GoafI+smq14qadC8hPgJuOzFqT3wh5K7Q6Yd3W+UvKW
5cC+/+IzTfmbLecNsMBOSHPBnwXKIWV8Dx10CCK/QG6diNstqKHoywNjesfnJlvf8j2rSdISKVd9
RwreiOeMT2K9S9GBh8eVTj7cod7pt0jTwF5H1azD3ypOtXyaOamrJ7smsXmDFmhdzttCpqpnqXbh
glk12NZ5BdHoaSVy+FqaLTWPkK1O8uzHyTefOLILztyQQu7yZMpMqf+agc4ljIUG38Npic7kXxN1
QKdbspgMpxpnJPFPRS5BTxEVbPlThbjGG0ZmCms/9YPgr8NY20Rd0WMrt+qcFGb06ZXHojD4Lh71
bP65OhzJl+N0VUfLbEp30m2W0OwzM97vORz0ypexh0PDbaJDEtI4+rZp2FTAq7Gwb1WqYfnqt64M
alVf1S6TRLRLvW5wy7Ixs83HSudEv1YTlRMmhgUHnbVQhsUy6/gS8gLKlHSXVqGQ1t5c6toJeNDB
e6z3EymOvIVQBpFB9eJRzyE92PZ3CV2oaeGhmnaUxpSnHYcOBBrLdCEgkvwyQVaU8InWr34Ecfo6
HET+Nyo910ArheNAg3X6mhIgZl2Os5h31Toa+XfbY/0MgRc6diMT5p9KdfirEe/XcMdZzlSH6rO+
1SmIXzRYx983iHqeRVjm/8qpsPJKLz5/0sdRPsF4Otr/t4X3sU6Nh89xK2/UsbL9JyaFGpA0Kxp5
WSPCLS4INBnsKakG6rt8aUxxFbcEshbIfeXrklZ4WCGSa2NCkvbARlnSMo3Egw5CPMQRFKsQ83ku
i+EO202QrZYifkwE/fta22ylJ822AxJsa+XJrCk/l3VI6Zkmarxg+UBqiA5cJxC1DSvrtVRL0jmI
xnsD9mK/HGhv7zm0mKJbB/SYruAOD2UKAslADqpW2wVz7Px6m1wVWupqaMeQFteMSBDyh+unQDZ/
MyL2IrTzrKorLo31iKw56rRPCNpQm37/qm5fMg7NR7oPtDPpUpI+95lPIbIb2TPKXfZ7yxfl2iw0
2y86V+OvYvTDPwZm5yk1iD/BN0JIcmbTAh4pqUyC92GZm6Nt6g3DKoJjdHmnB+n507JEtV0yus36
2i/w6Jz33Gb+F4fTfO3pWpGpnYvtAA204GiWWyPpaQh1snQzfubh+zkACQ98cZ0dhizrMKMsVU8j
ZhHoEoNEE5kr6dpS7dlHcxTydsyX6Hsomyd8hsTb/DKRuMJVHqf5z4JHM3XTIcg5h/O7wF+rICkq
Cq0g+5M867DsyPNMBf4TMCxm8JHXirX5nI6vhs/zcEXH4cjaCpMKJBhz3Sxdkwr9wEVZs3OVzci0
aba9tOd82RJQ+k3kTbvEbQkdc1D2tqRIGcWrL5PiFHepn49qk8VPycc57Y6SzLaVvtJby9nq/X1R
jRpW6zFvxk6NR5X2C56n/rHGJLtaxlkW10su/IAfIhTTZbWnsc3hDHKtrSyK2RYnKs5KOvKQQVq1
fKYLDy2pUTPbtfT72LNxxT+b86rhJ9c4THxlNRUjlOKqum3EXNELZtya7K1oFP/iMffHV4nglTcp
NPrJzKYp79XWNOZs45jgs6Sb6jAtUUQ/HpB73AzeFK9ZEbb6Rg3wAXQsd+NzrEaVtBrK+1vvBgyX
7jgw5Lmom6wvFzr6DsFTDWIXmZ8ew5plfzbasLsJqbi0tUk+WhTDZp46NTgUxiOm9JfJkvCHLHxo
WuLolD5nu0VkQQGJg3zjZnXAxvhmd/UDr2WICFv06HzlMCXkkWGufYk7QbRLsmTT7ZIWe9MtiJjE
wM8XPvbjyOr8Co+qcOe4s2PDUVXNs4PdZD4NfrJDO4KjZlfTQdbyzCHV4a2Djak6D3YAHBzJIFnL
Fp++0YN8C6Lg5pzPACG3U5M7qEEHz4ZLzFyCHKJiHOWFYJ7Wv9mcH62uKz5127ijdoHZqLhsD1gk
5ZWB3/UR2FsmevBHLr1eK5vCIUaws+D9KifiLkjS9POVorXRt5hVsLVxPJYZ8X4N/p1k3out3zyF
HR4GFvYbtL78ytI4/sf0cvyH+Bf2cYxc3KkC2rxzji39Mc47f1EDEb5PcKDe9lwl2yXhuXoxnCSo
mTKN+bnypcBQkAwN6QsMFPmlTH3Kr3Mhtxfw7MUYO+z72N6iVfmzgccunOBA0j0b5hK9gKBrdZDx
Ih9rELSeMAwqLKhO5OUjWHmEU0SYmZozNPqJOZPKVP7XrJqaX1vKMQ5bl1SnKBz6ULtNKrcnjby6
qS0JYe/zCOd8C9FaIl/mPRxb7+Q65BeU4uUeIooBFt88lrDd7E3Z0jgjKwBCiuZfYjL/L7Gk+bfR
Aputm4c1dHuyFyAt6w39DAI7MWEPkdlpKLCeQ/fyHRjpU7l+HMcBp8vIcsnbrYn5X5Al2IFsk3KM
yMT8qodq+ZQqkPwmhzv9kiZlPXWAs82KLA6gwGc4V7ju5mKA9oSxNX11y+Dwuixx/FMqffwoIx0+
GhvI055n+1NDmoNfNCYeyCdtAVdxJUE6naZ5Xs8Hldt0alJfDy3bp3B/rMInZ0EP/1khkpS3BQn2
75wjJwFJLyov+8Fn1UUkxiUAbsb4sSXUwSqva+WvHN/yz+OgewVPT1g+NIpHPFV7Pd9nc5b8y3Z5
/HAEOPg5X7fyw41ifmEFUjJgaRTbzV6OGJEKkCmuDdD4uCsBEW7o12OS//yakE+1+TlDfQvh57RY
xLJsSxTsYZ5WCtpUOvWVis2E7ggN56dAqBBQbor9lkivDRaEsP4bSzr8Cbken3a08MdSMPvObFHL
1uFb+1ut1tx6uaaY9RWeeYsMFp92ghPMgUKwb9su3SBbSGgQCL1lbP/RGKzh7ey5xVYV2PeaUBfT
Y5pJr846mQog8ikSjc5uC25v53UqqguYy/S9tLwokU+ykQdqCrzuGWyXFYAq7PC9h63dtLTyFbZS
KAlqsE0kNKcj97BwcO+XmwjOl56PDIv9KVstaE9Lrb1UM77rtrHSlt2yZ/vY7luFQzY4Sh+GtWav
UF6IlyPbgQNh8du3NtfNmrQDEhjKVpa1f+ZiLL7c0oj7Y5u28cYz3FxwamoMMWfjZW07vn8zKsmQ
jtfpWgl79r5pXtDTl6l3xaRuZzi87bVZRPlncTm59zOJxTmtGfs9YmDdb6rRNM+sGYKH95HDYwCM
pRi6wNb1VKe+4ldrStXcjVTT/+o19xABqUHc0mjiKz12bTtTbKVC5FEgRxvwZC4SVORxdo7Ft2H0
wd+hWhTy3GQ8O0la26NbIZnAOKtHLHcDPjy+ndCENyzd+UvB8/EnNzD6tpNdi6wdCWaAPuMh+Sem
Wd7C7vddwoFelWfjJl11cNHYx8oGh/BeZDvgC4hH2UXYsh6Q65b7julYqtbVpFxPI8b2oiOCJteF
O/AxG5ggkAUpj6pq8T7Tv2D4hl+JpttvCjn9H9AE4XYU++w7y0Tzuz7c8h+QQPFodi0/5yLm1ws+
punAkmP99WCJkJYBzT90cEczXOdqEzV+7x5woshgj9OQ5C5rUzqs+GZRM4CDZMX2LBDugWU/gyoC
1bNaHx221KNFkO+c3upAij8ubMV9Vc7mQ0yc/s4rUGjtRoX95BuSp1ovgH92m1xKibI3i6w1+1Z/
gGHGkLyzZryLxepNG/Al3iM1OplgrfL7nd5HDClJuqd9GCqxwNa1krIN2DveCaRZ7/VUUvzdmYYl
BMKN5UL1PPA2OOOxAsFWiuU/Tst6GSQ57of6O4G6BBVr25Vl1dhtbKn3E6amoDq6xfkNMv3hMdvL
w7US+1Hs5Pg9ta3ULVeqRCZh63RZLd2Yw7B/U5tgPjIX6EsZG4raTaJ6WpStfxdjnobrho/8Rdt5
+Wshsb5HfMQSzlM5Nb5dkILxlngAqW2GDgzz/7Smz8IptICBIToTJbasnrxKqt97rrHKQUVMX5lz
aB3HEuD6KQ334sYmc34rNizJmH3zZe9zlZK3qV4QTYedYcBCWlOEOW2YWu5kRHJ4q6lYXYtXvPwk
5BDjia0Hwo9mbMSdGDl/UDn2CeBA4JQvYh3mOxMRlHAZSJNe1xuvvkZJ1Q3065hihMOIkdravwBZ
rtYeMuTh6HxNatbXhYaAXgAQQ1wmfPP3E8imv4ewTXm2dsnORekw0Ss7x6nLjNnek/VoHkuI+6C1
V4gkaXkhheka5D/egspcihbE2/RzlNzqTluVCYSyOsxeNYKj8tbmo/y5N6Q6OnnoPHaWpv6O1mNo
0Art9FwjibdqpbZTdc7rPT3jGeuIyQ1WZ5lt5B3iItjdYXrPtr4QxXYn4I47rjhYopeKHIbdIDkS
zZFhrGYtahG5alji3SUZdVX1pqjhUi9GFBkKsOxmSEV82KxYm1P0jN8GFUyBBawIeduQsD1MR4mu
pqoRNKbYjbqaKhBFpwjl4Vsx6PixNj5ZezxDfrd7m6V9c2w43IIP8rclXH82UtCxKzGh/AXJEO7n
6rCsx86sflgfiHhMEMVgx+dGAwTu/ZJbRMAP+2Te0zxIjB3TTvcfdMjGsq9VvYZPHkmytYpbvAWk
tngKCUZ1bIZbzvPLtwAAFufJNH/LYjLqtJotHu/HsKc/axCHV8ElDC9OdPvbIo/mr9wXwc51qtQr
wtPp730hs+mOnMj3ZELXbRNs3L8imRsEL5XNck5NiVPalPshTmTbm/rk90FPVwZY99ZmiqbxbhQN
ZpaItfhnSTfAi6nPkAyQA8AW/aR57VvElS7+VNfzwgFz5PIn9whOQHx6VKT1hvl3S2eMoVmVquok
Bf6YfnErfrWv12rrkxj8PYbnFbtsEGHtJBC96QR3vpTA1PT6QYIr6/GviN+QQkjW9ameSV2fMsT1
YNg41nB0cSoUkKlqt0lHgo8Lmoo2ulvAaf/LQpUg+hfPYcquiubQf9ZhR9LpUO1r3gFjxloTqnwH
0kPKRd9sNCMCMZ15DnQI4XpAiY1mslMxFo/7fPA7l5BD9d4eWIXGCNlex7xBkDwzVh/nLMOMAQXM
CBmw1NJwEDRePc9mzxL87275keYz5rYwx0SeI1Bf2pVqKp+kgGqg9WHXQNy4rH4gli6vWqvL/T8Y
4v3eAgxJdF/iMeteGsIAWOlmfHQBwTgtgBKeXBxUu0dfeCR0AoduaoOjk9F7MQzbM0gVid0+LCr9
Lt/iY/J0R5lGhht+fMI03ZIhdS9ZpM2Dlt76C+T68+OmxjTrC2REPNkGAY7I9LZIfVflkYGuStmO
SSDZspSc9waQ0atk8wiNxzy6tFsWNcV7TjlWtQJtULa13Qt/0pEgvJOIeIjbydTpldHaulaD/39h
OFUWyhpRM2AVdBlRjCe8UBO0MmPrIffCIloW42Uf8zr2CCfWoDKH2Y5tjeDxoSv3wX9QJWxyYdhS
r4Gp5g9LdZT/WN7QHXVrtKHbcICqthAiJmceRx57M2Tu5SiIJG2aTmFDNgYVFUiYqZKdlhqC74Bs
LF9DdJHHAzAv9LD8x4EMtaIDT3usmPaP+h4kkfk1QCKXgPAHFII82yMC9UstiIDpWCPpwrBBP5pO
6E0ipeKTsCkClKQNfxnA0OuTrEgTOoL94LHxMyYnuIsMa5Nki8CZg+DXQ57B12s9aJm2QDKD6itM
rqbbwfFJPMm4YAHwtDBdMWv6szEp9uoUpstnUD4pIIw13TEI7TtvLa/BSYXK6sd9wsjbI5ObX0vO
MGO4kbi1dwdzn9kQEoF579B3M5civc7sQF5MpPkTtL9RtoUdGiCsiTLmJMH23celAADGxsL++j/J
0Dau0V/ZbvwDUYN9JcOyilNj1vmryDnaqXY+fh6BmIc8KPa1LojwwHKQDw86qBIlaFiyVycoMnsd
0KerKluyv8OOkoePijMGXjTu/e6V+VMpAmA+RofErb1mApZkRLkgr20uTuhz9AEM2vaMVTXqLh+L
8AaRNPmjwEygkTXMb63YUzLfI7EUfNJoV/dTh5oF6P0jrj7QWWW+TILMFkzr5RdBkGPSYRmtf2TZ
MQPpNX77RbzEZM3sntyL+bvSeMaGJ4X2abvDpu4W5AjctxAyV6Qdpi0t730RaQlqRoonnwbMu/iV
6iHzpES0oUO/qyuHYmVwX9PzWqt5vd2GKvMgmKQr+rESgCkRo11nV/tKEZVVIGGl6G2qwj98Q9/F
CqMm7zTg1Nf0YABL+Y5tqy0oYI8R0STFFZpgClxbDiDCsyiXJ/6dNHBuVBbuUPZyhfUD431b1mT5
NxBJaac8W7EKu3x5nn2zHR348mk7N1Qh9CXzU/pkMIIkXQmVz+OG8d+gHNQM5BPsIzuc8T4xGLJH
jwT4QWrXctQ62JPcVIVrCkfgV13MM21lulPZ4ZCEN7fP5GVMZzOBCjbmQ/EBaK3DrSW83b3TjyXi
Sf8adJ4HIM3pIzJ7l+xxhRZ+AGQnOa7f+GaI/axS83sA8pdc5jzsjzJJN3k7lDbGdsXrVZ5hRgT/
N5Pv0OPvvOGT3DbM8nk9NRPUPBuZOkhs2afiwGZhojRYaInhHDSR5uwxgxt2PxnrzGkcNlD8HlI+
fL8hw1BhRFI+8ZTzFV/1iFlhgRr0M+Egpk9qQynuwuxxYuslqf7ZPAnPNOxuu9V1iZYT4LlJu8oV
/gM4eEW7DSLkS4noW3Y9Ucjjv9scMjG1XnKMf8sI3A4xNNnQAdaNb7N36Xvgok5bl3FyC9P78lVW
B4BnBD0jcHUGBfx7F5WrWpFIcPjFWK3XciP4l6VxK0ZaWomiW3ld/APvUYDtgIrgmyyW8FwpumHN
QnB88hfYCWBxhaLmOg76MLsLRia/BKFrdiK4HGfqjknU3zjyADK+YsB/e2TJLc/8yMOnh5LrHR8I
t7Rg2RDqVMEdUnZ0dZu9HMhPvwHgkxztgiP0E9OSEv2YDyTpljqS/BJSm78nhZpeoVJlf3Zgs++I
80zZBTy1fF3nqfgycWG+xdCTAPMHN/epl5Xe+6ZeD3MqXJP+hXBcxzYbZoQA4DYKyq8TLo7fKo6m
uMmYGkxvoQbBQYax8x/eR78CPVzBE09OBIx4UN6sp5ITpk+bmejthrQJ0E1e0a8hl0AC0qUeemaO
8jhXU4SacNqLhGBjWMg23o/FLPGZwQyQzuO8hvOy77noJJ7djUqXBFwyDJlfXB/2SauIoZYM21B0
AXB1fipU4edOJyJPbuMgzNAimKh4J5kHI6TGOrPnGQvsc8VJqrumICRcT4ZlL5DDIhkgSRlmg2pB
hstiU6Az4/cc0I7DoB+EyrVAcT/UT2JAj6FL48aPNqa6ekq20o3ng1j5p9KYjrpJAaxuBRkL9LNM
6Be7+uI/eC6Azyi+L1VrrIL54o0iyTC9z0PI4h03dCJtzgegTW4sqgdodTXva/ThCKq9XlGUSLHD
XueQDnEecYGLuAxirebbDOUDyDNbbXrCpUjTy8zHALinOMh0WqBLooDzMsDK2paxy8IO9XDKI3+F
r6uUrUSexYgfN7EvVRZtixYJjmNHp/naEKJLezA+6U15yIEjw7Ipb0peEw9A//A/Gb7KVx0jTMZ+
bqalIxy1r3MsY4gcVsuqz4CExseNfedziKNMX0nC9t/we+D1U/sAAUqQ2m89o/VGu5FoSDHoUGfX
24z37wM6ARRIWikQXVmOYssxZuHlVJnRbToBYkC4CcSRyE3csMRO5WpxN5BM84uwyH1DN6iGE/VY
IlrKQ3NWzpL5rgjHULa1T/zUjg7JRJ1QAFSv6lAWX7pY2W+FksLwJVT79ZJiJOpraKDoc+Rivws0
WaY7TGfl3aGTSl0Kp9zUFYWEqAaTA9CaNHWp6aXLCACYOOLwsKJY3l3Y8UHWfBqfJJau3x47ASw+
ZEHAQaz18IvXow5wU8aq6gD8gwYA1WtutcaYcpbA1HkndDA77LO5+ZHux/KXCFJMtx73SV7Bfb3/
LZ0oTknG9vUHoHtwXhamyICitJb/Gien/wK41S8B9PWV6hLSiUEj0afL+Yjpza4YzfvJafpgIfeA
QgwcLHKUXPCgHBzlXcgQQ47QzcN8VPOCIrgzoOXoJLYy3cynDY/iqHD0ba0VbRXb6GsD6dEHE6l/
Tdaq3luZKf+hEBKd9jNz5AnzRIRCZcUfX9XyF6W7eeV+SZoWtTqd4YGC7gTKMWowtIRRT4g8KlXE
7hY3204IgAHUgAR5wFy6MnWb7p5+FKmlv/Kk2p8owYLabrXb/mbJqDCPYAnS/QBa81riA2KkG/b8
dsJIWnZictsCzQpyqxH2mSOY1mmILPDqS31BL2SfFT0Ki3jpEHPkPK1T2VNSVFM/4AtMO8hyK7yr
A85BN2X5BNkyMsPAn2sIttrvmgzTCh4wbQ2ulbpTNeBOMHJcvyJgSvzHvTMLVPhRPCiByfMU3KhB
a4HelX0zO+rPfgatvfpSrl2oOMUnG+ASPcUBDQbceO3/aJ7wDywE8HFPksSXLA0JXCtkPV7oGObn
LLgUoFF6gIVD+1h0B70GmGlR2+XB2WH9IWmW/zIKm/4TYKecdiuUV38CnHXv4xLkz63kGLGhAJ+h
CZuG/JUVYYEDP0z5DwKam13h1tn1g7nlW4GIHYS3B2Lc7GVPFCet2xv0CxL2GXQSyMSXsoSoZWaI
uWyPVdkvB8PFnxIr6Ih5I8f7mWNIwDQBjqs5LeUx2W7d4vgrtSnERBqMzvetGgx0RbEc+J4nifjp
dt+z9Mnnh3+SuJxMA7qk8wcUdVhCgnX/eSiLZcu271O8bXRarqLm6m0BIYwD3Qg/dQTAQNKCO2BN
C9AJUFQsObtnVquqMzQz6MMHfui8MrozXO/BAI6LhARxReUA4dA2evs0bgMkFvO30L6l9GABerSd
vGE3Fw95Aagb3/xMHrSx4yPsNAjPHVJFr7PUAgM23xIlvHBFgYBIvux1XwFUewWoqN+T8ciKU5UI
4LLOTOkPaCZV2cFXAuAK+1oJVnpOq9ChzkK8gdFLPYUdV8T0ZM3xwJkFldzjFYDLY4Ri742wXPs+
ZyG5Ogjod9Tw0X/UuhheCkwx+J5Ksn+meQTLjwTPCdfMpEXAok4O9poOUzHcIJL1eFArEmPOeBVQ
2CDNQ69cCly6BwbWrSMm99wAb5K6RKsIi7kjFLWlrexoeW8FXWNLyjA8wG/hnl1W209HLTVXKTJD
bpUAFY/JbRlAS9LiAzjegfJXmfFqyeGwBxY7LZfkWKHs8ZToW3zUDdKGKmOsC7BcfU04P/gNyHA/
b4ks/2nKRHkixqmP7/KALQ2cB7K8MUlcV4OXiDUEX/q+1kcKvwPLR4UORWrAM8AofggDcwHkMeXw
I1YCN/pFAHHQIrC4uL4ZllFjJKLTTSwUEGw9QKcOAAPqj/NKAv/BmwXNU67yyHB8TH7DC3BOyLxJ
FoEdquTPifXz32OJ1R8GPTgEmSxPfm9xxVJUCKTuUM+gthmzBB7DcU8GjOWly3/jFM53kOL/9cMm
1i5XGtNeNWE+r2KdIRFSieRqzjT0TD6C5ETBnld2mmuM7K0j2ETbGXQdxEbNkV1DlMPqE5LucDdT
qUj+oSCGQ7XK0YZn5ZIrtq14JQD8N49bpvNHDQRa9cORH+9rhq6Jw0ePz0zhuqF25nN56zZov1rV
LNPrEUCXAZM6int4sA+ccIgr2WmHsM8gG0pTbPMVB4tRmjS5wYMz0GpwT15440cI2b4FiEuBG4cu
bnUTCu6g3g1MpG9Hvi0/VDL5/GoWOjkr4i29oLiuvKvsYhmFagKQIK4DAp4g3A1X4D/TbyYRmrq6
reAodVe+KST4BjmVGypQBrAXF6XA6ICsfNDbLud4n/AQBgMdky1KEB+uvufHhBvNthzw+D1MZUAP
lOdlhbtlDPS5gCWAVqBvMHtyuhL5GTcFAdKe99y8LXN2fB0KPQiJXGCc+9mG9WfVpETcQeg73c6o
FrKrju+tChwz/gjIZaaxrTB7vSGHlNzCtQgau4rH/EEZPb7A8eG3Gr7xpgduJeoHQyUAYdxwGLEP
IP8WrKuqC/MbPjhd3LJimX5BdGAtBi6nd0hmJgLNiIeVhXdGQ4F1NQJS2+5gp93uHYTme1cD7opX
uCFRT+wBXKvPXqCwiJ8YvBz08L6iw/ZqRw4ryMkggqu6JqDyP5Dyfbz5Mff7BZx8vfQNtmJoLHaC
dEjs1wC3xyqS9waRaIjtqsvmB9t5w6AGYzWG62X5uYHGh7AqmZJPAnmE6uPEi+EEcUgDaRRWU9nT
DRohMN3fLwDdA8IKM1W7tavRU0pM2BWUZmD6mhe7rPVT3PMjAVkZ8THhUF4vUNoe99FtEfBbRGXo
QYzszyNE0zv4oZSvwDRr/johHiHv92UxSP2BChBDJpcBWPFWoOSYlGPpryEMSSEZs9ZCl0IYB8VA
cGzA3yLGketYDVcrsOUJIUUYcLslyUAZgoJT5RmxYxrZTIhSq89A7jl6U56BmqOQkSMzzkSsy8q4
DKQVLmv9ieHxcCeGBNUbhMmkQFgSRQiW4w3H9/AJUhXWWYah5QHlHTwiAJ9rpIJjmYbgpIK2K87p
R8EzDv+wQowm0lYd973MHf2PRYUaSCbcRtOSXAKjbWZogNsdxfrZiFX8gjAx1yds9f7VjUyya4LB
G9zGpPOnasyQsOVTjRNpS2VTsIZpen9guPlYZ1f/RFxwA/ERbisaTqKJsHTGPLM/TD1lf9iSVUU/
zz65jsW46AfTLObpCKpIoN2ooWBfvkd7OeTcdDTZoQrDRE7gvFbl9lsxgT13RiwoijxEnEMPZJw+
oRyAQ4LHDJLcXAlCIH4j+yPK1P84O8/lyJEkW7/KWP/HLLRY2xmzC5GKTOqqYvEPjKWQ0Fo+/f3A
nt1hgrmZWz013U0WmQiE8vBwP+f41DlKFINxLCIUjfry7RxQG6uzczFv9phG8sTgiPxnmBjJZkRZ
dXABPJAeBOZTfh3hx9VuCeCt3FE3RfwVDJmprEWBGJ9DmEDiKBF1KkhiXATTk3qF6yfq582PNJDr
Hoc6Dj6jsdvdj4eq44Qp9OC1bMbxV2AAs1vFlRV/szikK09nY5GJKCOzRIImMsCFjricDiueZLd6
ENg3sBhw/Lh6x9+J0WeveWGEvS0hDf+ZLC4xmr5uxn2e99Yr2i+gecgYayVZgCkCsqwI5o8kSqdv
IXcreiUlYNra1OhUJwojrZnTeVrniKGRvIRou1K4R5qg26tE6sh6hjOno+4swKJZPqWAT0SRyQ9I
2+3qfpQbWzTkXmMfqMIBlFEUVJ5ZWMCuOVsoqWQG6hQ4JGTLGyqPiaNriLp4rQUZxQZCqU/yNf5j
/KXMsco4cUCPWrnA9AN4TL8DN43u4LU24AxDORU8EOH+XYN9Oji4+RLXtDBvH2Ww4p8KcjdPmk4e
QeV0vE7zRHmIEkXN7suob5HascJu3MhmNzzWh7pGBnWqFGSAiqTx12OuRA9todREnvoR0sooTkQb
8V0QTZ1kMzY9bkmC7oVqznVxqEu9cuWGXeMFTThgH62+yraZOsgtdNxeNS1iqxr2QVMafnyAzvO9
CKdCcNBay1E0iKQx+mbmACfWSGR0/r7jjgOgy/C7hwHc3E+VqwFTLc1iLllArN1XD8DJRhAwwBsa
MfnWV4P/5OPp/0AUag6zjkOvYgjwAT2oOMpX+CAgPVLoQV/LcOAgrxrJWpdJH5NlhSGUbgbwnQ/c
VQoKG0dyDXxegxzUS1MpOXUCE9GOZTlJQJgQJHF9H5oMfqRh3BGbxtvUYAVcRRXwOzekxKRJ8qDl
eAJco3yWxzL8Npgge50kMfByYf9VpVOKpn+XRSo4Izx/nFzSrod4lSup/iikMkCeFtGQu1qQmskp
Tb/tbehvoJkKQ8yfYiMcX8xWlx51ElqiJ/mTKLgHqtpzYx7MIHTiKsU1TQQlu5fMxnygemP+VRRq
DcBSngeygz0kfEh1uOwaSpqQwWuulFf05AF8AsdNtxXEq86T0H1vHN5HfPLhPO+mqc/BiBBA/VHH
YfBVJpoGorYc0pBMLEvMlpVUGEEKdjPuEoAb4AAg8F/8bDyoLoikiTS8YRZrEPZ8UgFbl3PukX3D
OQaSb7cKOmleUDXGTRNpwoCpTiSN2F8UPVdFHD5ZfmzdkTYk4tL7/iTMAa4ht01dgNoyhCru/ohl
e8Vp4Kohg7K0mxyygw2xyv+mHwhVrGqrjFR3BAthgfNqxp066SlaF+J8wkRimYSe2h0IyyYgOhRP
Sk3jdr53ahiVdtrWeR1Ujt92xPbQb5Kv625SPwUxVsxG4DKkAhHXkpVZFbgziDdXv3oIf9dhmTay
21Ui+fLQhFXASLMgHa0pg8TuplF4hoDIHA8jkuhmOElPymAg1VKCu5QJjeGi2X2cyxBv4sy6b2J/
0mwu6wecBl+S2BCiLHzqQ2X65IddKwEIn+PMiMG1r2pUK6Uz9cRhnIkKFP6sKziScCNmdJeORSAA
n+VabY+KIe2hi1U3phUAODakFM8+UI2GYlFW0Q9YetLzcj2S6p2GuPdXAEXVYJNItXUvZAdUNCyL
jP2V0vVkM0iH166P2a+hWHDWb+VItQS7bqil3GSVwF20Ie3ucVnNImiIUZ7fy6MELADMWA2JxhfJ
d8GRa71yOIyFW4mDpDrmBAXaGcS2fe2UXui9vq2kaGUdrJg9dbB0PC0AqBPwuSCIXImQYPhjCAjM
eO0kSJ2T5hDgcczGGMiFVcrhDv0xK933XWjeaWGclK7STQk0rRyM3S2UH5LaLTwFBqNU0h9SnEn1
ajxM/uCOAyGrVXDAMXYlRrFyJ4w4vkVEloqBTQpBIiok+w9haeBLlJS+EAB6djghI3v1Z5INFFQP
4X085M2IwstcBmBPQYTmGcysShIyr/V9qZF3dpRpLIAWm0WEFqPqSyBvsVy2QCLlRvIlIC8DkVSQ
eD2wbDeBP/Qj94vxU55I0a0KKl2cAYPEjonGGlxE8+KX6Xdc/ojrEiskeojHFWkkbBojEV/w+PrG
4YqS4YJ2lXkrFUoprX3VnF4CoRf3UEw78QoymfKj1yRlDs4kwDOpJRRsCQwfJvKjYnYLuUCRwPAr
7YE0OwUOHEBA7ChjiMT7A0UPYidXRSasE0Xtqa0r0splq5PejcXa2o5C0PTrnvl+nDjBh41KNGMb
ET25b5SOGBIaZ+01gAhOyRz0yQ3eAcdFItZ5Z081QYy1GZYVASwZNsEjMckEFyTvZPBSWWze62kO
GJbjJrgtE5DEdscofwGh3t3OFz2gOGICH0wQ8voOnqT/PS6IIDudMnDDUAczASZCSZWv1mFkMwfF
YTTAZyWEK9IIYV0PNTz1e0KwDWVYuTg8HdSs4eYrWuVXdOD0hCBblnwPpLICBeHHhJRgcycFmPSs
eJJyEAAYWfAXqobmsR3WFCV32cXjizXqU4cfr4AF6QnVaqBwcBvBSavJgxrCZXDIQunfNLMy7jmD
amWV+wF5bpZu5YlNUOHiV4VSOLN1HldyRHDHi4aGMLZmTgAjD2Z6O2NQR/cwlMMezyWr9U1ARnv0
DqpklkjLlcK+7jg1N3GeK1uTmIhsmwjMc4XPh0K6rSED/qh8cbrVYYs2dg+wot00E/G3O7hnPtqm
gpEzNgdVyz2qeDXG9dToSfGZe4HwWbAIjJIGKkTw+XqEl9v0hfQ1ySZVxAfkevTdCqJOsLl+gVH0
JUhT66IENf7FoGqoRcrFyjSMhEJoDJxtQBAeAFA4fgJd2lFvw4K6tFIKuDx23o7Uoj3PuJ61BN6L
G1A8AOlP5BpERM6IQi7I3Yk0alYJ8IeEsCq/CG3u221ctmsj7oc7QUgQexX8gKlrWjeJW2l9vvkl
4Xtunlqt0PFNZGzJgh1zreGwVg2wldSGesV1KAHK3G5EUIIK7M7ilhyFZU+aGlxVQwIs+Hzjy6pi
FJijdVkUyToq+qyfctw6dcJ0jdRdZsc+R65XST4bKaUsoBdzqwiBNRFFC2Bmkz8PuVHBEfXiDLQJ
TgwB71Jvni+80ZJ7vnyjhcQKgGe/rFKmI8hV7DApTDcKLNnBVfpc4gpjeMiFV7DRvKTpNfS9zHGd
ZUQA5D4AGj4ScgBPYl0YqaUEwNtrUcRwVr2VlA/KYuWAhW5VrsRZGhBuhTsXAOxIiEbGda7n7vlR
WGpDzK3NCh/GrG4KJmYhk1L0akaZd5AgwIHNb2poKMDjoEvhFg7a8I1Cv/IFEZ1TyxDJPUnX5jUo
aQvpCwCSdR7X5OGhA8p3OjAT3FwJLG4jDlvQc9a6yOBu54r+e+Uf5hKHOkhjfV6BtC8tVqCZw0AE
/0K6DyE8KFeEf8PiU6pyFmyJBJHaPj+0Hzt63N5ifY26ADGlKCAeZmLPjbYf9yPtXoHHUMCKl41b
mmX5YGlJsDrf8seVTcuIz2iIGhvUo5rf7J3kUz1quRSqrGwqJIm7AGwrB2+R/6ZWy9t4UiSQZQMj
gyDOcSs0HSpWyY5WeqnZaTP0zUylHUn5/tEAb31h3XzcF6hvYz7IHpMQZDaPmzNVy7dSgZVaNZxm
DaFhh4jjF8g10ub88H3cEyo6GwbVyEn3oO87D++74YPKVVVDyNngl3K5xYOBiwV9OHQAeMJKrgjn
Xii7frJFBSEmGPBQE5bqhRI37DJt2fPFQei/+yOBLquJ5khidYjvUGs0L+iMnFohlE4wIUKYyD8t
1cV7KkKoZG6xxlXLfcWairpwC6Pusr+wFClBhCa8pKrM2mIsQ8DkeBSM5VQaJVjnxgJzNJQXWjk1
fsiVS4CnqIICJv54xnoDnG58oJUGhIAOtdCaNtFBrryBGCsZfGJh55fIqcVoiRboAdwyrNlih+l5
pQWjOS8RqbPu+wxhEGcIAkPw2gSn5oIlWYoUzTvNUgyRUVRRjViWKcmtNsEHhnlcSUH6GpLQAx8a
A12ZimuzzuaSxELTfT7fxRPmi4MBETIJW0mlZ/l4TCffnBQNkKiNpgCMTsnw1/VIvFVJo1WZ+CZR
CEVdqwqAxwvdPTGbiMCSbUaTCeOiLhyVTg7zg1my02u/Nb/KEK8jzmKp21CsrF0F8KO98109sRtm
h4zSLIrEkbQ0LXVvNWDsEnJZwENdDWXLVSsol6qSn5hFQ0bRTZdQKUL6edEt5GqCKJv3nC/H0gDq
Pa6jtVLXkriSMhE0chiJ460E/vdwwaCdbJmDAAobxQLRSz+eSh/c/9Ck1EiIzJZ7NGQY3/Vr9gZB
klr6hm0H7NpD5fQvNHxim9CeiHeB2DX4tvnF3lnSCsq7AcOUgY2LYVdnYuehBCvcW0RQLli0E31E
/k+hgAlbZS4XftxUmYjy1Gsp7Hy4f65QAS0btAribUgC6b4ApvwcS9YlveITHbRmbXjqB2lEUMTF
nEKYRoO5Y5OEEgI6YgUcCWqLvw5EWAq/vUgtMB8WVTYoe4MI5nEHI0jnxJPooI8gkGs14Jj6Uruk
9/ZxK8wVF0SKrGoovulLSUCxM6niUVIHRkBA4DbuY/B8h6i74IqdaGXWxuMP1hMJ/YX5bOGrpJlm
kYw2wIgWUqaB1jnov72t8aLZcjIairKI+tnxiA3ioRtw3wFZABpJbyvEdXI3r4Tm0v460R0Ms4Sa
vcghx0o4boiMkhpkxE/tqUeZNEzlygGweEFx+KNVfCspil4WJeJxfxa9kXFY+iEjyEl34x3GMxy9
sAb/UQyw/j0Y1sX49XeXHGK8FGsEoq7NpVUWdiME1k38AI9ZUQqubAezWBXjMLjnWznRMcPELqoi
h5vOPe949Hr0W4MqLrmKWyUpw+RgXFNMpl6ZRntwiiG4VJzndHtcAShkin+3VMXvZLE1DOI6QBCE
mvwf5UTJrvoBTJtIjPL7dqiU7+e7eGKB0EXKmHHKoPn/4eqNPj6sFQZyPGQhzN2c7ELeTL+/3tHk
ITCmKbPVtRZCw1atw3GHdGC3iejfmQOEpzqKxwvVKz/6BYSiNI4Sg7MSSvxi7/r6AbmpWT5TobQd
SG1UWWDN9I9A9q211ZtwcONgIIVXN+n6/DCemDncLfQCNWoVSsRSjldKF4phWVKwxM51NXiGAqQ9
Q81T61WSI9th6zGQotX5Jj8eKxSmYCjnTA6n5/LQPvRyZvVU0bZ9JZvWGqisl0QgI3ktyFzP73wY
vJKdlwfiuecbPrFkTGQ9TTagyf5bas1S9xIHFr1Bu0Ot6ibS1NSui6L/bT+W7lnoXsoQrpD8Xpxf
eTHA5TcBflmJma3hNfqIvAmZwVZIklS7sEBPLR2OZqKB84gCmjuev1ahJBY4Ve6l5hCu0fYCW5eE
Aqr0vhHt0SMc9xpBu7WCc/30+8NpMIxUGzFZPtq8tN55IkZI7DrQNdD/gJnuJDSfvBxNxQt31FML
1JC5E+NDalxVFz4zmk+FguI8yGQ9NuwawMKLMqDqCf623MATqTd/oVdcpRG65dqDqT7u1YScSg5F
kNWp5kXownIvdGBeiGRdWI0nO8Ytf3Y++Le5uOujTAUsFIUGFFx8OARUBiZhUufWkGziVBPrhwnm
z6VI2IlG5yIp3HsYTI7wxcEwycCUiwmezUjFNnJUULhGcPA5ujZBmrrnh/KjJ8fi4IaqcU/lVFAW
tiXtY1i2yOpAiWogFznhNJTJM9wvoxxgiI+9fOlW91YX5TgePJdM4WZlMq54D4vZG1LrEOikJmyL
bZd6YdeI+35AQcwKm2zjm6SOpLCs1weQkdQAFEhP2cFokBBM0ci7sHRP2BsL4RNMuqJj25fu5aEH
mUl1qBxsTRV4FNIFwhegFH9+lE/3+V0z8zS824eR3iSd6FP9xp+mQberdhbXolSkqjmpYjW3WnoQ
tmJPfs1MUKwtElLRCJebVOWJxAt1qk6tL2b8z8IKWIbFbs0Rk/MNlS4HYMcdFbTqT6UqYyBhYrDr
au5o5zt/aogJfnOWcHLORd2O+67qE7UpkGW0DU0p0V2DQWSMaX+hV6cWskEhcQlxfIW5nHv9boRB
BqvJ0HJPQEKv/OpHAXnEUg5eKbx9yRU42SHuXLNCOdhecTGAqCMDEJBwOCqKiLt+BSKQRM3hgsNx
shVIJRgeYh/Y7+MOwWvyC5myqZQJDkJzhUyR2rrctGBAn5+fUyNH+R6OVgLvBB8WbnyFc29CaqUh
oRFXAsh018g7476AMfz4V5pC+NmaHWtqgB/3Ka2HurEEJqkYmuLW9JsDGU4TGC9ooj769Bcao9oV
IThcbGl5C0fO5oA6NA5vRwJm1bYNhS9BiLtdk6Sr802dmitcNA5A5Jg54Rf9AsOk6nVK6EZRtPQe
KQvzRjc784Ktmp+yNJyIJBtzeIgTYqnFnCWdPoYT6y6rwU3aLVjRLcax/3wgQrUqWtg+57t1amUQ
7AOiCFqJHNbi+FMaSOOpTuoMPa3MiSbocVVEkTD8+sOFyfrYN6IlKouCg49IxrJvvSpZSQ2memZT
V+uDX97nZrUDKqdvxCrsLnTsRGsmusuUT6Dmyww3O16HfasIVBsnva71gr4LUkt4orQT1B2pne6Q
6PMv+Jsf1weRdYnCOfgRMkzXxV4ORR3AvpBDaifH/rWQppGYm9w/nJ+uk61Q5ZBtTCiDnOdxrwSh
04cJdSYQbSiwql1Q3QDhvFRT6cTYzb4QiRYuBwSd55+/M7SE62FHmeDqs27s7iTJnyETsH53atrr
X+TST379drdYggSZZNTqyfAsuqXoSRUGB64EKIzhrKfyjzAzfrNGNYEF7gMqZgmDzuGxdCllAbGJ
bOq43uUKKro12jFEl9XMAYoBQU1kzi7s5o+zhV3XKL/JnRIXc5kQLLsCBk5ngedLyvbamCJ/L7a9
0v+2dYdSIRpULjew7rK5sO5mCt4HAEiMMkaTe2mc/pxmqFmlR5fKYH3okK5I3MANkSuyTPXyxaZC
6bcSWhEiolSO4dc0Fwovbg6/HZ+nFa6muBNzsQQ6dLz8AIKC9jaQG66g4ZZ2nJlI4fRjHyv7ri2A
7UW1BYgOnjybH6XL8mKe7FQ/Z7PBjRwLQsbx+A0Sbjoz4Rf0UpWAlQkr5XCthlr6u+c/xwkFjVmM
GEUd03jcjIg8fKvOYTxoYaZrKf3PDJDx5vzemn3toyOFiOdcLmTOhVvz/48bqcKsrppaf2nhCBe5
cK+Hm1Q0Vrkk21S8wcGB9EW9hgtr8kN0YW4VshFhXXUWDFrMIVhC1HoH/WVod9bBvE47T859J9Ej
d5qez3dw2RSxY5HsA0VyiLjCgF4YjxBdiQloKKxgfQhuUDvxnbZPuysBvXVP1OGpEdk7eOcbXa6Q
t0bJ8ZPTlHExlqG9CNUhrc+Hg41+R3wPPyDxJnM03fOtLE/nP1sx8XkVZS6st9hvJKED5IDp2gGa
Uw+oRJhDsagoOfDKLwEmTjQ2FwuBh0bGmxIZC6tf5TllyrQZjXjwaasvzAcONE7MofF/c+HTr6Om
Fgtf033fmEqagpvYQ2JI/TXiKr/rss2tEPmhNgZxNSzJwi62rXQAeY86I0ZGW/dkjUm2Tcbq/Bx9
XAlkZ2FBYKeINhEfOd5fMA6mSNMhJ/phUXCLrQ8oLCa/a3nJ/By1stjFXEjQBBi4PCII6tvoZn0V
Y+nr+Z58XACEI5BmpTjHnG0yFrMyJEIjBxNSahQt0n9IA3oOCQTdWVfCuFQq6W3pvjdLOBg0RoiA
bAn5pWWFuh6NBHXsyGKRRUdFBp9RgKxt1NeVkJY3gG/zVaO37QbxV9kZwkjeopKbXLCNH+aOOzI1
TyTQW+bM4Vz0OC1RWE8PxrMVwgAokVl0Bj2+5E2dbASEB2NKxkYXl40g+4KMcPA1HsvU8pRS0XYZ
teqs9W/N3oyIUbkIkUKhIeqfLGxFmySDddCH3qYY3gHkcmF+QjcFCqkaHS7c8RY9+rMpvFxKtZLD
ppzh8ZJXfCOMM5xbW08hf9d00G0TQbpkJMTjdkjoktxi2FSFCeKUXCYX+CtJkA7S/dX2dnW7cVcr
215d7Vcr113tHb7fu/zbdR17w1fu/mq1tbf8zn7PtzvX5Wcbd8fPvB1f8tur7fbW3fDTPR/e8quO
s+Vpq7XNI3n8/CurnM9vn1a32y1Ps3mc7c0/Xm1Xzgu/wivYzvw3fM03nm07G2dDu/wuT7xb3/L4
K9flUS/8zdazPY8nPrt7e7t9sreew2c8z3M8x3HmX/P4PM+bH+Zc88WenvBGD3Pz642z++zt5l/1
dlvbc24cl6/p9Wad03mHt1t5m2vHWW33q/lFebc1n3xwXnnqhl/d3TxuNo/zMDFQ86fd/T6152Yf
Hf76/Bp8C1z+e1d/mLFloiaNqloFtnS/X92+bFdPdMpzXp3Nznm80NJbsOdcSwvj3tRVIjesjZV7
//ztNrBvbe/rjSPaF9pR5m1zrp2Fd1GXdQF/mXaYouftwwPz7DDeTMnmau9eOc6FbP8ijvhxCBc3
cl9qyggl9fu9+/LEamGezs8RCJcLXZq33bvrHfhs+EeoI+3vr1ZX84Je7d/+8N/blxV745a1un/Z
r172t6XNxtm/vDCX9vWahbV9WG/X67W3Xl/bN6ywnXO1YTl/vb5+W47XtnOzYb7ZeWwL17m/cmz2
p7e7d66uWH27zQUTfnEhzKfau96oIiUtI8bLfXaf2DeM2KVV/ebun1sDC3uH1A4kRpq4Wr3cBh7b
ku1+O294hu2B/23tNV/Nuzqw6eHu1wYtT/uXu9lsfvX2/eOlJfKWET/3QssjpTGVKJ0X5e326Xbl
/NpsQ3u1Xs2Dvl9h49zH/WwmmRgmwrOxgc78rXu7enKftg979znHtq3t56tvKx5AV27X9vrprmP4
XKzIw3bNuvN2rPPC9m5eI3v3yFS7rmy79yyIF8v+5N1gSVauvXG9e+zQbj8bmPNL9e2CfK6fC98q
zoVBkVipGOy9/YzN7Wze++t6ZT/8aZnpHkb0ynGvVryEh909/wbKmx9y7hUWjteEtOHYz0P9jHnf
Mwr72a7tH91b17nabrHWmxd2C8Yai88psfa8EvO6WjHmHD2b+RRwn5mc1Yu7vb3FYLNubh8C2/7C
KloxJ5wS3o5d+IzV3tlvtmy73t5uH35uA/vnw/zQb0+3L6H9NNnfAnuLscMO3T7w7c+frEZs/sa5
ecTG8t/7zaP3uPnlYPI3j/YTp8hg24G9Zqt+ub65+XKz23iftrvNj8d7TgrnnuPA8bxH13695iDa
3F+5j2xR29vtrrHZuw1D7zKqb8NMz38x3ByutMjZstlzLu+vnI13w1Z/+8XPj/z1bBQe3av752cW
ovPjwoyct154bsf7nbJKuWBwxHBKXvEPa3e9dzny2Pq24+7+POScC+uAUnVnjSbF7I6bjTvD6HKa
pU2GY3/L/merza3Op3dps4vsb/NZj7lkX2xtfhHrsHqYT2Ummonnqwc+sLVvcAhWfDV/drtd3/Df
zSOD5u6c+zfHhmFdzacmO+qGnbt9cxc2ux0bcl7qq3kN3q5mc3qwNywhhh9rvXKxx1fzNLqb5z2e
jru5dfnM+QmYT4d/bwj9zfkDkfPmY1KZfAkQnfIcdc/sAAH6ICOMi1DNtSJOl3BUS1bFn80A+phr
IpNF0BbTjJxhB6xJgN3YadUmGsrxGnHf9kZrA219II8B4X7Q0MeAVt/H1LZDv6YNthpyeg6e9qX7
1+Ju9PY6OgiN+WZEnPJDmtjMZJSNUfDKxyGxazVOrgZUplYhkgP78wP8BtdfjjDsBRl/HkwlIcvj
paaqKRU5RtzrQ1Q9tXCuUTRV1pMfb6gksdHy6qUN+5dWoqqh6j9mWvs8AAwcCcaVTbylXNCl9NFs
ZhcvRHzFJM5iybAbliBumK+IpZhULhKlylJ+psjyx7usBnx2h6R5Fq/icErlB6R6w+9TSJGQCyDy
E4Ov67oigiAHx4om8vGA+NUkt6iydzaIfUor6HnuQusq3PIQJRc2+onVfdTUwpsopVE+jPOyOzS6
sI1ZENfECNsLPtjpViyuThAM5hDFcYcq1Eb8LGEPtVNwWMnWIKwKGQnQ8wvpZCtEuyWQWWBD9MU6
sih+laCIyzrKo+gFsZr6RugE/eF8K6cWBwhctgRpKyB1C+cIHGxQdCliN3EoResuxV2GqCsFXqAG
zbVYILYlt0WxU7qo+/T7TZsyCwIct/xxo6B4k0l9iuKDQs50P0ha/0q5KmGLAo92lyL2i6Ktrt9x
Jb9E2fg4tPAZCYODIifGiUk4nkChB3EjVBGyaqZa7qM4yzcHq74Egvk4tCbALKZONEXi7ksYxUEs
O10s0tFGLeFB1LXXTjWf/EnfdQjrIaXfbAy1uuBczq7j8V4nUSwj4kT2W4Y5tXAtoYX3ZEOyEUEQ
NKSerYJ6LZtCUkLdQfm/OCClXQdgY1BOjz6fn87jk30+WUyJcAIwU1AxIJ0XTYNphuMf07Spw5NT
Bj/y8uJQepSghIPaVJcSQqe6qoJTgTAFmJZwxvEkjtLkq4GMTGHdo0IlD2n0JQkCfwX9LUJzwig2
lIi4VJb5oy2bUVogx2H7sHKWIIYDJaDRq0H2Gp1JwYnFXHBjtbZWBbKn7vnxPNkUqRS0OZCY5sQ+
7h/6uRNltNH+Q9C5lzlAxFj0fCvM0pUUTZK+Od/chz1BKWQwrrrKkp0hlIsTWxiQtDE1iLHagKSa
UCE7WsTUsz3fyodFMhMIaWJGZmhUqp/3zLvrnuVzg56QBkW/ODVrD988ytxEP2g/oOybSNQWkbo6
3+SHcVw0uRzHBF0Gk0JTDgochSup8c/IkBo3LZPuQuc+DOEbOxLkKd4VcEJ9cS4cpvEgolQZOsFY
tlsk5FIHynZ2YV18bIV0E+BI8GccqZTUOR5CxN67yCgRj7HiWvPKQzchpKlP6/Ojttxd+C7sKvYV
q1w2EYg/bgXCvEQpTgDIre+LD4PVUcsyaLejYnQ2dSGHhy4fL0QMPzTJiBFPntl0M5luGYpPJEMZ
lBp+a1hXkjtQVkZzrLwR7iQEL28ts5llhMfGO9/RefrfW0xylYQnIdm87WlikscdTYa+7cSY+pzN
KrRbp/fytbKX3UsZp0VgSMdoHLezOHPwFlu9TGincF8+Zy4l0ewfu7vX8515CxOf641y3JtBrw8I
MtCKvAbnaVNizZNuUN9zKUvnaB6IKPuqsndUNbLHL+fbXuYEPvRwXrjv93YVJ2o1VzoVNqrTO3AT
7e/G3tj97rm6HMl5w79rZ0gyZLoy2lHv/XWJ2tFneGY7/8K6WJ7ey1YWxwsqSVEizL2ZVpRsc9Bz
djKnuLCXP9yTlq3Me+JdX5SwktRonq996X2Lnaef2vr18+OlgubSPO3nlsXC7MIvS0YppJnSgw3k
IAtlf0YD/XZyjE/Iqm8vrIR5LZ9rbmFyLQqJYz5orne+ocVvf8/s3S/n8fOFZk4YjPdbd5kzSeus
NlBon3uFMKlDDs+hlKNjurr7uv5au5+QcLw0YRfMxZKXTuiusA5zm53LxY4NFnpfJvv7p5uDfVe7
r9wJ7IMdXThYLs3fkvOooJ0mJ/P8jc63aSWuKVTq1avDTbj17WTd2hcG9jhq/sFWyQsrEqtIW6D6
MHfy4KT8UW2E2AnPX1r/y7N5sfyXSGpVoELkAUCZPRMN7c6HoZpX7a6LjUt9urRWFkbDNKLazOaN
ZmrPrb8JKWFRyNSgzWIU4i7hABdhx48DuDAekSnIGjqwfw5gckv5LNdYUZrX+RS6oUtUecQQi/av
S71chNM/NrywJ32QUuKppGHlUd7Vn/Obcqd88+/IAlMNpXgdn7JdeKvcaU8XVsyl4V0YmKAZQj2f
V4zCmkEQi/XZbfDyHN82nMLLvMA1HdPRLxjpD8GW5QJaWJpRzuKknjcGuLBVuJHcp9QhsOrbBcOb
r2T74jl+ygCA04JbOYsYQK87tth1bKaZOC/Z0qMEJvtDcS08B9WxrlKHysr39R2FRtbVWr22thdG
+ZRdfd/2YpSR+RsTcCv4Km7v6Z+T1WHVr0Y3XtVbeXMpZnZqSoF5gCWB6wBWcXEhiKgfEo1VUdsV
RXlECVEUVEPV8WebVW403Z/v2tIQzIkzeEwywEi4l2BJj0dVb0LZPyTq5AhKo6yQraTYhVSFlL4d
pwsmXF0cTjQF4Qb8JdRw00Cu9LipxJT1Qe4oaOojHnSVW1kGTUtJLtjQ5ejNragAi7gNzCImy7iK
Ko3UY6pRoWwQS7lFC9zYVV1SO+Iop7dRkaafYJhLd789ikRwuFbhtINN0+f1886byNGvquqCEtrU
AS885PKxqWqT3lNFKLm0FmcT9v6Mp4Pc4QjcwI/UYMUv9gFFEqvJMoTRMbIusxwkyepPaPIibVlp
uRI/JVLXoMOfGkVvAzioBRvJ6vQuiUb/s9ZkTY6uU9d12zLV5XtAviWlH6uwMO1CpJzl+XH54HwD
hQOyBAYBlLmlACk6HhiV2mZZYxjUFpe6jlJwQhKMWENKCRzcodZ9CCy61g3RisLz3WsFIOx7UFuB
6UqAtqZVVCj6JeGhpX85v5LC+gB1hAI/5SWPX0lAOzMUpWJwqHwVU/9BkW1qhKVfwWNoCMkWnbkb
C5ljN+yGC1bz42ZTmDRYA8SDidC/ZZjfLRME9oV+hLTrVI35UoKp/dSgCXmLEPol8s6JlmaCsw46
kqgCEOvjTgb1XInYkidUjiMdhCsUdDcfI0TcgQ/9PD/JH/c1IUxiXqg5QaEVl0jJwBCHNEdh1DFQ
KPSaaqDuZhlcuKN+uOQwbYhdKDBlwPVxBMw9fjd2AckJJZrazvGFg28PFHq3ozRQbBZUugvbKfeM
xE88WYzUPSDL5KeWjtIFC/Zx6/EOwKFnEjno/2WkbZy6PshLdpdJiQ3dC3JfeFRjEaqG1SBRuKWq
BAp7vz26sx2Ddw0CWyJSf9zvVDukSp746B/VOcKEoxqv0tRQNr/fCpyzOVkAFBQBk+NWgr4jNzVG
Hep7lFlHoJLiD/ko/vb4qaJCRyQiazM8abH14lGJjQa8rhP2RbZP1FpyQwFRwB5RdzdtB3/1u72a
obQQXciAsHLUxZqRR7FOJrmhbM8UBrsoF6atT6m8C5eEjwbFlDWkNOgUKbcPXBDEWEjpjWbtGEKY
uaKILGFC7ZyNaGqCZ6Zaj2D/UHdbX6j/hZT/j+/DfwY/87s/zX79z//i++85Gpwzmn/x7T/34feK
uf/V/Nf8sf/5teMP/fO2+1k1bfXzb/vXov7bqs1+vDZhni0/c/QIWvrXm7ivzevRN17WhM143/6s
xoefdZs0b83xzvNv/l9/+Lefb095Gouf//jje95mzfy0gNf6418/2v74xx/zmfIf7x//r5/dvKZ8
7P9VwfyUjHjNn0/774/8fK2bf/whaMrfURAg8whMUcU4zTTO/ufbjwzl76gYoH3HX2K43k7tLK+a
Ax+Tpb+D/cZWE46D3QrO8Y+/sb/efqZpf3/zQLF40L+ha2p//PfrHc3Yv2fwb1mb3uUhxWT/8cex
9aQhNA5IURiLvaCWqP3luF4eRYu/TNb4zW8/vxuIf7X0f3jyMn9F3S+xoYBH4oGft6OQcnOUkflr
j563wjsjHE5jo5aDQs1wy7gTFeEukRThLz576de0BurlsR97Yq9M+1yTB8cfE/2CCfpfhnuJ0kYH
F7nN0IT+0CFMqzlBWHl/bUwWRiZHImKgFEdMRdus202ZOGs1jtbjX3v63J93Iy6TxO0zI0+8oq8M
J1QjKlsJ6pe/9vBFuMEYKcKh6kPstWmMdGfWvPYiat5/7eGLg2sy65AqBWLiKTUBomC6Dqlq8tce
jYV4PygajE+zEZsELf21VVNl+y/unMWeZNqKAowwIZ6glm9qLWu/K1EoXjow/pc1uEws+WZnmFHY
Jl47Klts4VOs/V6C9X+syZI3YpR92es4JZQ8aYerPGolynsLF/AE/5+9M2mS28ai9V958fbo4ABw
2DIzmTVLpVneMKzBADFwBAiSv/6ddHerVbTLFeL6Odobt4QkQVwMF+ee77nn3kQmsyl1w4JuEdHX
vgPshrN9Mb+9SqySpALCNMKHhIdH0mUaGBHz0onwucfeBCbYV2qkbapOdde/qnDyvGLd/JKH13ON
X/77T3GJbVQLj/1On4Zl0V/XwXBA3qKXEg/Ptb4JTKpBhMGFsT7BzwTE05eEKc81uwnJCuqZpZZo
1o8o/h1QAQZ8Rrgv3rfijAZXZ33aYJTwWZ4H7qMCUMW9T76JzEkBHwVYpz5NKQc3bQaI1Weuf+Fs
/Uy/bJVDSJpXK/dYHACax4SSwbUeCoF9Y5xu1szVmNXzEYVOKa+BbmEJ7CtSa3c++iY2wbxzBvRg
rA/ybnTvAMXeNcVuaxVQvdXIFeivUx1N96bSqItsul8y/foxWW235UkMe4ccF/qnjMbXrTLmdwGy
42/7HnwTmH2SjePsY3m6mFf8NsBOQxX5OPyajeX/nn0TmSj0rvtLYcqpGusS2AN6tYRkPu979k18
6nZxIQ/QMcBKgNuHHPnVlNidawTdrJoSZgC2kaY6DgOStNQfounbvufeRGeSRr0UtZWn0VFQ6xz9
FkN1tqvtrd9SY1dJtMhqgFOCo5m730QoX6oEfibutxYvIUQR/Rr38nSRSaFcdbwyqXnpquW5xjeR
CRd/C9QxHlx5fmNiJgst1eO+TrkkKn5afSZgoUzE8OASzQKm9H405vW+pjerZgO7kDxr0PSQ2vTa
xulNMMy/Vvz3I3riTXAq1GTSYUTj4M4XjB0HuvOpN2E5j3QcgL+Up0X7g4gweScQO+8cgpuwHGU7
LEEiMEx6WFON8KY5Jfnyfl9/b6JSg8gFkK6RpwSEOmBww3xhn9PWt92+3duflTo/jZU0bW0nrEZB
6moPGfkohviX0iw/vuY2ob+kBCmbGC23ZLmxvAvB313f7eqWbTF7x4R0U7qKkzT+CyHurmJdf9jX
9iYyQed2qGyOxQmYhuSNDOb3lPHoBdedZ8J+a3hSNX0NF2xXn3go7uHCi3NP4Md9q/LWMz+PwESh
tRE4DX4f+HXW7DtQba+Dx1houKGh3coHhyAnx9mpfcNve6UN7iaOlKESJ9+cPLBRebZzY7W9m484
DeXSa3GCqQw4n03zGQdasS/mt3IDsIzw2JaJE8ghzSkjIwQOZti3Adre8DUEeao6RONdDTJIdxIi
2Lcd3F7nkQBAJB5TgdE3ZzApCHOkC8J239jeCsUCGbAO9eAYJry7QwA9RraN9nV4uAlKO3hO4LEs
TjNwcCtcOSqndn7MrXhUZ3XonbmMFB21p4zbDyPMPffFzpYiADCQiSKOxlPLCsnOEcgyu+aprVmC
YxHODguGiZf2gMpzaFwSwAv3Nb5ZMWHFS2FBgv42WR/gKgVYB54Tv3McbpZM0Axxh00icQKeGd4+
ngNmP9fTvn3yVjrIpslNc4bW28A/aOW/9yt5qdL+mfl7e0chq6GCYxmmwoFktIAzzkmt40tX/M80
vlWmU57ByE4k4pT0kTxCwG4PoenFvvDcmihHA3c8WPDoGekOa/c66T7tGivbUvzBZKuFl704xRfi
qPT59Dj5LNvZ+mYzS3zUSSUu3D9gZIWuCp7t2yYHm70sbz1YJj1alnAOXIYrvf6aB/ePrc+fJfg/
baqGpQKROkfLhrSwGYm/zBdYw77e3kQmrNMXTS7rmvKQ44Iq0xzcbF6olnpuBG4Cs+th5w2LUISO
y8H7BSNqghfsziff7GXFqBO4NQLm09q7ejmbad+2Z1u7mEa4mZlWJ04oJbvrtAa8dlfSCsZJTw9S
wZCtc5ZbPLEuQqAJdy3w2VZt31DvwNEcsHvI5usktLfA+x73jA74Ez194hxFJpkAqPgUo6DF+Pt4
qV8oZfn7oQH1zNOW9RIHfqZYblAfJt+IeHzfuEbtmptgyvO08dkMYCXP+IStpm+H7L7rq13TBy7t
Ni3DR8kOAMqd6PKOu1Pza26T/w1xGIE9bTfUlKDgDGEIUdRXFL0U6xrv27pm2zoomyfcWoNhN3cV
GKfQNhxin/NdYQh+xdMnN1yrMZgvg7olw2mFg9Qxc2TXvgHmh08bj6E9WNq+QeO86X4HszO8E2wl
L/kLPzMIt94lOk+GSeZo3vVrBkul+Ww5ifc9+9Y4tANRChpN7F+ZGvqPa9W6pIxTx+Z9EbQtAoPp
lCISkL/ToOXjBekBQNiuXSZADE+7Ha6jQk8j4seY8EroBYxmIDT2DZgtKqPtkykd/CU4zTmly6tl
7nYtNyh0evrYC6iBNYqDMVs12ZUCFeccxFB77ZoKt8XFyig5JjFm2cVGwLemfF3GIpVu3jsYN4vl
EEBCxAR+YCB0vVXafZN9RN/se/pNlLpu7eAFFGDeCt/BwAnVZvvuurNtRZkDD8SD6YHNt8gPIgYX
K8lNsG+spJsVM+3bmgCFLk7ao3izvl9JvWtX/5cKeehDLVKZmLZUNr7WGQnLBLjM467e3pp0pcsa
RlXj0tOU2+nOAT161+Muad82Yis6RbUpVwaOrGUtB34cJtpcL2Cx7Gx9s3aCKCuxFNmkRGWyOeeD
hYzJ8mVnt29CNE07O4e2xkxYebDhUw58ZyJfkj4+M5+nm1UUwM118fmQlCof3dXA17CccczfN6Fv
OVgBvEjzoemTMnOdecgZX48aKsed/b6J0AblkktV8aQUagoKhhK5MxHhS8P9MnP/T8/7Y3+xFQA1
WOiAiJFJaWQrv6brvL4GjHkFO6KXZdjVyb4peCsHShSMCDs46pdpNYS3WL0DWO7xal9cbfFA7SKi
2S8t3iJPQJOnfXytNKxbd0VtstnsBtgz9vPaJaV1s3tkpJ+vQIOZd10a/MW5scaeD6X5TVJ6lyUH
OdnskwEIdWe/b6IWRuhiVk4nZbNADEiUiF9PvbWP+3pmG7XG5DayGD1ggLdATCkgqiNG9m1kkk3U
kobEPWw6LmPTZQAKJf16H1hGdj78Zl0NxoqShaB5uBS0ZU+y8Ggyvk+k9pdq4DRcsH2qMWh8Lx57
Mps7aLr9vpPd1spXx8gcSo6vqmpT38Qjm6+qINm54dgqhOCSDQAux3zG6Ny/Y20T/SHaOt0XTVuR
UD3xup85Oma2zhyrIG2vHHZ9+8bMti4hD8Y4BUIaYyZbbDn7FjCHZE32rVJbpZCJUdYhfMVK7pw4
A6xNT1MWqF3pSqBanm5TKfR6cqBYYa1UUTlOsT2N1OwckFt8aO2RkHeC4NkZ0CE28ObWJWyfaA3W
P0+fPVF9P8rUYMywKbrCdiw7rNGi9u2xtxbjcE1PRjACEUz16F4JxvlxjcN23wq71QwZGmcQOvmk
HHzzpieM3riG/prBwo8Fdlvo4RQY6ZGfkjKw7Tc1dvl1bGW77zy2lQyh3E+LYM3AhdQsOfJYOVBZ
yD4tLDTKT79p7Pp6VcmclEsTiN96CgSMTLt615UctM9PW1dUDrE2cVKGNiNnU9H0hiyx23fbkm2l
Q40gOcwkRixNvVsOVQaAtE5nsy9Ut+KhKrGLDpucgUhvgoNpluSQwSF+3zSztWyaqq4DHRKhSpUh
bysITY9hl4GntGvVpptYzVJH5ynGkBxwtX0rm3o+BGb+NTuMHwN+6+gd6dyaWSGa+jpKisCouiSZ
oC+M+Mtc+Df71a18KJOgsBoWJaUT41jMcPi8VWyeri+u8/s2k3STW5pTYdaqw1QGmsjyqQuD4TE3
OYzW/7n3n3mDrZSoBkwGN/N4gyFvmwdYXDcHJLEw+Pu0m1/4jWfOO1tJkeiSDIMmYWXczcl1Lgj/
hGXcf/3nN3iu9U3kNuAmh/gfK5PM1bAXqtPzaMOdqeVteZpJZR2RibJyXTN5ngdqynxKfq0o58fo
jDdrbMTx4Fj2WJnxOsUhsErP0AXoffnlrbJIM+VwwMTQEZQkJzpG9Qli7pdQ9c/1+yZumQhIb+nK
yiUR/tQ0iz/Eqs8P+75q9HQ+BhxLJOOKEzgZubkCmLYqVta9VOn73LNvTrEChlEAs+sU/kyYK6FW
zK7SLNt3EQavu6fPHtrK11xi1xdY032buzG59bz5NVjfjzGzVRhZpqop7LDrs3EUnSLi86sBdob7
dqxbjdEEIkeLm7aklHZa4DUi0+F7x9tonwIw29qkz2kyeLagfUCIIlpka5qeq4mSnXPNVmo0k041
TYZ4hRzDfsyCsb5bdTu9MN9f5pS/me+3WiOoaKcadXN4+lhN/KBxA3fI8zZ/ZeI6PlZqXAuHq0q+
Lwi2EqQJNxQySlVaxrgOPo506B5aH8p9R/2tCgmHtjVrYAFXcg3jmkhScQjB/du3jd0qkeAen8xB
h03yAkHCe6zqA2r2V/p21/SwlSIxDJiFoli6HIHBu8Wtoi3Xwe6TB4JY/TSAcXs0qJmzpEygkAkP
DWoN+wPmoPjX4BU/YngrSQpx6a45pp6yN9H6wWUV/WPIs505nK0kCX76fppYivPJNM9vp4aGr+jF
aG9X129FSSZqI5WSDF0fhfb1RJbwkBrd7jtbbWVJMDEkgsBKp8ytb6vrKgvbt8BiZGTfsNwqkwiq
u7ogMnnJBpcXFQrgSrJgv7Ovby7rzU8SCNlTl9GuzctxlPGD0Sa4y0eVftrX+mbFpYpljRBZXmYj
CuqIS/P3fOj8vtzcn+5QPz37CCBTFro4L1Pay+tuQQU37+Zp32SzlSc1Vbu6jCR5WV1cGeAYYb4C
GNh+39czm4BdUHOQTy5Cvydk+QBBGPhfEuLNN7ua30qUklSovE6XvCQq6u2RrRpehHmVL/sSaFuR
EgvggiuyFnaRuJK5b5XNiyAY4n1DfqtUYrHzNmqaqtQsnM994GF7wKQ97uubSyr/p2HT1ixvKeqG
y1hZUjgTkKvO6nxnz7OnrdcwoNCoVq4u6Wh9662IbyBOsfvCdatYMhola1wNVSk67I1hLhI/2MbR
nZqDYBOvtahyk4mpKvs2CE4kJvJ30xj7ZV/Hb3bIQzwu3EUNKWsPOWEyyahkE+4f97W+2SGnc95W
SFiQUuQmfJ/AbuHYeTF+29f6Jl7XTsEg2hpSVmaZTy4Lq7O3L1NfMDj+uktLtwIm08BOd8x1VfIR
gF4yLOp1Gqtfw9X/d+3+i2voMrdqvlyylTrW0b0ISf8OR3S9a8uXbqVMK4wzwCpaSAkU9/wpmrm6
qdJg3ZUoSrdyJprKLlKuq8pmXaPSd/Khrky7K08EDtbTWK2MD/ux9VWZMviHh8sMS5JViF2zGFyF
Nq1PSdMRNZGSTqw7QfMvzz6Cp9CeAZluhU1RFcMLfmWktI3m63Wvu/5tXCXdvjkYIMKnT8+NxU0p
j0kZpiqG4MP7LjyA1xvsCiiANp+2Ly+c2Z7i+U1gkyNSyNXHmNb1rnky3eqbFHPNPApMNW4Z+lux
LPKa8vmlQ9XlC/5NuG7lTVino3TJGGbhxenrCPVyH1TizUsnwr+/U8Yx/mnXdB1OakvrSZkJxziM
tubgjCo3V6peKFgttUn6HwuSJw4kL7tM/MXwGhK2TBsKB/ZlTGHvz+MIBUbtuG9q2Mqd6jYJdM1X
TMmwpr0JKKdwQ1v0ru0fDGmedlMNLRVYy5yfR888vQkAtH7fIjEy7NrY/xWdnreLnbOgP1vQBkqg
7P2V7Mads8NW9mRJRFuTtuO5VVwf3TKBrry29frHrulhazhEHRN1iOL2c5rPw9EKNh6BypX7prat
vbEUC0nqyJAzddhdilb7cy/hqbzv2TdrbSVyUpGYVWe2NJPAOZ8k3+k08F0Jo3SrfQpQdCBGZfmV
ikjQHLsG1+KJGuado37LCJnGvm2rDDYZaQfo4hRN7s52iu8blVsJ1AqiQk2DaLganaXk2GnewUxE
mH2l0X9x3lOuiY1yWX/lFQMzNcNXbeBXsm/gpJuY7RnQt5Xi7KqTcP2AfqB7VLH1u9LH4G0/nRFa
5eCEV8/kqu67j4tnzXed+vHzrlG51UAN2SS9qU13PcVU/8ZC2X3rLCi5/9z6vx0w/2ZR2aqglAui
hQIWcS0WG/NbhmxRFZ5TC+JhcwcwhyM5CnxGGcDmvU3pvfKeZGdY1C3Vdx/BEgwXdI0calEEY9s5
mPiTldh7Qi8OgwcC2660TBMi5Je+8Qsg2lEwL7CqX+AgeCNaoFbMIV6rPChlPcXqC+hTHerCVpr4
8HN6+SszNpB1v75JZpCBbxqY6Zv7VKSyuWE86/hn17je1fAdG+fhbdD3Tneg0VhL5YUbX/EvJPIh
rwoVRK38Rjyxfj3MuZv5+2oRvoc/JiXiAupdhupVC2vn+c7YGVaJhxGQZwv3eaOqN90Ek4r7Fve2
KzlKaEblm7R3KpwKP/NgTo9LB4jBBz0MWpxRc9B013nmMlZwO5mpPU6B1gbvL9zaX68DzVE0EBDR
f4o6HTcPWRvmfX3wA03sXZtPUW8O3s9Z9s3QLuwfUsH64JOxeoqC4xSaGqevFlY26XBoIsE5XtZm
anHXE9rs++PYAxzwZdUBE/BIy3pZd4cFfIfAFNAsRylckCNsFQekdqqpO/HKV+2DXBrLHgfORrQA
BzIY4hYayAq2nDjEA+yVHBslH+ANOOmrHGeTDi9U0XYp7Rji3LlmWa0f5Ww6Hx2xwLfrGTRuNt6P
Lta9LmoCncHbNWeR1QcLV0zeg1wA8PkVOAaMfDaxXcamqKEqTMHEnU0zt8iBzMx7UIc6P7oj9Izx
4A8oyVvi+HaRGj6nMKdb7FpUc5MyeYarlObjoV9HwnAZ0sBnvz7AoJV2v0/x6P17V0eZeN9XrJ8G
OAPA76Y+gJo6wywB1saxuE5cy5Lf6jHS8g8bpGSVJYTkawTeUULw1w6JmOQMQBLeKjwvpho1KSTc
EcIAnsgpfvfU5JDJISZ867I/gpGLWBa17CvUJvaZa8gnslrH5GEQa7x+BSxjId8AdtbmiCoK2x8E
4LPmFHe+n5vbZlGXAEt7CzIH6snbfD6Kpp3y+RbM7DgcShmkiW1OJBc2Dg7MxaIC4DWrjf8eId/g
3mSGL/V4tK2tkoNy/HMyD20KqrfN+iIYAgzzoU9r+zUc0UffejlGHUfnmXC5aYLGpHcoYh+jN1mP
+86wwLlRP5okqW98qILXeZRr+q31U6sOsPhav0brKI8xXVLY/oR8fUdV6Pk3DuAQPfM0F+la8HgW
fXU/69aqO2/VQr07zLTKFf/k4Iffqnu6ijyqb+BmM9f64FU+iI8jZgfangY5p7U4RlXi2xst+TL1
R0ghueyPVC+J/5iQYFy/z2SYuvcJ2OWpLKxAEjkoXEzt+ijCCsvxUWNlCJuD9vAkXwvMHmTuizbA
NWNXTrjHH6KrNJjgcHVGqWMyVoWB61D/B4rDOoCpOBxZ4Nm6WBizZIWlSxZNRQpuUv8Zhm5QL5Qz
NnM6P8BBSAFqPja543mxEtoH6PYFFlefGKbS/A3wXj75HC/E8qjIJzNQPJufPP1DW/C+HmsxZj2Y
U6YNTUFn2rmHKoDb7++eT1LDqm0B9eesKzYNcKDqOzhFFYETpg5LcHNSyAQUfGZVdKemMJjCQtOm
j6fjkFUxdASAr4/hp9n5JTilFASmPxzBIUxfjy3PW12mCon+Ek7A4/AAbrlrWpCH5mktGS5C0rcC
zgzBF3xW56simzNWmwJLg89fw7YPjrunqYUmBX8nbWb/RcbtwDGa5RyEQ0F4M0furPrOkh6OQl3C
XyUiJv0xsmwNroOaWqwXaTJlvCC9r74tSk/iUaXau1dt1bPojL7h9KvOqAlRYQgvTP4eC72TqtCZ
MhxgqdE0/jrr6drP0LNnPuAF7odwB36wdGoif0iddvw9zcPWXgVDNPpPo/a0IYee1UL5k7Zzb/2h
83MwPboe88z9KIW+GPMEdXiAaXGgjlyveWaKsW3Dx1RQ64pGL3Uki476WX8klUvW9hF7e6mX48Dy
RHa3S9qt6cmHYzff4qaPsKCIomZ0Z8i1QwpkDXJjOitM0C7mC9MzrVnR5MIjOSn6gXaycAKOQAru
DFy8kqkbMGVX1Ux/h/mYbsxxnaQFxxy1N0OXFE2ENj6OWZqPr4yCD39zFoEUKjs34TRkwSkEzKm+
jdomGJdXPptU1BzycQGk+j5eV3yrog+tHiAgsEtQBUcAzI00xybBx20OfXc5XBd2jUn32NlsRNih
MnOJ+tPqkeRrCjsw3mSvdO/554q0DFuCebDR/D3Eu68wHo8jOX2j3ucQpc1j2PhCk7mxV4CB+PjA
SVD5Hjx267M3gQshXeX5WE95wfSCI/0fdbVOS1+CwrXm7zEDBnAJBkcmJyUY7M4l5yHpJgX2RAPf
zS9Lv3bDLXDyS3Aj+3T17xq9jtM9DZbWBgfbq5rF2FusmATgPY94XMX72Y8YIIdotGk4HGIWwywT
vPvIzB8wq0vym0uXNOKFjAx0Clzmsfguc90M74bMxS0/0zYWWXjoddLndyzoM54cnGsVcC112LX1
1dLMdZAf8ylsuqmA8W+q3niSTpiSKe1p8zpOfOKuq3y2yeMKxNDE4VlSs1UeImt5Mx5AO5uygoQ8
hsoDW1LnD0rwFmVF4EvH+m0OFEejipYJZn8js5/4905WdOwgBzbeLcWE23j5OVcdnGLgcaxl/DGc
chmLoh9aHGCKKnMraYtZwEMqPI1r0ynE24INISsmTRd5y5JpSN7gcjbO39Yr6wGJmeC+3SMJm/R1
g/RXlqC9ZOWqu8loxeQHvTrWfE2juouWgjbxDAdznQ9h8rVmHMtAEdWJrj/yhVcDR60vwd6nmDtW
XSgzQlawdI+hKv8AT9g6UEU9BQJcuT6xFkOrWuqUn1mNfWx0qGHbKTEPToyEqOuAB4zDDmrAsbio
je6qayHciB5UyxzeYc9Bsw+xxtxYdmt4sRFrVljEfVpgmq3KuY/8oAo6mrj6bNa8HR/xKAyTXOW0
GW990I7R68TQjBQ5lHlhkZrGtQeSKxvqg4T3XvWmreg8XIez1lG5UnwfbLinNn9vUzEPKHkc+fK5
WtNBuWIRJDa2CEXQ0nuyIiYeg0VCfFZ0fb6qtqiBStM1plhtQWrrl5ZL2PvPU2MabEloTdUpzkee
fh8V3NE6uHezHH/eSFywXjGDVerjulRpejPLrGWfeIj55OvaosMe1WDZ9Eq0Jp4eZghbxA2kUCnK
7XB89tmNbcbB/hF2azOdgHJLmQMjMhTtVTXF0n1SHWw33sYQJYo3kyexa4sWhcrLB1WPqr/Cfazw
YQFT6rT9MAS4M/22mixswlM8THPiiwiXhP6dyvsIG/qJ+45dL730dXpluNQoPK0FcaYIq86x76FT
kmF9Vdx88JhE0D/IyNUMfTCTCl8B8dz3t/Nq9Pp7APHe44KjFrtLHRlQ3mxd8HpuHYpOAHyp8/d1
XcvJHHBCGtg9UblSnyO4S8lXCkmIqBwk4vB3PvaIyYNiVc5QlRXmMWooQ/p9AkE1f1zgEDDj8ORJ
wK6aAEY917iEzuy79gLW/rLkQ4bXx1Svllepb7RBtOnFNvecLNIVERe++RTP2EYWXQci07XseNff
DYGY4/PkaqXeMdYJo4pJwbL+Sne07TELjPEHBzVW98pV06TOo7SE9MUUNBl5J7qeR9+Vtt6dsfL1
c9FAQBcWWBZTjMpQRuMxsJMM7gbqqvxD0zWaYs7OGPhEtcu693NDkY9EL68IgnFNLYoKXIIt2SMZ
vUXq2amqkaeJ9UQdp2yy6RvCxzm6GSZO0yu5eq1RijDn+iHWq1p5YVbMPu/mfJnZoW0G12K14RWo
Pokc3W0QeJG8gY+fmdShalJt+SkLM0ffIA3HxlLOk8JM6Cmc3Eq6wnb53I0mS09BN058vCAsqT/B
qEE0d9h8ptNNmvEwOZnRcV7KGBF6Y9YmqU6MrhKH3bQO+7tqUsHFjNS1tbqtDfUaWpAQGNTrYLEu
O0Y47+qHCeKr8dqJFXesidCt4YXDEyZXacPr5GFmcCi/MwGuRI4sIbLDw6L8KwVNMVuD22pIVPuV
J6CsfXJp2IevQo1dNA5wKFFKXvFuVMNpGO0w3SU+SrprWvUWc34IGhbApEM436GCFA4URSItzX9T
bd3NZVavU/NOIYph6wAIXX8eYhxqXiXTSDtsrTKZigkZoyg391o10fowJejoRh8cmYNIXrOFU7Ie
IeerG8BByJLmcN2MEvIS8uiZzHa6ycoz04eklZRfz1gR4d5iwLstDO6Nf/vnNMdz7W9Se31UIa6m
QVzrOehvcb0ePAAfua8AIN0WSUXGuhT7pPWatQL0pDHs3y1ZVz3uevZtkVTK1qFv4tZf9yA03kRC
y4+XHfMLF11/KrL+Jv+zrZLiPhz4stTqWrdadPJEkxV+jSEdqmsGLRJK12DmyI82iQiG/WKgYwzg
qf29zhXOWrLl7KHGQLJImGLrtc4H2uWg1hA6LDEWogzlh0fqTIY/AMgFr85R3+ZdIVUXpYXW0Lje
kzxtxhs+1aHAsB5xJxasi37JyfWZa42teTPE0ovlcvbX4F70vpyG3M5XYxX6P9rAhuqoYKLy0l3w
M+Ms2eQZ517FZBqX8XqC7x25AfwpJ+wY12HQHvN2RRqmYNVK2RHZBJK5gwD3YikgkQsJQ0psDcCN
hMX9eAqZJUM562ocrnITR+wumSqiDl2Dijl3olaR3CEhMOhmfKgjnWBDZm3nADao+Dh2wysIBr17
gEWAwOFhFFl/c9GXgXyZVgqn6lMtAbNgJz23Mj1Gg1g8ZkzMO9FZJTyazxMfQv8OcCDcbRQ6mYyY
iwqQhEDhNIvz+3LuYxYiEdOvfBSHoFr69hh5uA6dDCewrL+hGQCEDyZLOPzAlB99Ux//DIn/72D/
sx39xQjgeQv7198H98S9/vLH/2Nfn2T/AlsKYMswgZAzBbjkh319Fv4rjsDCAJECqr0Lvef//p//
2tcH/wJkJAWNHdrePKYxMNT/868Ps3/FLAgiuJ0AbgwUSb7fvx7JHoa8FAU0EhtB7Le36BuB7Czh
g+SnPlgFMrhsPSehql64qbtcXP5vavvPr+RYvi5g8xivhP//J+UNlF9R2yvOTwAjvSFY0Lu8/l3M
6T1tRX6s1fSaxO0LF2BPha///k1wNyAeRL0gjlT5099ssq5pBjGSo68Wdgpws/SGZ666Y+P6+zxN
8f3cRC8JzC+zy/Y9M6CYkiwO8c+2RAE5NNzfjhNuZ0j9MUQq8EaPfC1yFusXboH+rkdBoIHQJ8oo
BtFlrv2pR8OW4SSVWXJc5tF/QK6AHGMe6Acko8JiaarwCtkfWy6meYlg9Jd3xO9F9MIOBm4kBw7n
6S/nK0whFEU6YZLZhOwDteFb0zIWHFWFy4pfugrEV0TsIP+G3HOcxFEQbN4TafCBj1gLT1DBs0NX
j1NpwlS8tFxsv9vlV/AvWBEgTidbhyK7pFjtZDKcnJ6rewDvxJGIqDv9NC+8/vc4eP6uHWRpliLV
BqEMA28kBrbrac/FTRePtK4GpLKa5TUuGEgJ8HzzQo9tv8/lVzLEWgY4K8PEs/mVLhQUG0c+nhxy
QHA9DP3bFvqQm66HdOmXXyjFz8B5mCVpjKzd0xdSMbOMmAY84iVPDjlEkoU306/Vu/7ZbSC05BE+
ML5Rvi0EHJZZu6zuxlPnw/RIAmcLv6y/5v3wn1/JgWu70GZAurp0608BpYcRpdg4459wuZYUo8FR
1aB4+heHACYGzPWYAnNM7GG+lWcuTNLeIHN+6vtcXsmqm8NzhbTrS/DmS1j8PBElyNvAOQSTQxTQ
LN0ilfERhsnlPXLJwTifTDCPV7jzVp85zZChyRQSWP88FP5UxT75xQs8LaVgrWDMAtiykQ0J0/4/
9s5rOW4kTdtXhAl4cwqgqmhFT4k6QUgiCSQ8EkgAmVe/T80/f2y3enc65nwnOuagjYpEIc332l6t
eHoPgsDdtJ08O1eO1Rxp962v/HD8UfpdcjJL5Rw0ooRr12/FTbSV+m82Rsf+p2nljz9KFHCank9H
O/BtP/xdpTP7kVkjGL/DVlJ5dW5eWkG5VxP1l2PdobLJA5I1vdwXtY+0rJFJ91rAp8cPS6EI5rDa
rfzQtj+3V2477fPttG+b+Ra47HX3A2dpd5XMVjUOQLpEYqRq2yKR1Wi8Hq29qQWXuZDu9m7wDaF1
9Tbez06zrcd+G+WNPawd/juvIuAzccfmmUZnv7vAQhS5J1EuSmS7FnGVr9Czy6FeVBjl9lhV82Fa
ReLk8Gf6fS4k1Py6cJUFG5pmkvqrsBPXdjn5AJWBNevruSn3a1UHGxLdaOnWrOyrTZJIR9nXF6cx
Q2Ndu1BT8Q2hQQ03YhI8bwYxGG6bSR9P2RzYw0scJwJQ1J7HQ0KkhjrUfi3wPmpZ500J3AH0E9fp
VpT6poD6Gt/7mIarFIcbSzZsRFRn7VpIOzPKGeZj0EL6pEO7dG667KHlHmhsj77OEUh67rqLjA8W
dgw/HZzKi5l95uC+8dtwyCJifK59Tro49QzAUm4Hi38crLkqsx4BU5V3yVT2qSdcMK/ZB9qGq3TN
fnDnPXq0u6hfUhhq/hS72WN5sPi9Py0jkyonlreP0nUu5l/1MsFOk9KrykNg7yWJ5XPySH+t992q
tqinxluva7r7BAqlwBj2drIbFwhP1HTDPczjuL3NyNE/jd9zMqPR/aYmX/4A7iTJqxNb4WXFUKo5
m4s9/ObXGlplKhI8LaM/RzehTBjAXSu27kDvxl/NOnrVBfSibY5LKHWbDQBP08Gta0Y2WUHgLlHI
y1gMvNZp1FTzkYwvEWSrGwywO5H9RU6hfJ17+OMT9lXomJ7KQDvb6yKB5ahCL7XdsZjygpMioO5q
FcBEkHUnq6mj7wtU3Der0+HXDVtk293Hawgq+ZDYxWxuFYyNUoeF/p+TKMTmZKJyk0e+MtfP0U5Z
RKhzLdrgTPYEwbsaN2IX59WkYtvdGixgWduTjELTHxuw1TAVMKJ95jbB5OSFmvs428oguvObwqcw
TvrCok9Tu+amrMrauV2l0yzFWxMbeVeWDGd8N2X4btx2fIbGDhh7zbLbaZxsu5X2/rR+tzZFuVc/
OtGDHmoDQyIR16TFuvVP1TbAk1dFMd4NA5hgOi4OZBUMf1/jOqrWZ+jFUKQyrpPnptra4HL3mK8q
2fnU22GKn45t20/NrUfY7ptl1qlIHUJ67OvEqvYalW/oeofCIv4jU4YsYZjkKrhlbnM+IjGaOFd+
VFxtoUvRLkSt1pB8crGyDSIwRNAhw7m8nWrHsTKAJWUAW51oO7pDXOSWcEWShn2/trCtVkVzJvzJ
ddSwXx3OpNN0wNXa07VsxdAEnd0TXgcbvnxu/k5zhmaTqQ92HyTrVRVE6826yklf0Wk58FJuZ1h2
IKn0XSfxtMmDI23/NhjH6ufAUabTfomZUjV6gQ/lr92rJ7HznKRy/TdN8vD3JrDFq3EW7601+4Sf
rhwDJ9NlF9b5WJX7UwvjsqUTpQGXtmHyPcW65m5hi6HtD6BgTOka/c9bu3n658bE+xijboPptotl
AsneozUtKxOIbJrhQA7e4BbPdMwJ9wb4V6/ZiEGiSHnC9q/BR2RxUGXH4mlZFRuTexCA3Ik5/GRA
a6kul+vUXhS+Bp7rgjKaLoNVeRdrG3HNYSKfvrYQbFCpESrQTAP2fkihrGvTtLGTQis7b4GJzLcO
l1aSkU4xjmljuW2TqVJsA/uHZjUi+fary3hc/RPvcuRnazLtPwzB4w7EMIB+Gmi1ztfKs/Vj3Dfx
Z9JPo89WzC0gayuBHqZc2/FnwB7wbtUNeX4eRtoHLCDoSDe/geQpk4T015Uz6OB6SFcPYlir+8Rx
JUzSHhmZDs1QJ+lGqvBPtcwWkoxYJIK1odR2sGqsZoehcJqngne+TIsat/GJUpdyhNAfVHc9On5z
16yuCE6LFw5xpquWuqSiktOnUwnI7sAvh2O0RAIt0C4m995G3fngBSM5wLBev5Z9He9Jy4qbNBp1
rGEZpfyxUXItAGBr63nbjf4G4bUs2VS4vPqdO3rvJWeQvmxtDQZTFx2E3ag7jd0X3Q7iHM/uVeqo
hf2yKQ3lAtFS1fdr2zckENTKebDNWI1QYok1HT1yzGDqhnp8HJBHzKlrV4EPyL23n8lE01vazoPf
Z1VsaSpbvDU6ugx9ZGmvTZu6RUIFb7WFOrgI/Wr8GgsCMsDqHUTCk7WI15ZUGBw50RBFWaU9/Un1
gRfkSKgGeeP3XeFeWGFLmORoAo/4b2mLFeVv1EzXM5PLI8EVLG0tw+jK2a1wRM6k+ztnaahn7XTX
PiSeCsIMmZIX3k4tMHNaGLsusn1x1utOJdbC91IVD4D31cJeq+xbGdH/mk5NMb+w5zReysGefKk3
rl6ZHa3hx2S726kd5fxB+0siIRnpoz1RoKmeVtWaiNzfpWpu0R/sM03kxZCket6s79LvzDdlR7Qg
aV/Nj0gd/Dt/2oG9zC45WeKqvaSXk3OqD6GfWWOO/K5DjWks3P2l4IEu/tcQI98vYxcE3rS+6rOx
cd3XQfeoiowU1h26MTJ8IgHL63OFv+MaYP/00VpQvsyfXaWey+uQjwUaCWf2nftRLNMHdzt/Scsy
WF6sYmr7VBX2fOsC8cvDEseFyad1MV06Gd+jCriwnq3O6ZzLxN3GGwWqCTq/VetP+LFtypW7schm
gm4uYQTiOt+jhYtfEyOCW5ZkgZmdHHXZlyvltLZbNI8MmMZAE4z+k9XuaN2KgiqgwyZt2IgYd5iB
SnUDhKrjSqtW4rnTloZbUl9iIrWdVMzgG4g9at7XqIjj+zZih8u4ZYXjAf6yea4d/F9Z4/jtz851
4Cv3YnbuEdwZK2uMV0AZys1gba5rUaMXIa4kN9s8vyxTF99KZDzTabImeln97oypK1O4c0ZwR6Eu
LO4NmPRDPUMTd8Uanj3FrscZCiPHRXbs94O/Jp3gGIorOy2bmf6kYJgTc0Dtp4KDVOFYpUE/VCUF
rNKfuHhY8UKH6by/wpqPaBLSsJi6KmvchhLtIdlCFFFeH7wtFMjdLWZIKKanlgBCVkkWAE/f+mnb
SCBSGPXuRckueWgXB8XOPjk9NFrorvdRBxFzCICd4Fz6ZjhKrQysTiHa+thXezUcbTgw2OipGS0m
zgZVGanZwy1pKbubY2CQvyZZeewZiARrLsra4kTdIuNyuieCCQvt2PsUrcpk6+gjzEINH2bTBAqR
DqgoOIvDLYqQDFiIkvzdbZyjv3jKzrWZ6Xj2yppITLKBokfuc8rOiqkXLxCiAvlZPHuXaMgLuPhy
1z1EeNP/kvMqb9CuJENeB5Fs0yAcqo9w2/u7dZDzN9uT+wtPrfuYKFQjLb4uzJj6UTX+NHMlH8uk
QJdWwMhFqWj75PswANqls5YzchftJV+Yfgg8T8Khr/JN1C49unqPdOr6ezfnhbfYTl7bc/+yrrp7
tiNwtzSxp+i1IG3nfS/cLkzVUE6XyRqzCSP/DdrLEmsx22a78XsgEVluXSVtmPKqiZ7GqaqgiC1k
UmlgidZknij67470N4IC1T6NGURwGKez0yY/W9v2VJagzmR2IEX0hfWFAKG2+v2T8FWuvk1i5h+h
125x5jG9scU2ayuO07TVdGhHHTtls+sq1YTf/xgV0pt0M7V6M1Msv0WVRF2BF0m/l7jFl6zqY+e2
R3t3bXmufg7qcfNRSpLndr0shBEc+rWM3+Nm6q4835iZ08hV3xXS9oBdrSxurLlp70odeM9+Mm53
VRiqEBlTPd1XxAsvGUE2Hvdq5tCLyg+6z+QM6mewG0ORBnLYv1ZDAg0teuNvqfT6SkGnz94vxZvA
NILE0k4j2y1/iLKx7qyhXd9lxSUgXVTPhXbtar6wGV3CgbLpjrvbJrdnTcjm81qfV2ZXW9VnzLj6
tDuqra7OJr6Kq/jmM7ok8SJyvQydm2unQ8Ta401+qH27Kw5RPOxltpcbhEa3DcllPxX9zybW68i+
Fk4OPQsQ7MiBNTwVchsUvE1f9DqrrKj/RRZIg+MolDE3pnChv7FDsifSYJb6RxENNWqYuEy+eRaV
TxycRvsHGVD9xPfp+nyJYkyu9BZxiaiFMNdEuqwi9Yoi/rW1hS0h9B3JvO609lUwysWGkNHDt6Dd
Kn1djzHafU5J5R6aNVnp2VsdXoQQyTcqsjh2XkY8tQ8oHXXL7zHLJh+kZ72NCM4/kumcwxShR7/j
RNnHIxt1d4dKTL+ZOeleIg8NWYpMSXwWcpJ0zaOr+uUhGPpQ697MPAbTL3lcWoLas3CbPjWPFB3u
ihyD8yvkyJSu/7Q5jDWZ7Ifywu08p8riSK/f4UWrr8r2YQ9LWYKyI3asnAxlaeiy6ySFICVgjsq8
QBB1s/Q+qEXIddvJLFRYmsPLS7arZXRoV4+rMuJ4EAF3hKQPgSzkMvjjIeRw14cm7CpGMVR2DAWt
imTuzj0CbKnn9QmcE6UEfDLH84Z8yMm9aZyHdC3mgIXMy9BcSNSw2zHaKXh+bawSSYAJ4eSzcqNi
mgkjjj4iJpwHOxL7h2WN9Zy1wb6JtG0cM/POl/bIJ/u7SSnwmNpsWkO/zgJp6u8F2Yc//HqevNQP
FQLH2Y3rMLe5+KNeG7u1PQxeNVWZYoLhx4oWNL9ePVFtfyOS2bsNu7F48eti673nxZmK0H2JysU2
+abWRCJ0VxhJ4mezBEI+gEFUXp7UPf1pEf/0K51k9mWF1Kvk5JDTT9P4u5PTiT6XN6uYORDjrp2C
TLQCoeOwjXu+V85eZauOgTZHOfj7lV+PITbfcLGWtC/RE6RdtNe/QrfGJlp3YawzGsv7JBVVz/8n
a7T3aSJ2+9Ya9PRq2ZPNgT7q4dXejf9UI74IsiU8L1R7L8TXvalkAi5IIP9ay/3TTSz3fal7DjpX
t8xAUIezTMeZUT8lT75tuM/grUtbZ6Nm3K0nlWRd2Gz3i1fd44f1uXN3lbwnhp7CelL+kgq9ruMj
abUolUSd35a8MKDFGWTlWSEpkawe2AZgUT20sv1liUhj+ubUKiaKwPSBOAx+p9kBEbYnBx05fFOp
C98ayvP5atg7fNcW9hHUZGNraVFzeMyERVzfdHVfrDI3cbfGUMHVKlUaxGSlnWJV7bvmyN5aFz1a
GX8i/aqqbBi8YWHwrOKrbdwS+byLSqHHh/iPcxSbLaimjWhmuSrIjVPPstp2Wjh38rBReDYggOmY
LL566PfEFNcj8vnlptLdKkVut6SUf0law0uZDiMqjiJNRn+0XuUSmfnBW8Z++x7PYdh+KcdtwYe9
4fOMTj7xP1wJ7NK1r8YoGNWU7n2D6I4VUCWamrS2N+JhREOOU7BdouSoIs9hsFx0ksBDLUW1c0Ba
/mhP3Q2isFXqzA6TYl9zd0rmQafhuiQgG+4MoNWmo9JIcbLABlf4tSuZlPYRqknysOxqm71jjECY
kg/l7UmUBo0lq2PSRvbAUdO2H9Yez7drX869w8S1WcGvirQWc9Jq4La405ndcCR4gJEEi0dM3PwC
PQgNrYwatec6MBq8sAfWUZlZxtdLc1oaRdFNJkc2UIfn3QTdOz0sxAjZpUbzDQcxdB/das67CNhZ
H1zjAEjaa9udasIV5nKAL6pnnsEvEc2Ol/U2QgeXF1rs080el9P2HKz4DRQQGrg/kml8AABlbhsU
2eCg4EQQN5zZ+nSz/F48cVjNzSsV66GLpjM0Ve73iDRftJW4w6nwpni6bmQQiMedcmmeRLh7CRO5
KuLrfdBmZ4hUau6aTBdg/3mPEA21JTv7EHq54g7XF+k0LU504Q1ofFB2gWNkQZd07reOiptHKJ4B
y+Y+e6gGT2Ug62a/1M68O+awrOFexiehnMVClTqL0gMrbjypCjBkpqSozTx7XtC/6y1kh0W+Obby
Zoukx0m8WsEUUgPL6z+bQxh1sND/j6L6P9XAH1QD5zDM/100kA0Iz36KH38UDpz/i/+vGwj/EQc+
nKQdcX/1grOF/F+19+gG4PfcBAIReg8+jH/0L92AE/wDqhtuyQ0Tx/b/Sc3O/2q99/9xZt8himPH
TuBTseT+B633f6aXAv6XkDuJMAES06a6yvszWUYtytbGvMBHCOJjH+Me2aOTU+1f8AI9/uG5/A+k
6V8+CvcHDD4X1ZDqSvd3QU/BpUTZTSCO5/vcWCHfbQ+lXV8MEAX//pPOxPV/00b8Tr990vkn+QMD
GG4YHYzkk1bvcfOf2v3l3//5/4wb+vMHUETqcIniy0Nv8ZfAIFWLpZPYOPyhBjnkrhS6uPjRoH6N
G6ubviRECAXHwDLF9NmN8R4+hXOQjJfN3DISj+02hVEamUHP12MHbH4x7AoYiW3SX1+JHvY8Rm5Z
qL/h9s7U528/N2/hmUq2/cQOf/e12vtgjbgE6qNYX3SHgDFO+/E/cm6eH74DhYxiAu4w4MX6Ta3R
7h5aUljXo1rxIAVXAAV/Y7D8J73+26/BWgpdx0Ey4fu/C0JUtODWMVyCi2B5H53+4OFVgTm42or1
JYFxatiqJx8Mvf+bd/ivbxYw5vnpBTDzAaKfP79ZahzGKKlVhUeP4fnWDmL5WDPp7f+Rsfn8EFmK
DvsGZhd+wd857MHiJuMSKXQUg9rbXLcuRxaPXfxdHcBf3wieRxBgt0RYw+3rt19om4E9to2ge4Hr
J4Qnz1Z4b9gM83dtx39Z/oimEOQ6keuHQeL9HkvNPmSh5NHWoZysU9KFBze56kWTef3fbTS/f0kQ
0S5/+UHMhpMgbPnzl+SEwqC438SxF2BBIIuBlf/7DeAvn+DjImQNO1DlDlFAZ8XSHzaY0o28KdLW
uWIdvxi1O0nqL9vfqUzgun//epCUIR47LyQHyQwigD9/UNQwZ7QJHB71Byi6CUl1q7tw7hcdi3zq
RtmlROdHXYYelJ8kABWf8x0ph5XCSm3PLX4QEJZO2vYRxgZ8ty2rec1k4pU6Y9INPxc9encsaecy
6NvFPpXr7Pz0Kq5aB0IF7fs69MYhr6Kyi3MdV+MxBgVe4DsCriT+5HJ5bwd/KLNFYQVljPGYfSq9
Bs+hrByIVRK+LtCzb+01aGWy5Almzf0QKl13LFqFDzDEXmWuo86z3byvasoj3Nae9td6Qu6SdY2X
7E9eSGVFklYOlEGGdQYPaAxUHXGX6nbFD9KsD3NlcRs0lMzdt02o9pMDeHpnlNiesfPyg5IgjGe3
2n1+xH2V7Y9Jlchy57jFBtsUxfwYEslyOxX2Mh/aqENzsI6MK3mo2tk58TCRg+OaKe6U6gTIHH6K
MW+91Rlzrmia0cQe13evHL0IxGyLvoSjWvsDXiewjqgX4cM61sbPTG3s7hhUDgxAZdbhC2ClP0Im
JO7XYvLQ/guSyhCgDvYkKMRexu2IgpjhvTJhGGUOEysvdiS2PsfU3twMxgT38Rhv8Bn4d3F1oeDb
08XHVgGqO/XjlW5HPm3jdr0giLFHLwvHkNt9mGzj98nTnXAvHB0BqyA/iz7doJrHLDI1E4GK1PlO
X88MVmWCySDDT2fprKmlVbLMrOK+MUuxHKoI7FVcQqolZX2S2zj9qF2NVbsHtBaHM6w9Zdr1xiR1
jN5vmVviOafBb5lThT2/zJE54KWd/Zry2wSjylvVmB5H8G63Mgft6J4QKcBglvhd9kM1NjHgqW35
REX126KzWvQasqHr5Es5rgJswVeeuVk1OALMUzGKiyjci/gQEFTYHqqeN5AbejNCzQ4uBuR+i9N4
dkL/7OtUI1wtRQCsJuN9jZy+f0Xj0b67cRf8iCgwHvOBDH8vY3ThDIoia7jY0Cg/saZNcCFDr3YO
Nf/2jy7saplZURT/UgLSKC3naP3k3TJTbvrCd4gOOScsd82yrQAdsz2nCdgQ1d+9H7fH0vOQP9cY
YDGd8zrpXDMC8bw2e3pLgmHn9U5G0lTgs+b4ZXIDlhekYVdmEx26/YWLkXXB620DJtq6YBau3DW5
ZgTUQIjhaqtM96PEmrj24x3IM6gRwsN2P4FWIvc/Z1NyXQg8+9dcd6I82FNrPdlgv5AllUC26A5R
AM5PCDgch6liL5vCqV0xp4N1nISHTh29hG5c5NmrIw51HdtvoKyIN61oj17cTaxvI/BriabbJ7zM
6po160qvPfVWq74AjQEozzz6m6ALapUNwbK8KM9dH+OlXx2eYwgGMZ1FUqfJr5dr9O+tSVHy2R/u
DkiUbdEcfYGnYRb3LHKK8UBOxFVWYBtlmDuwxtXlVLnQ57UW9WfD+Wwf3MbHIcr7Jot8cpNV587q
dPIQAAG7OQgp06wUBX4/DeRT54mtpjEvuu5qh/h4CnrHenDndevyVRAag4PXCj5Kq/eTyxG6WF5Q
fIhwg6lXLEQbOH6PrtBt9zzsxYyWQXaujRvNOF/cWYxVlvRJj2yln7cK7J0KuLRaCPxNHZpC4B9b
DOWpVcSFPJaDnMwhHsauPOnSKd18qWURZLO1VuChVaGsA9xmrS4jZBInxC6Nky+uaDW4eiK+S4M1
4ZBgWOm+lFHTPbWsqAZWdNImizeJE7I+d6mkmKmFzOL17AIGIQc0rsth/gF65AeHvfNb71rpanAv
/OkMkFVjFZN4geANxmqWKsflHdawEFKBJ3goRY/nzNuvyTwmZ0wzAeOLmnG8aeXoOhkWCNrl67ht
UYM5a7HdbmshmsO0O2P1RZWxs2Z+p0BNFGqfIgWaOvv1axeJVa/cIEOoJD6RJlThgZUOe6YWp2wu
/R5jdF7Hkq19M8pq0TNA0aR6teePUdOAA/NrBgsSf/fusatZI3IpnxXpxLYI05prx7uKO4HMgeNR
4knYgphol5JmT5cgIsB1gUohRbUXGBZzpNifNMkV6TDjL8uY+KYhm7tkeAujevHSynP2NdVFWYsU
ps0dsYO60TUbysqLMXaLz9+PGwdJNqdEsr6VwDkDXe0xxXQVgYsKrBkQIJsHKb6dDVqoi7ZyeC+U
KXuOtW50rs7AksnAWOzowolAJjN3a/2HgQv8s0nWZU+xWTjvddKra9gCyBPMVpixmPMsl5Og2+7W
GMwwo+XBeydnz4ynjVv0lNWFTlacbZL4hr1T4nlaMWynlvQ8P48JR2hSbyv9H13QRx86AszioysV
cZ0pdw8wVHKBwLOpT8N0/tubCoafCQ7JEJvl+VoyOxr+1Fs2ze4Vkh+aVfCbzqEdWLoXe2/4jjMv
XK03/MXYVkf0ex7xgmP/3RoiQDiX0ugx442rvy2+ZOe1Q2DiDPto/X0ldW+F6jPnTIBCjx+4/sin
N5u9mIul9YcdsBpOGXFZYH+GqwsmGG2+dLOZobHMfNssb7LzOnJTLfys+I1d9dq6hpSALvaMnwe1
I59qDlrnENr1+lTsKrEPhQ8anoWGfS5ivPuB0vi8OKJZ+CyGVuj32t7hfWZaxqFRk7jtxy9SEIp0
4vRFmUcoh/gh986BZ2NJXSpZqyBjYw2+to0vFBnSS3U7LZ1O0OIl5lFHJQ61aHPCd3rfNgzCSCCz
oFlkny11gHURNTXvd7FFzyIMdG6XXiyOwmmCBdBW9PSdFDgQqQ0WzMY3E/EF39eJB/LQKzv6NIwu
1WH2Qkimdls6dZrX1XHSodi8+WTYK7zDQDvLTTJN3AddiMMOfU8gzMFm/nlJCCwxJ88qg2+NWvY9
xQRcVcdBhojcVNiiSfNKg8oEAHm/b1c/7rOm86dfpUYxhoZ/H/EI7p77OVUaKzF5HUl/CKmxAUWv
a3ronKBOzloT5lU0MWxxk5cs1xQ5xNe87KvInbDGR7eaMfFIgSAt9RC0Xv1ZxCOdapXqi8MgFphe
2kqLexuLanTQju5e0fUo517o2mrKi0JvKGiWSVj6hanf03XGxci+UslAQklnTfF8FN4YNI/GW9Yt
N1z+t5PlhkZdTAPR02+TWcfwS1VM4wY6a8fjF68ri+YBQjlcLuZqQd5BkN3qpfNUbN8qAYSBWox8
43QZZI/TSMbektcNKxCz9GRzX9jqvcka0UTiIbYkd0eNhMcGnnH0Oa+oaLrc9crqV1Su8ce+G06m
ch8q52RNXeO/LlFfjFkX+fabz49bXvZOb+xbb5qNg2tiF7CMOilblAru7PIGqKWY9hsBRZsE2dkc
emOYgLmYt3W3JodoFZYf5kgeSMpgZy3gDJpQ6J+ru58twIsycGel/+oBP4ynhkFnTR3RTNZtXbPf
XiTLVsiMDTygSXhwOO138lsW8ncaYSlx8teyFDfjqJ3t0prZRkCDS1M/ccJaTNktMdknFB1debeu
q7dd0DnJns1NP+qQOgQhUR1UqG9XEU4w+M6yn/orBGiyP0VjUbIFEbzSsrcWyfOCsV986wni/0Yc
mpucoKIic7X3lv0rwT+NrKUml/EiJI6+zOY2kCsSsaraglNtSMPAqGg71fEcCzAc5gUI+oHxfI2+
uD21BweMB+fmEiQXFtbTlRS6qG8d/xFhB0o4RLBnLjXp/PnDLZt+P0nJbYfYJ7dor2rHOALAmiMa
Qebeuaez9Tp4mtAc4K1t9/jBckbl5yikg2aDkm2a4BKjiArfBOw4160NWwuKM1bJ7WwrNmJIU9Ti
ctuVyKMducUpmcgBPni+jRK2Cc8Nga3b++W9bDXyQs54BGktbm8k1Dg2oJe2HvVqbVyrPCCk8soM
uEmzorx5aDMndCCKmewaslHasS8yWWu9HhYeVfnds0lHSF3ahuZHA7vR3wRw2/GVLU3nZGFnDX4e
en30hArNPK6Jiu93NXvDqQtt+Qve2airgNys9mGove3rVEIen9gkEgKTEkkxtZ67xblVCL9t4Pfd
cBAGS7m9uZv2yaJb3YFOik5NpCn4heM8Lo3ov3eDK5yTGxfJpyNgXK58w9j0Zbb57vKI79e+ihoU
FcdNytK5Q+/fmEtCawYu23aMR59zNth1l1sjmTCHZQkQP4c9joZ846a2Z1xd2k+nFdZwNWFRJMtK
GYiva+TfAt5I+CgAKhtH+3OpiQf5EnpyaVPPmnn7FiQ75cHZ4iq4G1rhlNcksZg9bQVgUeYrIZw4
LfrhfPOxCwfpjjCdKq48l4SY18G3OTEJeFh/+gUCtlV48SuWZmoJxBSuL/YcROuTRTBKl7l6sz7g
vVV7NMk0/zrLohnFe22u2lhYzckrlXmCUhtJrqmr8gO5BBp33+pa771D+F+8yq3uvmmkJCI3Roy3
iTAuBNfQEIzSyI0BxgdVeKf1bK8v0cOKT3c2k5X11RgM39wBVUlOnk3UXw+dtN4srljJ5T4NJMAF
BjaZEUWo8LpX/8XemTS7jZxr+r/0uuEAEvOiNyRIgmfW0VGVpA2ipJIwzzN+/X2SdR1XxGGQLfe2
HWF7UfZJZiKHb3iHKZRqPH36ySg619mmI5IUL4Yjok+ZmYXlHcjOLD2iqpyAc1MH588aQ90/hyro
hj2ZKyjhzlRrzJ4dg+4/qhjg4ULVmGiSgdqk3mGhE+DLKyt/psfD0ysg1mnbvAFwAw9MTA9Zzn1C
vzYz9W3Go8Pc0Jewif1L7VOUc0VsFf74x1QNCQGi1Gy7RwPn2uLj1HZF/KJixynukmXp2odBIUdp
Njp88PChUozym6nqNkWWjgbmDl0w4FRAZxEVQmAI7HYprOhDThpBx9ouZ31v0KE2txTvQEgNZqMo
O5A2Tk0laEBOqC1rQzymRTRr93FIDvudsC11/bl26D+iGTV0D9j3Fi9ATxxguyGkWA8QVW+km35u
iu9tE1ovloXCyyFBrrMmJhHaT8oxkPV5EbvmYDhJBCzLMrhdlh7Js53O69txE+gFnc4OHts2rxHB
esTqCgU2vHZrxUeyESYksukdJY15HBLPsQMV9VUS0pdZlM3ykPWRSgt7UHIr+mJHYfU2o5eU+EOo
kHPNHFVQyrOptnfgBoIRQFEVIqIjZqvbEsQDO0M1jzM4iaCqPTsJadjKSv9X+riI3DQK4cYG90n9
jzFKli9WJsTnccjq8OjYCUhNU505YEqYKCiTAoKPt1WXLtnLjA4EJ0BHpG0wFwNUMw1kUIRpErrA
C3RcUgLFEguKciNyBSHJlb6Zutr5Xro65zes8/BRxD0SaW1QaPOurzGp9JEoNV+CRrG/BksUvFpJ
EAT3RqSkk4cSUHJYImUEStannLxUTx0H0FXVFoeGlP7ONcTU3bVpF73EAzK2G3MolrsodEHWRRYm
AbKVTBZdsdbGJs9aqnwTcLy3eEjpThs1FmqE1237FVEd86Mx2MvHIAe9uJk0ms1b4bZI6jjJOPxF
R336pqe5CcmF0iWtzDxuj1qdGdl20ThEOy0o60+Vrahf9IBvt2uFCRmlGiZe5MFW+EPxPOAjCCJ3
HB6cJmvB7lZ10myEM2svul1glqUkGM8AjKurj2NdOoj1RfnzVFDU3QAmSj+7s65O7O+pqL2mlW5b
ahTYL5WeFBP9azt8RefNTrwyQlylyKw2A3oVWo9pj/jHFrUBKn2Yd1pPcRZ05mEAa6Ps26QH1N0i
8GECwWual9EceNwnifNol0n5GYeISW2cSA8VEIKzEJ5lo/GyAaAGJT1xij46BqjMmTsgPSDKtYi6
AVmShPm0J8gP6RXwH44PUCD+ODdLe4IIUYMyHswTcChVswpLhGaugGBYsS02zQlipNQSbiQIIxIJ
o47oZ0XjV+0ETaolSslYSivathK7VEoUU38CNE0ncJNjgXOyT5Cn5AR/ykVALUJIVFQyGO139wSV
yvso/om6OwAqEA75p65ypy+1xFe5J6iVMprd8ySkcCzvU/ujkKisoR9rBAZOYK0MSZ4PpURwmScw
l6Lldk/TvQcH2Z0AX2g6If5lnIBglsSEdRRiVS+WSLE4DRCHHE4AMiGxZPVoACtDkgaEWV3TnHQl
7gyHUVPZ1Cc4WneCpvFgE30seu9+poBHQddx2+yrBRNUprSFNhGfSKibcYK9ZWFTfm/nFDAcwRjt
eGcK6nkTnwBz9j/guROQDkG54hsm3u7RNYwh2Von0J0OUCXYLXNRfJhjNW843RKih2MLcD3Uegiq
CXckjO8E6XNL0H3CpqwBpYUHv1Yj+y0JjfGt74FMb0CRmbv+BBScFp3kUe9yAISBxBJGkaSb1PZI
NFiGf0UnvCFRX/JRA8S+y5AYurMa5FzqEzQxHhQdub4TZDFDM/BPm5AOsbExSZ5zx3G/dBQmflbB
CFPxBHyk4AwIUqi2spUpJ27o+/AEkdQlWrIkUXtbgMI/U34LHroTrLIG5/lVnMCW4OXzuyWc7L9h
nGQIz8SGXt4Dq+KSWaD8IATWqffooGmPyqgC51SUbPlbiRwOEZXb9nO4TP2Xspcg0EniQd0TNFSc
YKKxYSYPZPmAR20Kz+EGfjeg0kTiSzU6cxxaW59+ulQz+GsSi4oejk6D8QRRVRfV/WZ0AwePc9dU
SC7Sl/QQ3Cm/GieYqwZHDLjzCf5q1KP9Ue/JbXnVqv4xV6KlYI8STGzUwbYygmsJp+27skZcpS2I
rYcGiIxE3qr07uZNL/G4MPiKTwIslYaaqgTs2ifwLmwfgLzgwvPIK04A3ySNg6dulrBfo4qh9EYS
DeyegMGKI0HCOgI2r7pEDofET9WGMoisXihJ8WORKGPsR5rPpkQeu7UR/aB8yRUXnKDJg2s0D4m6
FN9z+m3FBugOMGaj0PRjog0J5CSJc05OkGcwMfarcQJCx0sgQdEngHSoOpm2N0/AaXiWgKgLRwKq
4TcDri5OQOteYq7nUHTL1pZI7IUqCGf1BNBOqyTkNXciQE/NCcSNHkf73T5Bu0F8lo8QfyQO7gT+
lmJI/WYRWozT8QkgrqQszi5BH4wIR0LIFSsRnDmJLB9PIHMkxQCcdxJ7bpOhf1pOgHTQtsE3EFXA
1B0C4Z5uFxKAG6ji6vMsMe2GkEEZz1kP/xguobkZgXK0gOBxs5j+KE/geOcElKd1Bmi+PgHo9ROY
XtP6AO4A+rrol/ZjrG5KygvMGRW03MtAk8P1KPpk3ronmL5+guxPJ/h+MEgof3yC9aPSBsTfMUhH
Hrn9AY5e74GuVG4gpwMawYmCCjjqipqzdlVDngDGF4jNXWU7uyk9JIl5XOpnQ0vuWuOTpSUHgf8w
fVjQf44HaWmrmHDZtXvqdE+aKLzaeNKpBqoWsLywx0jkOFDybIzpCGdhQaHl+g9eN21tVAGAawha
mZawDGcFdVFSq8n6Ode8GZm3vV7X0X3qgNz83VFcQ7NtnV8ts9q151DC3YideZrtRK1Uj4mtBa8h
TlW/xddn7S3gOioDCB1ZG10X531hNxvboZvLfOdSZNkgbt9vgbb/npf8P6MIB41PRwOdZK8b6bQc
BhLGIt9NAY0tQiC6+1vRqeotbMC6zS2nA9/cJIcygXWsVb+70XXDQDQ5SPvS3mgC0uhi5CPcXdX4
3V3AUC47Qdc0akou6Kmz1v2QZdTBFFYuEmb9SaEPCmEt/D0zBrlyCF3QsNd04doGOhvno9RON2hu
32W7payDz2Af7CfDVpT99b22hlTYlE0tFo2ivCmor8ll/QWGkLS2IbTFTHZmly1v6tgMj9So7KND
mrFzUnP8TVTKaTzqLQ7YHtXQ177liNER0EHw3FU6WNgCRPsGNJB542K5OCtQSvw/DUcF6HY+q56u
P4AVI9kVnarsUPivfMMkeTGo1fkVKLIbYI5zeRmQd6qKwgs6C0AtTM2w5L3xyypCos9MDFIcL5ev
22QYT+pokcaRPlJ6UZ6LCMDz9Q+33u8MiW4Es3N4jAxDXU0Re9cs6unuemUZBz5YarocXYu6lVoU
N2b3fij2IWg1lWAFhQ9rBYZR2mW2rKk3PUW4xdaoK8AfIRXPachufbj1BeuoAhEj7lYB7dRgj5wv
JGGnNXdM11OCiJJs1DiW19QaqfL11bs0jgHuke3IAbDF6vIDmI6SchAbXjrqum+i2LstJ1vcuMjN
9cqZpoubiq7yXOA+A9LnfDrmALTFRZxz36IR9pD/Ub52D+h3vmr7ZR8cJm/eLvv0SQN0+9AcEUI6
Ll6175/qr81r026Gn+lbLTb59g71Cm/Yzd6n0fv4UG2F5x5o527omh/jbexhWEQ7A5nG/bKBKPb3
9bU6+S6eYeVOszDgfcpZvDNIGuUrDi4x32ef+13lNcf2EDmbiajoRYDP+wPT1V3oRcf83ni9MfT6
IJ8W0AEpAVTPsgl/zhewjV16zkad78Vh2U9fEipZn53H/A9HO6T3FGyOC5Rnm679U3HDM0her2eT
lpcUINMTQJAnfzWy2lj0KlTJknkMX+fH4KW7i1+mw/jn787wNI6LA4RA+4vK+/kMzbYtklK48V7f
fIX0+ID6wnbcDl65dXfLIXxzD5CWb+x+TW7vd5Mj6AKxKwQv5+rWL1w7gA4EwdE4ZMfyyfQ7P9gv
d8mT5StH7Xh9igLo8rvRXEAdiJe5PGTmaoqKkpqFDvBwP26tg3GnPJdPzdHYTpsf3Q4FwN2wwwBi
F2zA9W+i3S1HMl3++fVkXSRgVASkhEnd4nyFCejtQNDO3OMkcFcz2ek+OFpHx+v8wed1eLRfzVc4
7CgAD5tlq5C7/Uh+KH/rL86T9WQf3WPouZ56bx/NGytzWucrP219P4xVqI4LXoH7KdzhOBYCQ239
Dp2DbFtlG4Rqcnrt6ONWGzBL1HaSGxthpY7zD9LWBU6tGYSzwEVX96BNWT7RJc4R00xf37sedlN3
Yjv6zi59whXhc3zfPQcVOIGN8RI8G3txrxxVb3wo38qX5s7wSSg3N7aLvBTPFkWiPJGFc/gvTNxP
3/OXxzTS8jboWmAlNNte56fuWfnWfTTvm+f0zt05z+lLsaufl0+0cIuv6jfnxpJo66cBZT5D6DpK
VohzCa628+1ScY/jUJIpu25fHZtjcEc3zoPfdBT76in3qu2N63V9xQE1xfdEJ5AUpkBsavUJoj4S
lOPmeD9vyy28bf+WFeL74EQ3QJm6IGfBtHKlrSY0t2D0+A0eIAj9lTvWppCkiHyfRlH6FbIVyA0d
d7Eb33G9jvLzGQTK8BM0XsHTOv/yGRM0L4Jxpl9WWCXcxy7TjjViyPvru+XSKBZMAAT9yczctWRh
nJD22rDqvMhphjt4RFJRu/ndqPW0FWUgrrtkFgT+50towpATmZsYyCVDnbMbddhmMOUO1+ey3gmM
AmTbEjZsD5gZYnVPxh1l3L6rdM9qEG61lkDb8/4VcPFD08vVuH65Pt6FteM5N4hODMsW9voVMMfa
HOnC6p6Waf2+Udzh1cbD5sf1Ud5vP8gn8hy7QNLJ9uWv+GUf4COHrMbEKJSxxXNMTeDQm3X7hlK0
8rKkoGEix6FQdX3UdeTlQHkB/Y7OJu8qacZqLd1+cRFBgYxJuxXNxZBOcWB08aYYqvmfof4/gekX
ApPBXr1CYIrijF3xA6Hhbj7+/X/+l/yf/w97SQqK8uqfVE3/m7jEvfAvgyvJILDDkk8z+T/8W/BU
s//FP9EJnJF5JJWXunj/Zi6Z1r+gnkAy0iidqlIr9T9nLgF7QBWPjMZCHJHiFZWH860J901P6PMs
9xoidLBhndLKPiA6lgWfRJHLLmmYlN9+WZmXf96xX3UfT9Wb/3neLEQFeVk0y2Kjg9YgnTofNJ7M
MAeJ79zZm+dw8/rnw9PHD+mN3S+v9GtjrCaGtJFRWWbq3KWbz1/fws1DsLkRHmvyAF0bYkUrACmX
I4DDEO3uw+fHt5fEe1m2X9TNramsmDrv12v1fNUGOA9zZqB7AN/eW+QxGQxObj378vdemc9aWBK1
Uk1NSj5LGoxeVR5sEupiifaWQFUHJFug554LMMj+qEFbVYExKKjhYzW1pdsKnfMuzd1NX/Xe9e1y
40tKWuCvt6cx/3uZl/3zs7s9PDUb9/9xCHE+RA0ieggyZp5vvkbbt27zJDa3lvf8OpaxlCD64C4m
oYLUtX4EqjBYpty1uwOedchHpUHkWbGub+pQsW+8aufvzT9DkVNR1LQ1bhFD/pRf3ptKCQRworo7
YDdWvoWmc1csU+KPCpbEozt2my6tb8U68sz+snkMgcEe6lQcaMntIls9HzOFGbCklpn7dau1e7S6
rA1PeePleAfd5RgWHK7vCn29nnJAjGHkZQL1irTmfMCAtrNoBJYSNZ1QwI6GtTOKxgLOntpeXyFB
lKZ1cOiSyN1FXW3fm2ZT+S0onW3qhvUe9OH4V1WpNJzoT/TboCocL4vjCT2DmP6TMgXJq4LxwaaF
aPxoByFyLXlc+mFTUaeYhg5pz8E+4tCUg25M650BYQuAe13vTdGi9mWrEYKPOnpudk59f8jN/fU1
OI9euLJl2cum2ksNFvWSteN02QFMQ8GKMnwVqdDOpWkFlme/O4qsk5MNmFRjdQOk5flCz4qpB6m6
1PsZ4Ol2NIOBQKm/ZS777nNKii6xkSWo5FH1Wp3ypVFSAanS2CMO1fxROQVi9QRnH3saEbdqUuut
SkWDagZ1PF5QxMhXT4NIAfRFiCfuZ1BMXsrI0Di7fucsRv96/QtdmBVy5xYYSkI/MpvVqSjz2Slj
XTX2ixaaOxslTXDcOKChYPHfJPL/S+diNgMCurzfiOnyucihVguYiGKpgjiy9pgYIifmVKPXZWDi
r09ofbVItq5KEqWxFQhPnPWpa/u4pdHQ+3agiZ8oRi7ormRG/DNDsXPcLa1dfXTbAeTm9XFXbxOY
btmnUekJwCoxkBQ/34SqiNQaVm9wCMOwNECAZc1nEMZjui/UOP6zA275JSbWwpyJFuGt92F9uXG7
EYpR9kWtHcieutoxeS6iCuRF5oMeqcPtgm0VNZS2tFEaa1L1FQpQqP3mStMZoI2jq0SA8Dxph53P
2MkhqnWFYh2GGv8tbt3wc2WNcBQbW8fWcimRJMAa7voyr28UA4okjwb/4mIR7rt8KA+WnFSi9PMC
yFWkmuVjjVLFDfn79ak4jUKXAAVzSi5M8nxq4E/DmQNY+nXX5vfAI+gTZGDg03ZSbgQ1FyYkkGAm
wIbnTB60WsVwMHGzd5iQBULfG22sI+xlGXbXl+3ChKgfkeILWVBHNP18QklZIxgZFZU/FqIkSGoX
oBAhErbCAwpjGc+/Oxxvusmzp1HWgC8mJ/3L+w5oNZhS0U3+iLgRjml6dO/oebzFUy17uj7U+/Wj
t2KShnD0oESubxXoO4CHTGv21SBonswgaw4qQKMbofSlUejeUS2B0UPLbxV/KRBKQztvZ1/LZ2Xf
jXHjK3Xx7benYmLugI8ElS2SHXnIf1m1tmOzIfk5+uCIll0yIpiIIFbU/7w+zLu7gtVSpUaFDE/I
7VZ7oXSmqTa0DMA7e/IZdkzwINA9ekS/c9m28zR/vz7eKjyW+T31OpMIgHfaIWs8n5ZmZhXAxXLy
LRDhH4BpKjtNTxsoB3nt1e6Yeh3KgTsnCaxjp8fljU/3fuvTFKG4YfMukD+uu6cp96UNBXL0WzNW
dhBDFaRJIwB/WQ12+fpUL2wTmy0ve1auTu90nQfNap7BUBz9EMo7QPLMFajsq/Et06dLc5LKCyqo
DHb/GhcQ0B5NEt2d/Wk2ir9YUbv1naIFgF4yWHm8Pqt1OmwQxbF6yCDIV5WWy2rHtHHfxbaeKeBl
R93ZR8g+OS9oK5V/FKGiPOFxmbdfktx13kZkLV+LptSdHUi/EV5GT03uxu180t34NZRnyoLmsED3
iMolJaTzHRVOFprmo6r6IeswQO6aBveAEp2d7cUSGY1Xdzgo77ARTWuP613VqKNaA+qDmFDbhzSY
umJPN1iZNjlOxZkX4e72hxbG84uYCj3xrq/fuwMg2/Y80LS6eaXfLd8EAB3u8DL7wETsv4tAUcdt
JOC3R40w70cRJnt8PtvH3h7tnVDn8cZtvA6J5HLZgDvYMXw9a53Y2V1fmXDDZ3/WwayLwoWBiB7T
QYc9/RlGSvxQMPcbm+bdFmVQKjd4JkibGi6b82+EGlUHtlOZfWkB+DV1hwwWbiqlEHHobG8BMS6O
hj2DRfhnIaUg//kvV2c1plMzWObsoxw4HO0E+BjM6xoYSyTUG9vv0nJKWRIiLY4e9fPzsTj2wdh3
HL6sw8xTKgRwTc9x77tlPO4wygQPbduhcSPcWjWiSKTkikpUE70gzBL0VYwXaXoELG6a/aUE6V4v
aDUfRKcHL3rsjLC8IH9n87CvKjv9Uw3H6tmYLNpVOtobUYP4HyLxjxppSwa5MOxu9dHfvSr8OsJA
9IxMlcLZelWU2MaFQU1UfzY6E63Ndn7DHlgZodR3zb2uZrcyl0ufASy6bdKt5FPYq+UI7CR21DFX
fTOz0MzFgfOxhj30qTLqcNc3uGaXo6XcgMZcHJSLkOImtWvijdW3RwNCMSOx+HU2ZlgDJxjdgCCo
P4q4iV4jXZX8hapEFuL6FXJhf1O8AAAmY3yKtCuQwlQLkqouVv14RIcODTNwu7ssGJy/sYNt/rw+
2IVJ6sSkhmlhHESksHqwlckNQKvasx+lqsIu6pCZM2OrfwLWWOz4HeiuVX37u4GcfMeIGAURo+Yi
6HK+tNagl5neWIuvUhetNg2QgnqrjgjL7a5P790jfRqI21guJNoxq2/oRJGOB/20+MCke4+EKvXx
OLzVIr00isU5ZVKAZdAZPp8OvCB70rpS87ulKRFShxGoepqNjMmNrbGu8sp7AXQM5TR49BQO1iev
QHxcCVJF8+tGVafdgjhy7VWuAdoNVWKWT6MO/NZ2IfDMccF4eVM1okWuL2rsaNuNmWrTvTbT2I+d
GKbs7682EboNVI5IiyNzvg6BGxRVDP3cp9lYuV6ZwGHao7S+3CovXDoivw60+qzkqkhc6AxkwnRC
dbqoFfA3U529ak2tLzem9S7d54rD8Q0AP/JARLerA4nWX1+OacHtoyj2NoRN9Cf+oeLYTlP+MTdb
+zluRONhRIgX9vUVvRBOoEsFGUTQsMNtYjVRJI/SObO5C2YUxN5MZ0Gzpand6ZV3AVYg/sXqQ6gE
8x3dPmTchwzD8+u/4MLeJr1j7qBSyFPWiYotyr52rVb1ETvJUIJX23a8i/u2cn9LZOz05LGzyT8l
Yk8K7J1vnmLG27ZIO9tXQ9Pwsgzp1Xbu8hs1hQtPFxkKERJvK1JSa8W6Vu/HzgX76gemYlG7z8fJ
9YYxzr9zEUWIKiyB8fn6Cl7YrMC04LFxMgwaaKuJibSMEMvObECBIyq8od3u9BlDdVLA4Eb+c2F2
WHGx/YmUycnX7ySRkYPQqGZQhu66rzk85hfdDZTBcxGWQh2ktJEOuD67dT9IXkkuSYNEZmCXaK3r
vmbZwLrWQsPPxVLb+3ZexAzXPk9fGi2q75exqF5DiLc/kVAf8e9YYu1DOeAZdCPyBoTGDlmlCmTT
lBuJE2ihr5NdivBmri6J5Q9d7ybbdCIa2XdaV39Q1NCwnjQVIe6DA8EoQYDTxXk5nYT5vQuBAexF
2qHIMA/FYO6s2En/gLuHZSeaBORY8DDQc+2yJnJw1tO7Pwp0yPptHANkwtzDSLKtWizBx1Jo2Z+a
EudPWE639Wd9SRvdd1Ntes4te6y2SI+YljdQ2LIOUBODaq9gHa+jn6QY432UYk4ATLoxxi2aNJgz
IYur/d00Q/eTALQuH0A4K6gtjyL9o1YiJMHcvLPtXYztxavZDwaqFkhILJuqbe1hh0OO8X1wnRFB
YixYEA8qNJZkRAr1c+8iWrw1jSmFF2gOirOfOBkjEubJ1EiBruCZ/tBQvia6YwaerQ/uslGowZl7
5JhB1Rokgdomrx3JryiM6auGpU33nMR98ziMJjRFKzKbr/iu2/xial1/tUhfOUdEqcYZ0pM5/9EN
Vf8G3Qvxbh3Q+5uO6+qPGR7adyiiRn1ooep/sNysQsl1Sip9A//BnfEyILMjDJ9M/UMGPyv0hlkE
HxoEi+bNvHTuSwdpDmXXIgy+owY14QaDm9tTpwaD7TOn4ROmSGbwjDIYr4dpJWqNvEiTP/WFVrXb
nHrWtG10DHV2o1nkX0eVlsRBR1Ps0zRimL4L6rH/24AqG/o9fyPd5FqLmLcZqOZ3vLJH5lPjcHkf
5Z1aILg11Vi8lEj48hr2AteWnh+0b/MQxi0S8UmGy8lY9pu8qDVBPXlCxsjJsM05KjmGVttOqKNA
OWZI222YR8JPm6pUD5NwS0RwRd7qXliP8Jkklel7aYamu0EtZbS3qd0M+Z2DaNJfqLVM3wkhl+Ns
p7iCYb+FwrYp6kbfNzDZvoWOWn4zYJFpyHD0mYpxhaoUu3J2QJ6FqtV6aF02HyrCCKKIXuVnsM8w
F1e7ESNkaBKIFKmwaLwxQyBoF/JI/vzfQzqNUwsCnOezlX96pvoJeTeubiELL7zTJ1SLZAJQwTDk
P/8lMUz0yq2VoDV8Y9Qx32jUrE536TRFn5uT81RoNoXfKLDSYWF1wa3U/9L1Y/JAQkOBjEAweD58
ritBAeNK+B3X5FNDx8LLcXC+cc1dCNjJeuX8SA9p46wmOc19p5d6LnyB4hMcXOIDXn5HRU9io/KC
4nuiZ/a3yJ7bW6atl14Xnmf6YjqNXF7R8wka+EPIUEH4GMzU6L/F5nxodXV5NSvHPkgpk+tPy/up
YhJIJ1Eq6lKeXL8sQRUUioZuBkI0ORYt0aCo8Rb1iaq/V9LFtDZKay7TPlqUm2SP91vJhujByNQQ
6Zet32yaTlpcK2gOVHOYuLuys/VvYZyqybZWocmDA7WLftcjKDliPha5t3LPC2U4Cre06mTSQm62
Tly6ObKM2UryoxWjNeUPUOLqbREXZY0sDnH2riOlQ6NMiWFQ0AeolP1gNHrO/a92nwxIB7e4Vu/D
GFp51LRACxACsw3Ov36qxLU+ZTih1w2C9VDhGvd+bjXzDhF156/rX/79TmMszjKoU/DtpDrnY1Wh
CTFZlYIMDi4bkY4QmKOJ/jEyRndvOkO0vT7e+51GzgJkgCWncg2g8Hy8YYhx08oWx3fiJD2ACHI2
lrnkj3oya4e4TXHthbh/4yRfWFBZILQhYaEB+S71hocONgMbKZ+bO3viIW9x1LKWXdir6o35vb+a
bPhrhJ+0TdAIXjdOIMFbdme2ro8LodgrqAHcdcl8q2t+4avZNGfAzXJYZQX0fBW1YCFZqHpAOWqi
8IQEysc2GoddPKojp1SLblQRTqyQ84CPSJ5+Gr1BjgrV+PMBE2jP40TWRm1YICWjR5gDb6ln6PX9
NNb6h7IuRuuI8XObw6lGGOGQIDb63I6N/YIgUanjTzTRWkzQT3gLZrsNPa3V8+wRWTmMYDDEWpC1
qszuQ6Ki+/9kF7MBFXp2Py0hodD++ia8sB8AApDt0bpD0HndzY5nQWhpdoE/qWLSwIEEdbSTAFh7
M4dAXn9/+0HwBOKAtgYa3utMSEHQrIKRGfhV3SOz5RRFruyoGjdvRpYjiHd9chd2IIAjLiIkiaEU
rdsK9awhURFpgd/lLeFlOFhfeitvbmCNLo8C+gCoEX2ZdU/GRZ0W5NQM/8rCXXGjpHrSf1InqK43
BrrwPjiQUOiu8k7IC/F856W2MdSWUQU+eq3IrhAu4wAQoHjRtH1ubho49Ds0wqOHeF4wFbm+lpc2
iiwHkL6y7eGdnQ+eUS/GaEgEvopn3RuZfyc+p4kOg1zBp/Xt9wejNEiSRw4LYGxV/AhbJxzdaVB8
pemUzVAnbgL5vVaPgwZJ5vpYFy4QNj71XYAVRBnvYDfTUqSGNit+iCSqlw1dhyqdGPddM3/DU3S4
cSteuPVpVoD7pJJGw3d9K5pq103YVig+rfHoWah141mLlT1g/YRvVzUox0bLrRs7R36c1Z3FoJxa
CAY6+2f18boBYU/ebsUXFRpVmzBHf2Sb1lqLloPVTuDw8tHCjyIuxr8UESDc0baz8dulbWkNDvqP
WVNbWpcR0Q2zctPqFZ/CZa75URkADBtCcxz3ejbMKPK4SJdunWBuPl7/xJdOKAxz459qEtiZ873L
UYyGvs0VP6sX6z5PMLsLSWdvzO/SKJKJSf+LcJWS6fkoaMQuZuOUfNl0juwNAmSK7hW929o3Brq0
Y2FSE6DR+qZBsZqOhWRCagYR07GpJiVuh+BzPPxthNRcG0Rf/oOTz7EwZVRE73k9XOfGSVZB1gER
0xoeohkt7afO2szJ8B8cDnrosvcKLI2tsnrMHRMcquizwO9RB3K3vZP0H9QIAUYvzXvsoQujYnpJ
7bq/fwlwn0IQI/ZFKf/dJVCy9buFOfZB1/mUZbPNoi3Wp2ygPkOxtdhd35EXblPWkvfWpkcAx3W1
V0wsizKZTPqZhtSxCLTEmxE6pviIOND1oS5sS5osXKMqCHuKnKuzTyu/0LWsdv0qMeMnJFaiu94a
ksP1US5NiBCMwhzQRfb+akJIDuMxRCTvh2k23Ttt0qHPr4U/3BC7yutDrYiLsmgrbT9cCAVcaWif
rWYksB3Vxixx/QTZ76NBfWU/zQLP3Ua1wq0aoOGddUGxzcIelF6LIEdluc6fjb6EhyBTnBv1zwvP
skuuyIV24mGv07aMwkbeTPL9b6uURiEyyYeyh4gUUkfbxkqY7eLGkvpdg1LfWItLy47CJodSnpd3
reIY+Jjd54xNr6VJHkZrAg7lFAaoXEuZkPy9vvQXhyNH5drhAn+XjKNrV/WFbhItKpiQRJgYOR6f
a3wZqxny5PXBLlxzWGMQ1fOfBgdF/phfKitjsLho7fCZFxsotTZNCirVAj9RwBebNlPdG+NdKCoT
mdIZBKQM8ZwK4/mAljKMWWF2ro8HXYeRcCf0fNuLyFh2My6Byt4qEVC+p8zfpoc8bIcS2Xcd9UM3
n+bsxoE6JdurN5ufQi0Cax4SxfUVkaDMZCSOEfhtMubG1qUIU981ZV5Gz03ZUG6NssQJdsGiDJOn
ZGl6j3/j9MOarf5zVDnSuqzHwxq5KGzoeRe0PD+oXW/fzZTVR6xtxzrY/f4Xk9HFqTQvO5PnC1gE
cTipCML5btI0P1C4jb+oaVp+AS+XzV6RDKa4sf/fnz1SMTrlMqkgpV1fBTbnHPOD3AEUsIz1wWgH
7Utg4vfnga7Iul1bxdgxAsoxPi5t697Srnl/t0LXo0UmHY9knrt6r3q04rB2Sx3iKr1xMbi0Enuf
TgD8brxPlwcyADsCs5E45/OVjUD+9l3o2H4dYuSlIMB07DtjunEC3h9vpsMrAWCNYgt77nyUFqkx
Ky1bRkmjbK8tg+HlTRHtwSXeojlenJBU+3ElHBHg4/lQ0Vz2EThl288CQDQu/AC/Ehj9XN+QFydE
GEHhkKoOUdn5KIBs1aWdLdvHT6LwWler0ZFU9aOt4IzxHwxFKk0xEpOudwBYSc+Mp2qk1M9VsXUK
dd5VmF9vl7nU/pNZndR0DIfnb73pi5wAG9Kt7S/R9KcGWAgg9tgenLQabzxt769gibCyVcgswD8I
OM/XLzZBGS7WZAPsKrtjrBXOXs3TcTu5iIKm4KR/+wKhh0ZyBAAWy2TQ/OfjBZEuUEfmPBWlpd6V
apBizbq0u0LHa0azxltX/oX5sdt1DpWDPhHw0fPxCik2KpKO68NO1JeeVvcH8ra6fQhwCf+OvXgi
bmRiF3YkHAjAmwD2JCFqdcTCsWvSXqkcP1J6RPxQ1NjQwbe9uZqrG3fjpaH4cAQHhJraOziX3ZW4
DgOU9Jdice4is8OSueetKNAbvTHUhdNM1ZCDLEMgGQKer2OKy63V8ej4+kCVtmtazEEbZbyx7y99
rV9GOb3fvwQEmHOB451bxwckBvjSFTM9v3l4w8Oo86fcsv6D3cimpyJuc7UT9JzPaiR8m+nm8q1K
KbBXlO6H2ZrmDaLlKL0ZCRKwv32HUF6B34HmAP9eb3/FQco0VErHt4cg3Nmt2+8tAHl0ufDuuj6U
/CLn0YUUXKPex1tNFdhdnbTeTFoCgoK1bFSx7SoaU6nBjkzzJd0uo676FS4aG1R3NNwFGvH39eEv
xPCMDzyBKgjgOvot52vblUsa6ahc+qOdGJWPYnSKV/KCTHgaO9hR5sJqy5e5Ro/54DTCrgmA9PZj
bon2rqJERrcZJdz8xqpcCCe4C0B4wnMBU7WOuYpmTvpm0m3qTuYs/WNL7RGjE/uvvq/bEWk0tGU3
jj70/8XZeTTHbaxr+BehCjlsMYEDiqSCTQVvUD62DKCRc/j192ltLgeDGhRVx+WFdUo96PiFN/yn
1RYt4PuTYm6sCV0uiC6U2GASrvZbLqHRtUfAazcK7lsZbsnQiJXg/ihb1wKbC7UJeDzgQ1Z3OvKu
5pQotB0QxJxfmr4QJzHM7tGdqn/uj7QRUEtyNi/VL8YS+cJqkTlSCwUe9wLkYfg4FoA1Dhp9Dvsw
oXL7wyxaLHQTLxoDVSXZ9rSRbm/3TsE+mS/yM3gqZU+PhOImSjMStA3L2bugTJu+9GmFtO9cvBua
L0fhMaFbhdYYGeH1xza2mSLvrXmXsBAJXjFUR0Bhzy4a6fenVc7a6uhKYDoUC7oMstx0PVCcRxJX
EYUXSAZleMxaxUBWOGvSrxkyqsnjiB3Ds6EhPLyzPzfuX53snq+Dx3nb+ZgbOu9FmbE/8dx+6pjt
RzyNo2czarpDMbv2w/0P3dw/Em8ItI9Zpe98/aVOqRMjphpVEtMYfqRuWD3bLapToUHvIB7D6WQl
xKjQXb2HNhX5edS6vQ7k1kfTPmD/IA9g4tZ4/Rsms8OHKKGL1TdW+mMSZes9YIErcPko0Do68R+W
dOfh2TiihODIJdBw511dPzyUPUYj93jo3M7pD80SY1ZfetVZNHP5G0MxFqUbeQ0TJV9/nmHNfdFb
MW8cQIbXLPHMny2Xs+WjDY9d2f0F3bhewar+/2DyAnzzgKsqCrDWTBZjI5duIrDbpD/6JWuDCfgY
KvVLpH0C7OE6PqLA2XS5P/rG9aqTbsjGPnKG6F5dj67TezS9WXEvKPuUL4mZjk8wBfSdkHlr7cih
5EUjNTXXa6emxBNVP3O9zlZzMo0kOkyzbZ5iPBV2pnPrg6iU0kIGKHrLmkHwdVmQ33YvIVqHQRou
ydHFnPw3RgGCKbNr2ci9AQV0Ao5dkdqXOMvjhyXNy+OS1LselVvnTLYFCYuRXqJ8fr06FLCnarFz
+1LWWQXXTmu/zFir+Rxwanpmah+qcI4fKn1Kjm0VqlhmqM4T4DGalmavHFVl1PDNq5uXHBsgP8Rp
YGdlt+5d6oT0fcnB0R5Z/cJwkKFiDO3VEyjeqWWeIUVxUotYPU1SaPj+bt28/N4OtzoscCnzRI0i
+1INg/Z32JnGvxzVIT/3ZTPiZtmY6UVUcfknRAGzegQ8M5gnL8SoYqfdsLWjYRdxmckmMVHR9cqU
Ji4FlT2gCjeK7rsXY80Gfiv6iKBbvHMbbe1ol6CUNpVke6xvI1YeAwB3dqB1KsYBVMlyjGIwj/en
dmurUej3KFRRgL8Js4FRjwlOndx5CC4HcevqRwOwFmWOsvhUm0O8M4EbG8dgA2CMSyKByJqc4DfX
HqS3qqu80CasX/oP4YAcA04yygszgOODZRXgV9vfuNhpfRuE1pR0qJGtWqh66oWRqzCo0WWhj5eN
fhxHxbrovZXsgKg35hMOAsAZ2Tvh8K53KsajyGnErBp69wdbMxGWr8oIfcg2PUDi6473129jQ16N
t5rPTO0XMQjhXCIb89Im0fUXp2wnMoRa7LwZm0PRzTCoHTGX671fTU7Wg7e1L3mFDWYE5PXjWCvj
a2nvaSRvTSKPvWTnghInOl9tEsNoa4BdUTCWyeCHyVifmtbtPiyjKw4C+PVOcCVP7SqKRHFOsi6R
f5B00uvxhiRXjMXoosBoHCcLunAoXkWhaeUhLY3xL9eesFWnIuRGPm1+/UOXDiK4v44bp53SBugM
KQnN3bJ6kLt4Unl/3SjoK4zrLOkRxRtU75z2jaCDqws2MgIhEguy2i2WniVZXRsRQUaHsmYVD8/Y
FDrPTmPbTxEq8t6RGeoilHO96Mv9L1yppv5KPWSzhHidiICSnFz1N0e/I5/PlamIgxjd95pIANw1
3aDcNZ/6dgRirNUl9cGpIptELaaNw0crG+h04iSDLaEe9uZDM9nmcpZ6D5gnucLpH0bFdVMsiKoG
JQZNIpWd0az3KARbE4dSJjKIRDJsyNXy9KDIjcryAEZQxo3RP1Kcc9jH8acsWbpHTwWs5KatenLm
3D3dn7etY8cjQKdJArtuuomhU4aZ203KRc3V8YiOm/4Q5taEbcc07mzCrXMASEgqMRBF3eYYHDo1
L5YkQH8x9R5qEB/LAaRz1v1lh4b+lzsY2o9JMUGgJLHpPqUaGdAOf3brc1Eh02U+R7Nn3ekyMD5r
sFOMA1ebkpOHAPsJJ8V/2jledq7OjacI1ACpDIb3kmG4OvUC3x/VnBOANV7V27gsRtCkkh63Pgwv
AUf6g43r3SkBar4nM7pxwVHvIYGiuiEhYKuh9ZG6qDG0ysWgfo1rxeCK2m+Gkpy/5M++tGbc1zsv
08bEmlyqEtIq2RnrWseEBUnliVS5gJF+zequeFWz/DXHU2lnBbfmldkkAARLhBTA6qxkjtVjGV6G
F6xkJ9yJpCXZApfzsR6dQdo9uvhETk6Z7+XkW18Im5E0gOWk87B6NmZV65CHH2k+Y2LuHtNKKZBk
xjTB8J2pWXZC4I0rAawgq2dIIdEbhR0HK1ueEtrNzVTp0YPXOdBRMZ9xu0sprKZE2cu1f8ZOFv1R
KFE7v/8ql1RcJpq8GEriaguluA1zXN0QgIauvGpeDp8ncto5w8I0KqenHiZvecHkq2yCehkH5ev9
a2njrpAKOFTv6blzhlalM2SOSm1uRBzgL+kM/8Kn6OLHkv03HBd9hPhQ4caFY6iToseFAXxT+RrW
w79R2Jdwf2AQtkqjbn2IAcLVc1oBZ1KmNvqQub20sO+hCjlRvnOANjjhLmrN3P8EzNL3Qu6/Nw9Y
WbhZuiiOcmlqW4mevcqI1DPyJdg+Yx9mBqVTVhAQsaJCGyG21bz95uWRwExSjzLnXGNAKB4c+JKP
1qQo/YdRUeaXqae/s7M1tw4CK8PVxoN7m6VY+VjhVRcpoKnHHjPXKo3+UoahMQ9hipv2Tna2dZmx
CWk9c5myGKtjl6chGlopAMUYW66LYtUl3jhuvBhBZFTR3wnnZz7f33wb0RIvImBxndyTmtDqiiHG
Qe9AWnmas4aWfOWU52W09dP9UX7py67iQgIVG4FjAF+yDH694KmLq3DpWkQsTRfn/9ZRqiUfWkvD
Ur7RlxQ/NEOPvMe58/AB7VVnUQI8kSzYLYC3RBDpRia+1aYZC1zMDUR4w2LoX+IxQb6/M4bKOsyL
cGaIHHY/P+rCqZovCdm6/VMhCuv8Ma9w/V6gQOzptGzQG2B4cmhA6dINvjm+I76GKQDXJFC8zPAC
zV6ciTICUBe/nnGWfe6FWjUHPURR5dAvLTOcW2arnw1DyV4qL4X6dn+2t9aUWhFnGWlU0rTV6bI1
pVVHw04CzQmrAK/L6hBnwPnuj7JxNIhrwCeDWaeXtS5c1LXuDo3tJkHuWOIR86v6U9rhre0khfbj
/lCbHwS8gX9sLoz1c7Tkokka/GADPYqmhwngxUGDfrgzbRuvrfy7OebQZYgQV3s0U+tUpWqZBF0P
rltxmhqf9QYwQVnBF6tMvXuOtLh6+J1vYxLR0SL/XOeC2TIYRd1xAPVIw8fXm00Fy77azXbmcOOR
BdspuQWoTkBpkH/+5soNR7ct7SgTQRrFpER8I0XKBJVyBODTIpwevNBNqheq/sMrqivi/YBo8h0+
UAo1Izu1vmiieqkmM0WvxZwb0jJPNw91XlcvRaOGlwLH78v9ed24S/lUtIYgiVAcWb/qaD5EFZVU
rCNwZzkvwIIxB0QAO5nj+Zs6iT3hhI3xpLMIpUx00NEOW+0eUF0OJASsM/O0rU5ZLLDVEknxgHLT
dFHr4jdeJnSFofO64Etv23oOzvQZrYsomIcGPEiXVWecZfUz9NE9csrGSWcoXkDMnKR23epZ4uoW
Y1ynUdDaiQdQztY/1GqlBRV6YsH9VdscinItW5Vy6E0mgZqqlmFZgWTTCNt0EW32Iawj9xEPmnGH
crNx3NHcpCYodQdpyq5evqXU8nHo0zhY0AAuPmBHbTR+RUJoHLGWgmE8x0LgjpR3S/zt/lduoPDo
soEroylLzHezOfEOr3WL7nRQLmg9PQAigcg5uV75r/RI/5BOBJ7nfqlD40jTfEYIGOybfXbsJM4O
tuj7+aAYlfltaCUHu+5756m3+Q8n2xLJS4SVVfz1/k/eWhgg9rj1cKgkPO36+kjhJoFqGbzLWFvR
IYK4d6EKlD2S+exJC27VqEEPoJMlW/i37CHs1TGU1hdPwpj1l6SpTQJhzKsHPSox0sXNYszb6YRN
XnKsm1g91F2yJ468cV2ifkLXnNCPF2F9XbWtOzZCbWTftRr+K8tpeEQjwzyGiJkeZjMZv7hW/jMU
9bCzNzbeOrI96hNgRkn51m3lJbZKtHJp+KZDiHXKbNifnGncUx3ZQkoQseAMaaLZekuZmuaqNyZM
A8BgmWkByV4xw+OcdH181nOj+QEMRnzrcmX4ZnUD/wdMrwtyzbgsy7OyxKn94HSLt2e5sHGJUrSD
go41DttsjUHLtKyN6dyDlW2a9DlxouU/24sWJJHm2K/msPp+f1dvrDIwNCaaFUbP+QYvODoR0i/0
usaGvotn/+doyce4sZ/ryP7WaMbfZQFc5f6YG/eOJJ46vMNggm+y3XaEFNCkEwDkyCh/tGGOA6uL
kCAeopRpl+pfNbXNnbtu4/RydEksOLiSkidT0DePv23kcUfoC9nCEz+oNHWHFuEpBHWW5nj/6+Tf
tAr0CQUlmJvmNq2C1TNoN5aNULRJYzvBtvagdDqyS60t8GKoa06bX9qdhQVRrNW4ei5tePBwO38/
HI44nNllSWmfrS+rssmUIakpKGgVZiS+k6r2S+tYIcQgu6vL9wfCNJ/JbBgTrtc6ELbaCUirSbFk
TPoMJEoZfW2sWBwSY9iz1dhax7dDycvjzToOiTJEUz6El6QVxUPdKz+MSoznWUvH8/113DqJFHQg
yyF+BMdx9TrmaEPoIuzhzOSTElR6rD4tDZeDO5fdwZ1a8+H+eJtfRszN3pQw13W4VhkGxbSsDi+G
miKCh8Cz2p/0tst/Gtqi7yE0t84guREZG42R295ZUqi12nY2XA/baiO/m5JcvHhgRdKjPs8VBRah
a7GP+ESy15Le+lDCcMDJXPKyHXm9hJ4x2WOMasllccVwkj4SL0WZqwejNOvT++eUCh5tZWyPOI6r
s6hMiT27MbynuoyWc0+f9dCakXrRenevArz1VeCDqZCACwWttBqqiwe1AqDuXNJyzD7lqhZx9mbn
MCxVvcfg2LpiCJxoC8p2602kPTpekS4YSF8qs3c+1SgmBH1oqp+B5iMaoHVj+0ya1QYQS8cfI62Z
vfx669UAS2lJ4WMZxK1iochMlWXMLRLDOAzVQK/Doj8vlE1+qlkU/lejad0eozEzvhEtZHt4vq2p
9n7pVlDY5xesNxA9PNoOnnNx8jn/2OX2dK7cFlcAMOTf3r+BKD8C44HjCAJX/pQ3142DM3Ri0fC9
lP0QnhthLMd6SNJHFT/7nb26dd/QOod/ZfHvm9KXoc/kVgpDtZ67PFW2gVIMILdDXIvJH9Jmb8Nu
bCImT4JpwIHdNkciSxR9srjuRaJ/W7Bf1vJag2JsqESV0Y/ZSnm9mgJNJZKI8nHW2+Tn/cndCPQA
JfAkc8tK5tPqyMxR1yxGCXBIryzn0LRddhzQz9+ZV7lEq/cYxh99ShAW0J3W7TbDRQZRj4Fr95Pr
nEd8smER6NODaNI9X6RfoenNWFQT6TeRcd9GU7nbl1bveZehV9PhYo1JahR+R2/jf4iGjd43rcpC
vCD6Pmt+RkpnPS2TmbxoVWhUXxcTMZ6TOVTO+DKiVzSdx66es6/KODhNkHazoyHoVEb5c67F+R9l
Rd/FhxC0vNgDjm6HeWzS5WmoNPUPGsBdc1KQDu8fljmc//VEhc5GEra6cdbHuT72YEKLwzh3cRKU
GRYCsuysIeUExTh+nMfQb7zM+6454zx9RpjPaw+6kZjapUja7A9tafGsaCGND0e99cr/WrPPADlX
bdUdRF7oaNzZSfe3UtZ6iEpaz1Zy6zb+YqfuPPmVnZpFkHVDPdBnwPsczJ+HW4baiw4AEmZc40nL
K2vx3co1X4Q3i/QbGnmGurM3Ns4c3D6SbU4BG3B9vOdmWEQvzxxVLeUwjqIKFEMghFVYSzDohf3+
QInxJNAJUaNblRAMnqLQGqGn4g3mfC7x93jsKoBXg+rtnK2tXc8dCIWKZjnqBvLP31xc3YDCC0qz
URBbZlqenb6IooOWRm571hNR7CEQN8IJXj5p3wBti2br+ijXgB3InZVLDzDozPMY/WnNU+sL5JuP
wsRzlsrxuJNHbH4jf6sUkwXbtD7Ztd3gCKPCvi+GsQ1YvPAFDS37I0Tn7nT/qtq6LOGfI5CLJhSN
utWD1zqTOY9tQ18CwMpAR0iPKFpYTWKj2tMI92hkuPEdkkw1H6FbIcYmYseoL/d/xdYHgzuSLVco
xzfvPtT0HKIE1cIqHqNX0LIYBi+N+zVXcJK/P9SvR3R9lbFLqZ2DmAWbvPriPGkco0Nd+9IQCM5/
9F5R/kU/1Kn8KkvM+Jxlyzifez0ssg9LooinqKOB5os+tb+n6PG/5FnldYGRWUpxRDTNpntrgWiC
gqSY4nMS2dgd49flJL4S981rnRWpexhb3Mt9q0uV/FDQG/kb7Ib4SqhaKGfI2NojPkdZ7I8InHxo
ojD5DbaZFJv3pFUFsMz1Pp6oySk4KCuo3uSvaWp4D9VsI8GsTsbOWm48flKDg3GQ2uYJlifq6oAK
3UOwgROTYkMeVjl3b1klO8u4VUmi1EyrkcYMt8E6NSuryvSa3GQZE3N6qksDWQxLanl7GlMsCtP8
XwUX/zTZ6fdxiBMEi7Sf97fSxiXLT6CKBGh3Qy1G6ylkFp7CMUUN4KKYaTb6ZVItJ4BC2llLi2gH
NLBxTLj2KPDz2JsSfX09te1ip2PWojySAm/3i3DIDqanJA+9wtt7/9s2V5EYmGvvV51sdUrqZTKE
1RvKxcLw54K613wZvcbaATpujUJiLQFdUlV1XRRKihqXmDFULm1kzti0AIzXOzC8979lc69IkBxC
qpTUCWCu5610lcSdZgr4atjgzAsl9lJMhvlxsKl8W960/EfPWrV9c/DsJyO3lvgIAsz+fP9nbDwl
CKq4iOFxo1PDWD0lkzfmuAsllPXTKb7MsEwPQ9+IE6Epys/e1D/QNtyT+9saVGKVgB+ALYeNcf3p
NZ2p3IxGutxxhPa6qoSPhtYWzxkqnpgnFPUXva+78/0v3XhUUI1hg3IRSFOP1RXQtHViTxPCJlGc
VF81xElPUVcDUlyM5DgpTf5hgqh+iCdeTq34HQaGxJtgikWCc1u1UdGoktpsnEuanM9FVxVHzat+
hi6VRkm6ffdRoa4BuAMcOky8m/aX0Dqt0vU2vMSLo//pGHMs6a7zztm/yUwlC0IKuEigM//Io/Tm
Wp31uqs7uhoXr2rdz83QVB97T2+PfdY7L3VuOJDwKkCJ4JfenWgwNKQSqeVIOZmY/npo7NJCgZ9D
f5mGuFf9xY7rv9pwWWbfKaxwjyJ/e1qldDjJNy0p2rW0Ja6Hi2bXXCDZ4gYzEEcjSlAqGUqcYok+
Ds5U20etohB6WIoqneEbVpnuZ/pYEFNblhA7eJaNaSdB9uhZcnqkUM/1jxGis9VIFAPfXiAtmwLc
z08Rs/FN1L373VXr3jxHreGMNJUskon7J2ljeCrK8oEhPOI1XV3D/YKa6kiH/0LYYhzKjsKS3y12
6xdpMjy1BajOKsucR73Pv71/ZIjOMrPkLb9pVng4JlFkaUYegLBBo6TKPqiFWU++mRfjg7ZE7oem
qfsj0OowuD/0ykybuB69J7CNBNy0iAhXVjsAhTI8QDxrvIjFGR7TpjPT41yE+lEf4uVh0lrlqRK9
8cOb+4GuUdKehWqEfm23i+xhNj5qePE/fVjsqf7c3KZSiIoHn3+BHLINGRG8OYSlATE6Fvpw6UfF
/or/sIcC1+I8wEFY/my82HjtzWx8vT8dN2EGxTeLYgaMcxIfHuTrQSvANZHV6v2lyipVPSFvmV1a
J04+jl6pNGfIiuaeZd3NuyzrfSYCZ3RsJJ9/vevRc9dFVA0XryDvtfRkPqmUwU/3P2xzFLBDiGHw
WNxAxbq2MYswbIdL0/TW/9D7rz5SXjB+YxRyNF4h8AKyR3I9fbWZuUWTULRoRtdCrHkqseTx9joF
W99Cw97BQBryH0n39SjtbJnVPIzDxeyU+VA1c4xzWryr8SKv2qvkhYUBliMlI+juUba+HqaqqVTY
aA1czNFxH3q9jJpjEdraJxHVVnKsAMd7PgUQ62VJyvITPp+le0T9CluFucrcvafvZmvC3gBHgoo5
AQ0dBXl9vT0PDhx+R6sXKU6Q6r5RUHVBgFwtY9/2Sl2h8T3N/75z18gxKa/hHAfN86bJ1lVlPLQA
wC4K4emn3uzal7wKx51ds/llkGVhwvCu8yBdfxkWlJaF3upCCINsb2li3yj6pP5C+1Z/0JLY26Py
39z09MM5avTVCNKImlanPJrQ4GbV58uSmeLkAWd7copG/DEZceVPWuQ86FpZX6Iuid7bQZQj00vg
f7wx1JKvP9VOaAaBAlEvilJXZzM3ks/mTC/B9pRu72KRf9fV/pVj8Z6xehIUu04OXQOuZlcpywVo
s3lqQm9+6ho7/mNszHyP7XgbSDAYqnfwjAh+iWBWt/VEhxDZOaxxxkypvxmjHn8gHnWTcz42g+cP
Jhpkftda3T9j5Jkv7uBNH4WgIrgTQ9zcDbRppNoXdwN0Llo21xPsRl01YHuyXPRaLz5B1ujOIMHQ
in7vwdCQNSLD12GtajBXrocZ8q60hMOWZYOFwo9qlC8OnhZNe7n31ve8HWj1OqSanit1ZiwXLVfM
D6IZ6lOeZu9GXTFrb0b5hTt9c7fgL0p8KOblAtm49eNiWD5Xpvgn1JfhiP78tBNp3Tztcjj8syTn
R7JK5Ue/Ga5ZkHqMkYm4oIe1nEoMU4LENKeHUSy1X0gNoDGnKPwbS/Zm0NVMFsWsWYs5LBfXmrQH
lIfyx6ge9Z39d3voNAokEg5FQZhNuLpaUqx1THvhHOBxPX+K9bk+dY7AlRmqw85Qt1uDgB2JDqiY
MopbP7aKIuKuNQfjUihpfDRjEDxm3+5R324/SI4ijzQVZzjGqxtLVizBHKLVj1N1fdDnbDyMxlT9
kfRU3++v0O07AGCFjQGDAOjoTSorTD0L00Q1LjPUad/F1fk0L6176vI8OY6gcb/dH+92G0oLTAJv
yZmA0aRfb8OO3Z1BdsenxMuGB8zE6r/KUqDdG1VRchIZNtw+UFZ1pxCzNaOyT4AiIKtHfel62BKK
sINOhHkByBkfQeoNh0yjWV4qhrqz57dmlFqMhFMwrUCwrocqyORqFZuyS52ldRB3ffoa1fbytOBe
8tObKdnu3IvyEF2/OWDNCJp4DXh5buSWLcRzkyqG/TliifY32vBO/QjZG0KCUeUlish4FFgPWZPj
zUelPyhMvfzn/qpuTK/s5xIlEU4Q6a5eolAf26xKCgS4Qtx0e8/B+DENtZPrinfrpNET4XSwaYkO
bxu78xzTpYqgxS+lET9AirOPC3Nzuv9BG4sINYZDAUCVWvoaNwoF1MoHrlGildqhNWchpVFZ/RHi
aPWArwaOpvcHXF0sdGJ52NAuIcYE+UMB5HrXOKAACjpMWUBlxX2yQuSqOzPey+82RoECzcsCggSA
8Trbz5oeC9M2y+DrpMULFpTNcSndPZLn6ozLb9GxzqOMo8PzvGnOOWadphXQz8DUit7P+lQ7IWrx
P2fQlso3Z7Rn/AgkxM4Mro7Br1EBxJDUUUOmj7uKaPuu02BZNFkwWknxJ7407eMQYtqK7rAoPb9M
a0kj7hNQ40juGJ9Sl37a7/wGWNHsTclhWEMvFcOcJx7VLEC92f1iGQRcuFw5fh2F4mAnS/OsKF7t
27PIv2dmU73e30RbE0+uQzuPZJp8U/75mze+ymj9DmVTBrSZUbicR+NH6Ni1T3zWHXRFL54hh3Hr
vXtUA0o98gH06VHhWW3dZWym1pvrMlggm32OOlV/qO2p/dqqk/ssqvRnAgbj+/0xNzYy+wuCiEOT
67Z6o5VF1i3NUAReWRsf61Kp/VhRs8v9UTa2FPADHmCdWg2I+1WdBqUmAHK1UgQo77p/ubUQ6Wms
x7S6ENmgdpXrUVHiahQJ209LD3mTqg2b5PP9XyHn7839Ljc2ODZK+0T6tLHWra2xc70eS+cykMWE
76E5/DMXs+UrSa//eX+krVn9BTokQuQiX7+SsVYtuBXmZVCHYXf2ssg6L8aUPtwfZfN7uON+PRWU
luWsv9mlcZvEjdksRdAKUk9akI1fGqFDpqK8E+70a+pw9qCkANFHumFfD9VaVikKXNACx5n0r6OR
wQjtFc7uM2LAMgLWy8EOIhGL6kgh0srffzQozVDJAFHiUK5f3UnoxICkTboqWPpUObb9MAd4Mvan
sTTzI/rdRDxTZ+zEOhurCAjJMVSq6FLHfzW/oygjvLyGMhgj1TgbYV/63jTu2TFurCKsGHogso8P
fm71aQbC/OT6YRHEWmb6aVJVD5Who0KnKMPp/oZZ89TkMjIWBRGTpFou5/Uyphm1e1XhtLd13EwP
RhPWrY8RTv4pG7GgO1cAz58iuxnm44AeTvqkw9hTTs3s1CMuvV6xJxa4NcVo82AaDz1Ov5F3nPI4
6hdt5uOHqfin1scOMjx+oTs52+YwvJ8grCi83eia9lOb1sQ7ZZDWbfM5GlMnwIBWOd6f3lVl5tfs
8teDSJR9kBuyfZ1kejN5dRFYg5cafkEx0z4aeS+0cxfF46M5xyhNi0ERD6WOBOTO6m58pGeSDlAP
h4LEhr1eXA9/t0hplyag9WH8qVjl+Kh5vb4zlVt7CP1lAnIpPkGZdDUMnYaRvCRvgkgx1VdPacKP
VaM6D0qjtYcqNZVDhXPeYRiW7ox5o3fQ06n+01LydCeF3Dg49GghTNOz1EhHVndSMvWN3sVRE4AC
KV4G2yq+USaqUVGMhp2bdmtqwZyQrYIk4B/5U97ctKJKlkkTdh309LROQwF5jj30zhasBCsRjEsd
KEgnRH6rmwC6c6iQKaeB6hSot2bsNL5m9AbOKM+neqYU336K9HB8p6/wr5GJdCQ2ARLwDVg+KwiF
RA0xkHpl9MXo4H1DT+13iNQ3s8j3AR7iAaEYS1y5WrDQa7rC1VIBh8zp/QLao1/M9d5Zv92gchi6
BbBfDRLU9QbNsyghQg2TIBpqzvicQ0LwrSb3qpchzcfwVY+7RX0cR701zoM6JIDZc6tQTnQAltT1
EeQQenD/aljLtfyaYdkWlYRcEpR1bBdWRas7cSuCopqNiXdLJXyczSinNzqx4U5qHs5B1ZSL48eu
8P4xiH5DH36YKj6EcSIbWV2a+mqDH6c/2Ub7Q5shJ50xk4v/bJsqLRBESpM9psrNIWMyUYEAgw5h
lBBjtWZmPxQxPk5pgArM9EHYRRJMZYY7ZZZ7O8/t5lAEF6CpkRC5ub8UjyZx7i1pABspvSxtrPtT
mTqXZMle76/G1kjSip7kF6DqDd82yksgbFEnOGi57XdG0wVZOBkIK2TK6f5Qa1OvXwsP3ZU0Thai
uDWvr44BxeIIA7E0INbU/y1N+mRQ1wzvVYHRNWN5nOV/1azBX0KoqXi0Yd26vhb16g9Ibk12qJve
NOhtp0r/bFWD9bnLOks5OVnilIdJd4v/qWFoav7QTsbX0sWL1dezHLTpGBnz3tdsTtyvyjzootu7
X69B8tNwF4EzYlAGhlj4tdrUh4HGyk7Et3VZkMIj1g3hm7O8ClVwuIwLcMsiMBMMgJd+Tp6AbkXn
+8uzNQpPNjg36VFGyeh6dQDkdl7mOCKwheceRYzsUZnM9vH9o3DyeZsButy6F+Bdu1DM75PAymfr
iN2ccYZ3+E47FrnTuMHBfkiwq2TtXH9LAl8lLvGyDMZUjz5NLqrclt3n77/EGYU4EkA5KP11k3lW
7LEw+ohR1Lk5wUNKz+jEGztRxsZGow9CBUyKthOxrq6dRvFKqn8pd0FRz87JidIW5cXJdQvfrjDv
2dkGN5EbUyfZJJLYSgy1ft/TPEaCsVtEADxkvvSDW0AiyWDledgEf5u0GFFwVRh/q5nYy6zkDrtK
SuXQJN7Wr2vvRi2tjR1bFlREUHqNcWyMqFZgPmmLcZnwr33W4mn8WgB1+w/1YuffWrX+vb83t8aX
ks0WiTkM7/UJsEMrLYrGS4OhyMv5TNTnNrCHs94NbC9NI8wD6+ZzC/yuP3FjYXZgLG5a7gRYcj3X
s4D4LKAFBAVvQ+cMiVAD95U0iNUhfzCmlovYBLr1pdNE8UecikR/rM12r8S8sc0MSrWkH0SS7LLV
NkMQfUT91sKWdLSM+RC6RW35CdVvsLfQGN7/wJFEctHIkhJ5+zq+MxzQGFZRBGU9qrqv4Yz9pXbr
6N/JmO29kG5jRq8G069vg9QMa8tqQjL2Ps0/KK6Ijuj0q34rXhWhfi9Dq9w5RKtSr7x/kAeg1YIS
Llfq+hD1STfWXmWmgYVi9OCnmRj/bAvUhnGgTlRXKinl0/P93bvmMP8alOa+JRv9FAfWSNeyRc5z
wOk+yN16+YzOe4T02DRf0LrDRNouxvOAbfJxEraGrWY5HMA/NCfix+Z/7Vzs0V+2Jp2HEVw6LmpA
olZ1LnZPMrW6S2BhCT5YHfrHyXOrpz6KxTEkbwIunuJyfH8SNh4xeVESVlOyReV29Yih45QWtlKm
AZ7oy+euBABWq4r7v/ujbC0vnRgohFIgxV5H70j04KjeEcgssaucC5ypzygS1H80oA++pNik7zya
W2eTM8Kx5Lxw1FfPmd0Rnreewlwa1JuHZSpPVtRjUWPne+L820MRl1MH5dFZNynUyZ4wzsjTwG50
y7fq6X+VqS2H2bP2DFY2lwraCyBBOqw3V4BoE0XJAO0HcS+KJ9VRxseQ2tpOuXXjOZOKokTRklV2
I6zsqU3bOyOJFqb2y/CxCNto8icvWepTgip/gwtzZOhHL5xq57GIy/i/+1tlre0lTyW6HdwECCIR
W62zhsVsHaddCOXTwkXMEeS4eokUtAYCZWnS8buhJU72rahLbJ1diuqjnygz6vN+5znl65wI2zyK
SjTtYbGEWZwKnDTts1d52p7v2MaC8Es9yAG8Abf8J3DGhRE3nJ22JatJsyT/QHFj5+hsDcI+pi1M
L5NhVlt5CE2qv6Crg4T2/QOJTepby1zt1EM2DqjMLdnE4Nepla4eMxSEikHKggbW2DhftHBOPrbW
lPw9V272WhOr79kFbA0otZKoF/zqWK7eMwdEoxLnQxQoZVkfuwQtzW6K5mdXWX4YNL9P93fVr9By
FSQQqdMbBekqM/xV5akKsesYyyEOurwuPxv2Eps+VL7YOtLzLv7QxnAon91QteEK0vG8jP0yUN43
x/nRnhfdOht96opjIVtufwuRGzm4ABHPR7vLB8NX5zQKD50oJvPQT7oGllgz4uhke4mRUtV2Deow
cHwUv8iFphzKJkoR0JUSPOdMzcuz5/wfZ+fWHCXy9/FXRBXnwy0wM0mMiVGjMTeUGkMD3ZwbaF79
85m9WmMeU/u/2a1at2SA5nf8HmprvBqK2JvTcZO1l6s6Gtlag7+MjqOzddV/j5EMxCkoyH/0ly+f
SOe2fgyNFQ0Z45vDGmOgBNnGy4t5Mm9c6rWXzVaVWpzP+jyg+r2ekPzRyngVfsCWmMuiddvP89zJ
R7iLdlY1lvu/nC5mmQiBoBlFYn9xnAt4Fb4qMXVdHR3lZefdlI5Pv4kT29W+W29JH772jbLwZNZP
8Dq7Uv1+f7tqbA14Bw9Z257yygvKvMec543I/EqmASeNFNV5Q/3ndtpGh7wcktC6cNzZhto1OO8m
NU4fEQRpPv39c3nthv59qfML/dfMEoIY6swxMkoTdnWZbzXqFHWIUf0PV4FpwFAAyAQiSr9fJQz3
TSxnxkwpxzFtmIuf2OK95QH6SkJjaQjoEOm3M5P5RQCVldgkPg7lZRF5GII0jnWADl4dodW6Vyoc
xamMpZ2Xkpj39/t77dgn/6DyfDgbaIP+fn/anl14R3xhejNVNvHJn7pFOmnScLvrooLs79d7pYJk
dIlZ5FlLhGL6xalPoIXRh0ZIlvnGuvMnJz42jP+OpsRhDg0VCXHWvAUIfPWiZ7MHtkL86+WMambZ
KusgFper4xaHZt2XTI8iuESSJsqXLpgvEmaqb1Str3wKyDthhokeHBzV5Hx+/3U+oykcCsua0LuJ
W+emb8KZZjfSX6wl8Y5/f6ivXgoeFehc0jyf+O+XwrAxXGJJ/m2rKj7qsJCpslR5Ew/L0/9wJXo8
IOQk4OAloaluExWoHkW2OBgGnTkVBgos2Dr1TWGL+Rb2+CVw9VxnQfChwOPbIwf/oR+wlaKfGyEu
p1nraz+2mmOE3b2XxnEZfppW1PwOgdp3lfnF5D/6nTdcD7tSb61n/58fcl5+8bGwWnxxbMt+iIZO
okZeOYOXC2doThh/6ePq9liZLolFDzgsPAqnizNUs4hKhR4Pf3/4r3yr5+hAjoI9RxPm/v6aYfW0
a7Chxz41Gim1OnpSnjsh6dQEDFbC6H84wB5LPya7APmZ7P1+Odmtvlt0Zyv583wv7zZdQU+cxY8Z
fPRbwpSvRHNOE3supsgMrF8uNbZux+Wl662LSq1rBjNvvDKNbV/+/Qm+9qGcwYtndVZwwS+ToFFD
qAMJ+Xfrq2nJA/BaF6aB1pUuc+V9+/vFXn1d9EHo75zFzl6uu8Rqh13nwjgU0LeCrJ073lzhsAWp
Oydfd/qCN97Ya1eEgoDgFoMu/w8jrd6PNnILHHaYCOjkx77SwBjqsriRVmjmPJAqst8I6K+9OAYj
rPDPoNA/IKhDb9GoSV1e1lXNZ6j8BJJA+NZVXovglGXUFUwe/pxjF3CLWO1Rio+tpQFihJgHn0YI
a0dU5ud3M1sIfMc9EZz+/g5fOTDnVTP6mjD+IDu9qAqTleGSaG2OZVA7V0J01aHx1igtgA288fKc
V95eeAYunFdRsJrD85//K2Gg+r2bpF6qy0WUyj65qpiHXLWy2DO9uqP1pViDITx6ylXVRRsG1pAV
7QQyxt0LoDF2bcef7FiwRy0br7totFrupZrq8FgHRWC/UTi89mT+/WtfRMTRMrWcJ4W2CMCR3DcL
4nXr7KZYav5Hb/tzFgBDwW4JtXbcml42fnKq2d+xo2b+sy+f7W3vsq5ldexZ03Db6d7Pp3nWb7z5
85t90YydSVJUkGCr6fZfNH9IL49DN1IzRG1S382rY9LQckSmcdLO4lBaORoY/jdej50vOlF3fz94
rx0GtsgED2aN5zT4+2FYOhHOa12Ky9BtvTYvR8niNA5m5Z7KDWOO1NiRfqsHeqUMpT0ABEWhS1fy
so9XCJIBxMRNIbHc6p2ju+kYrGuT7pZ0OESMWB0sAIEKiv9IvfnnFVOcUSWxc2FI/uJ2t7KvGxcM
5qXVF+FtF9k9Cz/hZG49Rm+82NeeLKQbNA/PYDzWIr8/2ciEYPXUeRdSF+eSfvCckwob9xT2TC5L
e9jf+FJee6pwKeiKgB9ASnlxwVqr2gMhWF+Kcim/rlPTA7ga6sMYOCa6qiaddCkhMznSvVvqjYv/
87e/OMe4lVJo0/MBdn05qgq0U7DVHniyWtQa4qjlD7mExyGuPERPxkNZdwv7zqUUuTfT8rIFEbab
jl7c3lpiWu/L0QIW25Tu1N5COR2DrC+d4iry9NzcFUU13yVjPL5Hkxc/1L6P+/04xkHXvvFFvJJo
oJtCYyJCYqP48nBuoxh8pEjF5dDX2y0mo06Zaiyojn//8F67TMLOhP6EhdEfUyZoTw0KhFJctotl
rmONqFLrR2+JgL4SPZGORTKDI4iW8st6MpyCXYdrqC77ANZL7sFAQRfb6kHI+YyFH/9+T+4rRzBG
gwuAD8tTEFQv0tiCyVPfnJclhTfF5bGY+m1JQWi5nyrlrzoLRd+WKcd0dk/GNX2dos+ZwLCeNiMf
lRvU+5H7qGRuaqOfPDTf9szf3FFeRF3EX7ApCwV6ncTFdOr2crtboWast74tyvXTHIZlk/ktfh6Z
HorSukLRdiBjLVq+80vd3sFs2oc3XuQrjxgmHyI6QO8Ysrw8LwihKB1pT1Ett2rPimFZT17pi/5S
1/zzjTLoJVX7HMHwSAX8A+MHPurLy+2ynRfc/XjE1eLEGTpX0sm0skeVtoEsdSbcWT3OmCf21zbU
cfvUl1a9pmEZMWACVzrFqbWMjmY+76HLuO6qH/K/n4PXHgmMOHD91PQIYbyIsq3tqH1bwNu3dcz7
t3t9tDYzpYGU/1Hr8p/HAWkU2Cc8MhDfLy41+50QOLrIS4RSnSNiaPPPQhVtpt29ff7vd4V6NFyP
83aV/dDvAb08b7d7JGAu7bmLj6bxwnxG5yQLm/bz36/02mdEfgIgx3gWSd0Xw5K1aHSzT0peMo15
lKqKDwnqk6mNaMqdn6xLhpVLk69OX7/RSrwSlP5x/zk7yAKCe1mMFHNQ2irgaXbd3B88Y6L3BvDX
f9/fnlVhmMog9IVqyIsoISdfttM4cTywa7vYG6s/iA2/L0s7bym7n6vDF1mJSzGPJDMBUXpZ0lWz
XSjHrrmhuBRXQq1tNoZ0ZJU2DgnIEhkU/+7+76/vleOfgIDghABH+BPvXMxnA5QF6kxlxgkw1FS8
qx0M27qoegNE8spBOfMMMVCixvhTZ2eu3GQkGjeX62Yt+2XiItd7JQimfTZ4G+yOve627WYBahp+
KsvYLd4KR69UOedtDEGZBPMn7GE2o7LLzobAY/vVz8JiZo+XtKg/O6GUQzpFofqMWBeTWqT/6vCj
ZXqINiMVb5jqwK9u3RkP79OCIsM7MF4Yy/ZrWfqpLKDXHv7+Xl45DDQ9LCbJiDCDXw6VqshfdN2w
TespyU7K3cK0s5v9ogu8PZOK+r6otuUNsverrwiQJt0k8yW2DL9HjbjvVruIluZSR9L75iSdvDdd
u9KX++JUT3NzrXi+pDc7uPz77b42TKLC4CsmHdMxv7w00yPTYgbZXLqREdh4K6jYKUyVvc4kUuxD
TqaREkGRrm+zZWkcD5u72IOivQzWx7//mNe+CSgAZ+g4xSGLyt8fw9x69M5RIFGfDIc4pb93H6rS
H87WLfa8vfGmX4ljsGQgyTCLPZc/51/zrxaXLluJricBAf2LoDlMCDGiL5f/93ui3mUacaav/aFD
VFKvMDjUXEU60R0gWi8VtmkPJXnxjRt67TOjGGWgDQ37PBL9/YZwH2wGaw5hsAVFc5qUiqrM20T0
dWtW4bEv0O39f705WLjgiMBTUcxR2fx+RUSBIe0ntbp0JeLtaezjboj0Yj8HabdjBf/3q70ylKAS
ZvvJYDkknL0kprQ+Y0CrII7ES4yquO5qtKRbFTRfMBWnk/HVFA/ZDEGwv0u6VZRpUSTAx80YWOYU
kogN8+FyKQ7tGtbiEA7+2h6G1p2LFBuKwf/PLwTFYqSZzlUH5LaX3Z07oWvSIvN5CZ18PFTJFlwh
p4Itcuw2t3My729cL+Bx/57IYAmznQSjA3XoDzMP8HQ9c5euviyQDs4oO8asjrF1aL0lunjjXZzz
78trUX0wIGUYBc3jRX5GOQy/NGeWlwQVM+VCLwiyh2dZ6hQVCftzR9v+rZDT0J32aKx0ZqBrbCkc
1bqEKz30TTrMSoTvQKVvV3IrkydATKNGCHaz4TGU61rmUF3DNV/qlWz8xu93//z9LET+0dcEJsoy
9fejG+1o4EYDAKoqcsYPBeO2H2tBXQfV093DbCwC/xeNYwILSiVEoCby60+qaZS5DluJRrKAT1O9
UfT8+QUjU8P5BhjD4O0PrXKep8Zp7pyqna7/7FRWmHprkhwWtTj3vd6+/v0hvHK58+SegEuN9afm
fGXZ6yqXSsKcox8RqJbf6HoH0JSEDHX8vX6LNfNncuXTpSoGEBC/gpWpfUK81QRgf6q5+rgKMNmb
bRvI+36MNajRF8id12/UP3/GeTDNCLJjS0TByk799zcNG6CDw9Ysl31jD4c9nuRZZzp6I5GeP7E/
jxQrU5paqhz4cy83X6GqCntpZHI5laMnjiEslvKmNVFwSBxjiVStmJtnq9iib868dtNBBNsU5cgm
LCZVsbU8YcLSumdaWvgwb0F52xdSqJtgmPBSGx21DNewSuYpW9vNdKyZR1EC6XHL6VSYArGzoZy3
5cO0tjJMqx2f8WxrCon7sLbViOJ9lHwfbWk9+EOgPiiybMkYzy0e4rIUexpKyqoc2KH1vKNsZvJ2
X7obR5Xzd2M2qa6Tfdt+Bs6y1FAjgqXNvAZeR8atCJmiuIdmIICx6cv5Exbpxlg0OA5zIEy2J5Fp
PqBUJj/brWoeotrtHpxtr8eTcOX0RcTMtQ9Ote97Ksd1xQ1IF03zC4kY0V1qZkNWGidSrGkf4On6
aS3aGQMRuJGNf1rXkNVJYmnTfy8rjxmhMUPw0bK7+Ee1JkNwqKjD15OLM1uDjEIzj9eNxar0WkGX
KnMdbLJ5p5Vl7HeAxj3vxyKTykoRV1r3n0S0BrWtQbrA1Z29LbIqMfK9ckOLjDeOvfNBtsXwSQVW
US6wRbbEftq3IWkvLHdYvfe117GbxQp4s11Cc2S1crzEUxtg6pMbCx1m4LDajXrXC57YLLThOxp4
c2rMPkyZPnvlXGxMnJYLGS/ySRSufmBhTKWigDPcaxsJ7otN8j+koCzXNq9n424pCosRxkFg7nu8
8MQ6ZACIyue47T0/g+9Y76lulXzsTLlC7lblytJiiOOPCBs7EkSYEl+HoOgHKGaj/Daj6CozN56o
yQ3JLgHjBnDvgPmIGlLQPM6eql0C1ZFjm4C5gjH/VJTIr2WOA9gDOH5pyhycWiJzxr3bl8II54Yy
Zv4GiGhuD6KfmvGwyHId0xGvO52GyP3LLE6Q+s3GYJ+e+caDfAFecWempK3SyszhtdXqGKhdxOJR
dU7jZHQiTVYXfaizJRHVnTWNyP4G6CnrFJq/ftfUseww2+zGL+XQyHd14LUnq1X9D+OFKjm5jXH6
fMI3Q2YJIsR31dyFdWq17rJlHP+mxiYRRZd03IPol7N4xcOOU95VV2/VdoBVgzdYa0tP5rNNnrkW
w+BCLml6/0owr+5Su1+nd7qqDcjdqCzunN2uHhJSqERWvSo/dU1Rf7aDYX8UVj3tWVAJx2S1W5Q/
cUISVlq5i6yyBpZlmVrYkJm8aKI2vuidefviuYP3Iemlp9OqK5svW7MH90np6zXbBxPeaAWyNBdV
vP7sfMu4qV465pdjHHcCBpf2oP5PfY2Ad6QqOxfdYnSadPti8d91cqhjPRY4TXT1LQKtpcOdVdFQ
53rqgiH3zFSZn9D2+JSnpApE3rH/kxfWPPjXipXZ7V6IJFcw1FEywXTSpMAO/T2bF+i/ecdyT6UK
7b5MyWn9aHnhOOVmXt1bv/Qk/wjaMVf9Hqts29dAZCrR7UPVjPIZ21wP2nDbO7xdU0Yzp7BtPwwG
V/ssMJX+Kko5ldmwlWpP8T/hA1nGbUYZOmiHH02A6VVaEMxUPuFQWxxnEYZfQrten6cwll+8Vjfb
YQ6XOciSKRQfgt4KyxN4cohAph10mQs5BhqIFoPAnII/cahyymJK19JyT/7UqPLodSyR0qWcxvdb
49oNkU6t94XrMvxqfermtItq72dlV6U4mBHBqGPTmJjRDtuXb97e1iKPGZVh14oI3P1kiUJnqgqD
r8z3xvlQW+XYpfAy92eLPe+ZxrbFe7o7lvmK8XY7ZklpqYvRp6nO1qFxEJtAl7XJQ85MkjpW336A
41Y/ALAAA7ZM87KlSWLPj2VZDJgntZ39Hb+I+asEa4GEweQ2jzIw4XAokfUL02Sd0X2MKq6V1VV1
5ljANgvSuqj657UCQpSPQVirw7JsUZQNsS1vXegAdw6shC2bNyFmTNeE9wUmNzNIu9Jxf1/MdjiD
SFva7/sZYMLn6FjjYS9brBPdCKdB31GzneP0No9ZHIntSw9Lh9IUy9oAt6cWi+oGbU30UHAxcNJ9
dBHOZGiLxm/Y7nt0iK01AoMTWcAXwKkiour7vbns7CIoTlPXnxl/kV/xUNyNiX8WNI1rZW3vOupQ
r5b7hfFANyD2ugLQ013nPU0qSd7DPoJuGBk4LumgOt3ibSnNnbct/XXQiClK/XIE3ESKbG6NO5p7
v2v2+04OnFWEwsLnuKCOO3Q75TSxo3GvtrpB81WOZTwc/Q3bujTp9WyAVSIHmlq18uW1Nyz+ZVVq
8b3sCAu4IwrRZKZehvvJ90RzrBdILgtj/u4KKZ59YP3jT5dbPznfMR+sscfo+Rs0au8VYV7b5aEd
o/W5X3YPSW2IPUyT1UQYtKcueQ/JoShzo010ctx2GjKvCMI2Q/Nz/hW0hQzSvbeFONZmjhRfWZk8
Q+IesZAlmljp3pEtMwUMUGDmWmEFyg5aPesqXHZqC9Exi+6kb1IHWMGcOeVYytRZ2+RWlALRFNsE
W2Yk5lap7w31wyK1+NX17rrkRaRiw1TbCu9Kz+74/gPLb9k4yYACA1VTAEok1mbgPae+bqfbPXb1
lBlK5o+FBR3uOBH7L3W4FUm+qYLiuCcTucwKjY6BU1co30LVI+uGYTF+df3O3QHhlM3n0eyJPLQd
ANgUN6n4tkdvYMmjreBMdu68TRcNbLVfXmu1HxqrxVAnUL5aszKO+yZb62TZctOcoxZbDHO3lV0V
XtRuXb1Hqgr7igm7PvAcwbh8aHCQMCfTQfI/EiXsDzGO8BtFgWMOnVZ9ckMLX99hb0HvO/pDpPI2
MEDdjHWGS5BvDBF5L2V/sCtbzmlf2qQdHNtEhCCOtKtryyr7Lp3HTvbZCtmC/LhsPZ8o0f5Xu8/1
B+TS6P4dX+AZiyvJ7l7sc7s9JY4uT1PYBgnfy7x97kLTvRPGmz/btiINIrnP/qEdpqFIO5cIm+En
odZU+TbJ32oaZFLiCNxBOK7hNxnXfGH2PnpXRa3imTtg9JkWI0E5c+Ta459niaVLS7cL39PLVVsa
IWDb537tafuwN53rZpsYiIujtwVBDkgHGJFEncHlE0niW0BAOHNEhSia1FpN0XL8hHU9IUqh0n6Y
Fv6wWpLbTrK3I89EuAoXa7Kup2VmZ8j+TFJ41bgG/OrdQFcw8yligVMqjErl5HJWCqObJ/xvtwKp
ZOF8Uqov761AJw/RZJPkS0lM1zU2T6dViGI8jrhkIk0Uus7IhLq3OlxsttDiwLcWK5Sw7R6WxF56
JneNvsD3VbQXcqu8z2rU0qP/cCov7UcXTGOiR6c92oPlA+gOwGjkbDUQP7TXtrj147OlsvDZFINF
CpC6pMOSmHUaV6xHwapmRoPMQgZ6g16mUysMmh/abffxovWF9VEpG5GiCaD6vXMGiGTBiIBaWofA
x1PQEe5Fq6yN/R0KsFiPbav+lFT9YGfNHC+Pk+2U1wIvGZM1oyeHC/pkp86gVJBJLJqdhvJQ+Tej
X7TsBmPhXK3GctaTAnY3pTJe9WdkUgJ+tR1IjL5MaD82fV1frWGxNlkbIVaazUO/fR0A7c2pcKZw
xQjY27ZM6HGZU2Rgih7H8bURB0dTiGdJS2eTc1SdNmOVNP4Ujb+gVpRUUZ2SZSz7vWMBBHlHcxDJ
1EU2jVZqcdXHoaq6KUX6x/0J7TygBElaxKqjoVeHtW45ZD5GLWuK4MfwoQTS2KUoDxQ/PO3MX/Ze
jVu+UXy0PKdzJzCqTY35YpqZwXm8NWNasLQEfTMM1aep3pNbCAvk/z0043qcKJP8tB6S8uc8eMV3
1p6OyoJ4sJcsLPyeyyIjfNOxR3oa/YAKW9jhR4Vg4Ji21tjclL3NAta0wfYdQyGU4RMHHnTmd/20
5obK64cfOOPXs8KYdVypRx6s3dHPqPapBg6pjs9BWpk5baheviu5cHvuZBamy/AAbgr2MevRtWT1
kxZte5a9FBMLAckR9VU/NnQTy7CmtfAJwsUW8IPX1UG0RdJjqIkRU+HN70E0BH7WtL38iXnU+NMv
E7KG9BF4Swcx7VU+15b/4Gt6s8zfovWBhpZARsACJxkTnq+bUvlVZpxqETllXn9+PgpJkXmX5jHY
wqFPse+htwzc3XuEKErlY1XLvOVNkMgR/tLSPVRFtT4FWgHlqBWtUwo4xbqlYg9oX/Ugi9MyKGdN
tZ43XrMMhuqA0fwEeQGc5UxW3Mw3VSFCl87RaFsZCb6+KjBDIdqMjflhrWX1rnO3qb5rHaBAnaXC
LwKieHPsV5NARuj6xHuHAHrV5/GkylNcjHOTU3f2AFgcs/QntSDPkG6j8Urq7KJrgZ24ms5Z+S6f
tdpkZhfheWCsStI4zizjL0xz4yZdzV7RAzL7k4dz0n7cLX+b0xBoUJMTo4ubbfCq5zCc/ToPJkt+
XFy7avPzoX7X4aVC4T6E9pDBK3CxdKgjBm3TDHpupXr8FJtQj9m0rpudAQmxSH9Wo5+aYoeTllh7
F6Q0udtFWyeDk1JajfdlbOIti2oUKFJrHK3vkqTxo9jC7rHxyh3VZZloYn/QBXTEIVWX429OTPjr
rSSrZT99NTIKKmx1tjE6kvfNp9ruqu/AZIY79JfU4xjuTnTaFmeYswQx+DKdQtOTMVSru0zsKiL8
K+DAqaLDoTluhP9d63G+8Squm1Y4gjxtfaMkXfe+FugI1B6phlwdZPawrR8kf/ZRVlZinULlmG+F
UsnHYpnrJC8sgFd8CcNIZvYZ4Kf/UIRSAazhcqmLXWSW1B5wsHgP3Hxd2+q+ofY9JSpOHtc99Inj
SVsHxDtk6tO+L5JfaP4MTUoxOI6HZCx8eUQXIa4zLxYEVFOs6itVo3O9op+uU78PHNzYI2eajp09
xN+3ojaP/urOV4Fz1qjDutU8Ea45K/EccMFE6ZYoCWKwTB1GAE+zCeJbHe3DniEeW/2gPkr81MRW
ewUpY46YUmgQB8wDhuJS9DtzpGmw9/VUJ2vNyN6uyR7hPkYJDa2nTjWd+XYx4jFmQYoPLOcgJjm9
B7diTFbNcdWRmAZGUK1V8vbrQY8yndxWks48s8bvrH6177UY9S2Ub4qh3VfimqKZds0IWbagJKYF
Q+rFZWBX7ZZHXQjST6aiR3//oAK3vLPxDbloXbf7uO7TZGFmge1MWjjx1uVrIaI+3eNlbRGIiOMq
E8LwdWgoFYzLFtccYl/IH/viJI+2NY81vnuJw0J22BOdLrFxy7SPGZJnWvfeZ89eusd6TjZMTsd4
XRk+T719Sd+oVyrWdawy3O1sJxMMlss0iJFdLf2efiNcBnFjW4kcMio6YR0hJrLtgAcZfKxF6LS5
dDVauh4DLpP6TojgSR1t3VMoF2z6yiXayfVJPH1p6q34uG5eUeQsGdxfE3dz0yQufMLIkfHdVs0b
v1HVZzayGz0WQLJU2tQ0ZelUMNRO/TEpv8/IOZaZ6oaeDFOKeDj0dO2/XG+NRY6MeEdamRdvT4Pe
gxbaASy+KTxFTh0Y0ExH58ywu5r3Ybm1ZK0EeMA5+dCHoyZAW/bOYCMavTm3mLa2hz3oLA4DG28n
tdXuXnW6C31+cBE+oOUCmy2Wi7qzfEe8xx5kC5nobd3XyOjJz+yw2j6vtVvyvEoTXlljZ0VXwI9j
h8WSLjdEbssovMLHfHvu0WbD9gH83HPvG8YypW8jZ62Ao1CvzFI/9cGqx9TMjXtNZWb0SZ2pfmlS
MePJtrbfbkfK2Mc2CTU6NSzj7xPs4gQN+VR36EHq+BHfOvl5wVuBVLEhkwoOMqYXa/Zu+ZAkXS3o
tDvXOfhqVyGUqsj+xELQGi/bmd46TQo3vJFB4V0hNJy4abyU+nErA/WDCs599pRhFyDwEcacrvcQ
8umLqBFUbLsznoq2st/BIe1HgNVFt+XxWvbfK0+bmBVaUk6IOCThdJj3cvyyMGtzKd7Lpj9QCzBa
jPReIRitxPAs7cGe2AEV6ucyloRPycw2zte4s/jy9k19mBpHPIPQocd2B7183p1puzW+WL9xPryP
IWYVPwRTzibdJtChSGMWw6NCL+J9WXale9qbpfxuqBjjbKwNe8AkohlL98btvpbr0n7bG8d+WFqn
/zSiFfRgqWkMTyv4wVv4+tH3qiqLHllE09T5wASuzXfL2U7g0kAVUmS6v3ZQ4N8mRIweZLupLUPq
iMaVStV9UoY5f46SVMiZ03wkOvYahPNsp/kc+gXyeY1bACrxyf92miDNnKRGyWTMAnvbtlMyMmGh
bOnmLyyu3bs6SrpPOhDdO2eoouZiVrYt8gZtED9bSSZbOgvPxgXFxScxNatffi6swZTs4dz665oI
i7C5rVg4dN0Y/GqtyDBOZeXzsFcaxU0hq95ntN3Y/YGdz3rVh+sWgXqI5i9O6YqBoFZ60alFQjpO
OZdAnrk7pAaMtq8JRIS3qugKNq+9szwDJSSq2EbgH8lyqbOOPK/zto9j/tn00Ua/MNPlXHr9tgap
6dgjpn3SbHFK6bE8DrAG2hTaS8wsrqaWTSVbgTYd+srH2GQmwqQKAHbFykRzsLzSlb8mBgzMsx0b
MOY4ee3RB1voZP6M6XpuxAgdF5oIoXGwJC3x3qOqkgYMCk3eMT0tgZJI+UE3A5bVYlVhR87tkiQr
62G8Wl3k3fiJ9VLnCgPz93JQSZhh1mR/KbYxfJ5YX3xqy4UaY244nxqk78icMOh8wtNkJfj1yfar
OyNWnm5VVN0v2lu8e4xc/I8DULK+PcY9S++v7KynX3pwLWL8FGucUU8TuS444QfQv2/cRNPPDGq8
dirwHBcI8C3qYJaueNTEjksqw00d6x4MRSbDuXvyq6JGN72Q8Yh+a8joGau7hNa5W/T9MK2CKSsx
W5yWaNbvk3mGC44L/PIshvXcsdEg3gWm6T+YyolalA5Gb6X4r9X7tXfcD82y2dVhgKBVpXE3meda
hd67TkTmc9A7zVfFKQ1QOh7WD2bzxu9dPYRfWhbtTNCqkHaz9Wp9L4Fbd9cRvjkjHZFcaSsHl+J5
UU7NSGhZAnoJAmk13PRMV0fnQnaxtzQMYQITeIz2bdPNNmimyFUhw4JxKg9sBdqIKqc2VO42wODm
IEanoOdyvOqqx/+P/9xio5Za8ebY+Uh8va+txvsQMzml3ACK82tFBOirbibrYeS3OGmLhr9hLzQ5
0BPp1p+i2fNZr9AiexmIg/pqZqbV52Lqz3NAoswNwrKyg4XlrsOhLvg5bDW28ApqROsfbQFB6Ek6
sJVTn+X3jOpcsVDJJBSUKHLR0RMcgKHNaLgVYVXcBJtvb9liVPKpXYdtuHCR6jWnRaHyeh4u2P2F
u9LEHQJX/R9HZ7Llpq6F4SdiLfpmasB29ZVKpalMWGlOgegESCDB09/Pd3JGZyWODdLef2u3sg/G
+sfooJMFvliAdKhRbOLcJfa1LZq9OfSDG9dtVdrgSLJiHONUn4SaElNIpBgpY4ke33Bs7C3E/D4j
xU4MX0SXLeYrQIRUeZv1bvqvcfsIVjBtFvderd4RnRJuzyZXU8B4ptOq73iZGNMvEEOUIaiVxWGO
p3ko5mGYd/BTrBtl4I0uC6CoXdK4sh2Bx5m6WOu90oazId3kjvvh71UK+D9Gt1THKQwGt4yH1n7f
klVnhQkSjYM5hso6hYgvjhd+vtnPdQzjVugtnR64tIef22KCa9b289+OG6y5bihzu3Nq9qE9x/Oc
vQybGrqClwUIofWTuWHNiLuslB5u0ZNYIwZEAcA+nW/Xo3dXGyGTp5ZF4W/Vh5TXzVvwIXWzy6Lt
vXE8WdJZZJ71eFVInTu8z2gMmWxOwGE6vnjJ5OvXPRLr8RPQw6qnAwg8LkPGmOZU9ab+DxdfvV88
qLvhYaDyiJVgbZLhuySD1D97M1EYBaBgON8hLW7r85YsjXwO96myp9ocyXhngNMXNtGQpnDeC4Zg
0Gix3w9BqLyfHFtsNNmEC0GchFnW+NQL7uBn6/YienUygk+Ck5PtVpeYR/t3pqoqvnPtIJcX6d8E
Yl0a7X4xuPL4JwVQ4O/1Zt68aB40zSvvQtw1wvXKgCOvLUWN3y/fNJXpnLrj4J3ntF7ZTXl+oFI9
Q4ibIDpY83/KKrwnjSrWD9lt6P5Gb0hq/7a9syreYA6fU8f6yPelhLLPZK+uHG3SbReyevsgeEqs
jcU92+7Q5dgjWoB0YxqSQytu/PivjKMpuwDlD3Xepwp+pInqbCvhJrLvzZ45aAHnw/8b7KGyb30V
q7WUpusyOpI3RlQ1w+TmgyeFfzHTPpsnAmYd7+K0AlLPoU1Fnjnn5k8bOItLL3RFbIOGCz33h2f+
TXULDtJVuzUML5n3ufGHb49AcHN3DgAx9bek4Qy67MfI8sj3471IF/dZPuFQYMIlhifIPeJF9KPv
jOK6ThsFe8T1rI8erYrLPy6W1OQwT6P36lRzGuRNOmXOa8gANxHWcKzbc1aZFIqS99988eS6mCew
6iT86REIkpTKqhCmRe6+uW/31Ogn3gFP52yZEzmdmheiCCUu+dO2qcj968FzL0UqgObvAtP30x2w
LukC6O+5RDR+BMW5xWVxXSI9NUUUC6Mu/oqc6IRzZfffe+AhdRo64wLuuEDp+bxLOz6NieIu6Nlj
VWGWEYG6JbtmOPUkQfcnhBLug+ttLaCTCJY996cw06xGBKTeZwBv/45ph2NGm650yeJaBed6rkgC
rDkvtscxm3mOoLgPW2hGH/m1vZknuKsEsTh2tatTSCqlOz7mWrVZiSYgtnkl9fbL744tzDOM0ceJ
B07H17pPWn1W3RGzRWT01Zf+uI06X0K6awtFQ+FeViTM+UWjw3n/0aWD70JWhmv8HqnJS+4zuFWW
RHIN88AZ+eA03+lvy2wrHC7UVMt8w2Rqc0W381GIftsov9W71vb+luu9F/YIRVviqvH5Z8UHfprG
WYx8zswYvfGHc0FK/nHflTbKKw69ZsRbwOv/Y5NSz4Qg1fsVkq/5EVa364hm8dR9dBvrmvOUGSaL
yDBvwtg5jHlNXA/TfVtr7sWucY64QAFywH7rJJj2HBh1Du7pMAq/hqy3qO9aTcDdCbCyG1kbqvX4
Lnd3Hk4UL6YV9MII8yuztarO7uaG0zeICMUPs7VD/QCQgQpACa3BmOG34rK3DUJEdGcKKrvuve07
MHxTnw9bkTaKUyKei4nuH3TeUart87gmzlOEvCK9A06Ip5MzucJ7iMA+vq1bFQGWNgjC4FCVwwm2
ZCPQXNiFNCQlKA/zfg+Ixlf+MIHQeUPVnHVSx8OpFWyT99MRkQlMK6D3BjLLijH0C9l6OhtBUoel
Ur+a0JNHIc0hqnyIj0lRlSdDUbQj+p2PaRiYfAPoqfaUBP3YXxcplPuSdXgoz8M2pO6TS94dJ/gG
ZACnCU/C1IM1IIhKRghCffrKxPrCw3hQw74orD1N2wPyeih/neegQn7+JbolcvzodNM0kMEbbG05
tRV7b4jyOvo6xcLdinUjYPhfq6t0hizgHO2Zz8FvAGddHvTZZQm7hAuQ5fPhe60oHISvQakjk+nr
WIdqPWfoA5uv62IXxglccePZOiSJT/22y6uhjfl9II/6YaHieil8oQ9YRXQeRdB40fiYBK2c7rjl
BpSGVgCRCK0gChcRbLTXB2L4Cd5VxbmY06qhFiZaP4dDx4KAgH4N76Z6IZRpwwryb5o89WIgv37i
bbf/x01ciACt9+AMVOz41AwBD7xT3JbuVLeFyVz4U+tUZAkxEltCkCG9UBcE53EkOvCd7Bok6wld
hP+1q7LH/cghaErHiBQVCEceOfgTtI3hdfPf0F9I6eZDB/z9n+xN315wnHZDvsBjJ4U/JvF2nkNo
emxl1llneUqOtqP+23W3bXqqiRXfiCsGonlE8yq2c9zK+Zde0EaBUa0CZDFzR+IziPasOBFr6tiV
f2DQ77dj+cE2MWwvS5Q1j7iKl/rSLPsWnCUgMSjB1sHbquzwRmQ2Y1BRYNd1NI8bnaLuiRdAQTW7
YXKKcKUNJ+sE5knA2WcXYThMck9BGebRYP2dcq2FbW51lFjPYzdPF43Yqs4DiqqaRx/SbCiqFcfw
NSUgCxXuPnZ7QdXyOuXS372j0HUk1xyOgRuba14E8Nrh6uR7lNRPlrohgtRHk4LsZV3zrJFwoiRq
1oh/mPCOMhaeDi57Ni4f7bjUzxuuZbQwgs/tEQg8nA/2qO9NM8fPO597zLMqXdm+ayF/GNv7vwlB
6N7CqJ9+1ZU3oLzYjvB4vSlv0icv2ABd0S4pQmwAvSfq/FJ5nAwJsr9EF03NKdBpr4BAHKrpahVn
x+WwzvifJ3ixz72t9HimBzGKLryMOi39Jtn6M8kRiKS03Pfp4jtxZy8xigKVK1En0RlDkKret5Vl
uVjC8HYhjNr9wR/mLY+agdX7TedsFl2kdDy/kI05mvOUxio77y1lJm9rtYlvYRvy6gq5VB9dmikQ
DBsGv6B70HG1xIZ91TuAYWlrE/1aaiwkp5kFD66YoYVXnoPpuwJza/KqWeZPQ+3vUAi4oWcQwQ5Z
TayTV6IBFsQNabS1Z9h1y5vkN5V7cgMp0BvJ1R0JC6xjkPHBHb810mbf2j2ePlENh/1TuLsC8fKA
88HfZD/kiWzA2CJXTHjaZj7ZVx3Nsrki3aLb0G4g1+9rciMtmLTXL7GZ9z8eWpyBsMmUnTV15PwP
gq4Vj5QicuFXcazCh2DXSv006CWTc0UvV3hZGs6Xe98B4r3UhwrWYlbBhmbGNwMW1IrFpgVSsner
SPRXonl5RB0nnn4NeNn+GJTXX5yMJOd8rAmZ4Y2kTfraWuICimbeaBmZjsoNb+qsgNZSNLHjpZq2
7e3Q28A+vUyEwmgY+qzw0x3uqHZ6DVzXCLoCpon1FjGH2dUVIdNqCmeb3VcsRqBlspkXckXZd5vz
wDr4n9xSCzm1J5DRS82j97cb7VKfAt8ePijmZuc7RH98CQwS00lRETKcg0Z7TRFbHX6wXyAZAETb
h++r1IYbfN24kyiihdU+4Q2R5CNPvmrKFRC2fepkK743puu7YpaZ55Zdsi7yZzJXY8yPFsCiBLTk
6qvr6dCQLDS4f3RlEO4gxo8OJFVm+6O0c5CmMItVX1EKUZmQRBFt6qmhjadI/C56cZmHzb+eHuLw
tAbQc7lxFQ7ifnQaicJricW5CVuyZTMy90jnC6bpu/FJuj4vZqFBlzOpC0r+28ObsMKN8Doez7Oa
B23wo4rjp9e01Xgh4ZfsM2R7oS4rHlRgX5T239q+dpOnOa5qtAq19urSNhoM3c2c+H531gmwqEnm
Hg5nuU2ohGJGOVVwCEZqjOeAq7VboUiCgBnvxp5KmGIb09oWaN+aBpnJBIy1TbWmPXdKQQc9mTjf
93Fgk+Lr+nCdlGLddcJGBrMP/VvYrYEmQmvpIoLghKbos+ZXLo61T5argFz/fSgBfJaAHW/McXXH
oCGa+X3bRLbd2cZ6/8WqiatyAf/+0h4KkRFXZYOzYkriGz05rCW27BhLiW3CAj4xep+R08Qllobq
P7II0ebcQnRej9gf2ktWDW5yz/G5dQXjduBzRUwzG3F0uGiI2Oebc83YmF4ifvhPl+9rZr7Vibj0
CJX732ohKf/EyAEnfRLJ6F+hBep7nPHOeoepNOtuOphjyuPBst/7QJDzm4xB00/+mALyqTb17APn
ZmvyKJvSMr15x04aRsG7RgS3DhcWowa3X901/T3K5c4iyowUxvQEpO3MEz52Tx4C04E3EJSjxLBf
3Y/Lvjw1mp//fMSr+xXybHvL0iD75Y8+rHejuB1d8GmXhwehovsplszpThpisykggrzg3GUWcgMU
vkcRZgHC11ksb4kJXVPQmmOxdK7jlJ40wjmDcFkZvwR17yD9POGjHwejFw8dnSYLdjlP1xD54Fo/
kzGQzqMIGASKbIYGzkO3I67Ob3zn+IJmA+RNz1UWF6Z3o6ceDVjztkuyjVp6rAe15qhSxFOvrTe+
BIdZIPnU3mSXwBHilqSvvDcXHybhfI7w7Zc5kzXmYXfS/1mpW/NgwYDlCyPJfss0SCvm4dGV7gXq
lXEkjPXsv4JMSV06bNITp2va/pDKdOEpqPxoeT/AfxmnuhpsmCHcOj+8eXa2x733YOcOzCXRM/BX
v51pE4jCb47sj6BA1mWBjmMRpLctxeDdQLTUFIrBVpw602qHr2nKXlsWNOBriFH3iqA5+whQf7dn
vYY8N1nWW6SMQbD/Xbds5w7sZqjnGiUND1Wl609nWrLtDek4xGsIrbq8hk26oyIFLDKvR7BuvxDU
dguSVpR7p3k74uESasRQZa0zR5HqvCuVS5tsr8fa+huDbCU/NINQjf9EOh/75DAs9pGPqykLhs28
p/hA9N8YUBgpeWg05hh5TPbrQXGI+6oBjJBM+GsYzldhNi6oGkXcFz/ZwxAcJMp+jF7v/p6zJfke
oNRfb3ve/DHUfZt99asW8bh/DG32aNyp7l/tEdwQq1Sk88VHdovGN+C2yicfsvfLIUCWHpdlnrNH
b0rgF0K9dV8jfKbxs6NXv70wAVV+6XcQKTQVZZsDzuVUC5ttXAv72EbgUaVZ4+1vxlW75aqZJo5q
Jd2RItiZVb/yPAX2T/7bS4smcTjFYlqRX4xswq87AJIsyPoaqxOTxkB363T02wlZ7EI6JpV0YPf2
lmbA3rUxtUwHvccLw9itoe6odJ4suwQKk/4a5DXfO9FV62wk00WcTrnLgXsbYfENFnKH+wbYR0N5
X/EKZvkuwDDzbh5SyfwyzWNODDKfMM0md/k8bBv4zU0fve7lkvmRn3vA4h+iM7054QEN/HJNmiR8
UovkdwwV4c1P5FogoZ4yf1LvPRjtcd7pKLk9jRmgHM6Mts+PWI39OUSqsiPFZLtpSfJAE8V9zSW4
xdFPbwJoypl0veHSOWpaHszWiXdvmQaVb6rdnWK1qHRhZAM0yyH49ctBA4dzpux8CMpxquvp3nhz
2zyE6bQxqQYbGk2+GubPUZj9eSQ0gYivuZekq9pWtiydalSM3tl+jx+k7X/ieE6uJIaub3PQIB+y
8zT9NlHSf8JFpu+00wCJr36F/J4C1CffjbqXHufzqxmlXkoLU4HCc939t55BGM4buvst3LiE4DSJ
QGI2MovOq95H/uyuajubUQXZIzCllxRr2qhfvA0zVykQANS4Z2h1kEyhH0O6bZgl9gU53F5H6Wdt
M78uW6E6myOMU9M1a+bgc3CQt5Zxj6iCRZLOPaJz53aK4aM7+2fFAvDDKu6IG6cdq3N4zJ374u2c
8zk0hr/cBWKtjkuHZP0DlRQmCH8f0neP5uPlZUKkp4GsEs+As6SVfFnTnUNapRsxdptNo9+N6Nrk
AtQBWyZrJe6DZM8wNZBg31+51DXS06R2yyRKlqFE04p4TuHBfDiYLHeUdgQM3g9e5n2RWslrNUoE
Tf5c8Y/ahakYZKQb3qfJwCkbLFJ9bIPju+ekaTnf2ds5ZPmQLEmd6OP5t8eF8s02sVryhnicoHSj
Jkivg2DAL3FDhRNTzhiRDVXVMsH3MqEsa2Mz/LV9uv7Yd2de753ENXedrrfwLdVHuocQy+L4504G
W084+lABhiyxjwV1fvRwcHAVCMzbEVfuNGfnY43Yv8BubTOcPcd6AguDWV8bxxn/kfjBPry77vJL
ir6VZ6Ra6JXbbQPal+MkI+bz0f1BdZpq3vHhmG9sKHjqbLpnxX5wb6KaCFzcNQv38M6o/oeqQ2ML
R64cZBRkI89ygxT588CK+dyiufxGqAB0Wzg3898ErZo+pV02PSSBpEU7rVbAHHV04gHog+eHxFur
8rTxo18Uh7ffd5GK5KQgTJrTsiPzwHstju0U9o1Ah3UjDx9Tumds6VWKuTLRHkpxTNdIOUzg+CAo
aif9S5Ok8R4eQw1vgU7ib7Lidr5LNnPgo3aPeDknPkLxvHJtMF8CxrTqxutnIt8gMsrZaZi+SLCX
fwUvYnOvR2xrgIm+3xeOCThgV0eGCxczI+3jMEBpoOSf0ZagKERAP/osBGWvUkeVU1bbZ5KTTPzn
4JskZ4WJ0X2YknDAJdWu/nZuRLYGZWyCvbv2iQ1nvq+IM6I/eo3jZ2usKFhryK8/WQZJRecJXAgg
/SR/kb2F6YufIhAF3OhNcDS52R93Qnl1Qjnei+fDVf1cOnGKtouJJAz5csORs3mct2o9L5hl1DV1
AN2hcg9Us4v2wJgV2ldV0CgiMxQ3OxJfwfiNca+mRqwk0dtH2tLo5y4x01OSaFUXSaPr5DEOdu9P
YMkuhlndTHgBWLL7RYnMTL87lSg/Fxsa+fubWmwqqMUAAwHiS7cidmpcXowWaXpVnmnbp2P25F+W
4/2N86wTF5w04slR8TpdjK1F9IBIPHsnnkr8HfW6E3KGyjlEFjwu1H/JUTSslER4n4Zk42pGVTUK
thJkpzlmA+xI0Lc1IJNkTTyTmEad3ywCrmaEeNFBqfamw1eMVZ44V75uH4lhPnSpGHW7Z8WGcR7X
gNytzJkXTksqED8p8Qnbe4SH288srMRzyKZhC+SI+r86dpOfU4Dt6jnNzCKvx+LqL0lvg+7DBYE4
vh31ZoZrqvda84ziIinGZN4yRoQuUXdtnXC3cPh536xH6m3ehz2nHMM+xy434EquKFuTIo3WG8OL
Y9bQKfAqjG8A2OJTOpvzd0LGx163wiYiHVyH384wMiEmHt0FVzijWJRR03eMT61tSppVb5RXGggE
SkyzjwuIwljMLjJdvO1BF5adlzgRqP2R/BltA3nnbTiFmF7m7ijsiMu07BOBnnAjhi24xg4Kkku7
Hv5HsqKoKjyE2f3FjZPqT2z4qMtarSQewce94BpBarVaZDG3NBy0PHoYd30XgX2fu3i3M4oHnqUB
Q9y4/GjazfGheW4JhEsQGXuZwT5nDoUh/Y2HOPiCvML/w6m+xTctVVefARvn5qvXuOuEtp87Wn9p
OiNhcFCZVmU72N1w/USiu3p+7TNnxzvLJTL3URYO8PhPOTfhegl2Vi04rVoOT41PiQrevkqur24T
TarY5n177LZuRG+KOJLVKYAJfMJ4IV1kseKA/B+CiWbJUIvVXh0PePsEwupd/amPXXReFncPpg3V
FgQCjQ9RO87hC50TzXKOnRsMo7ZMvPKBxl/ojPl+Tgc8GfPa7jVACjQtT1+DykJ6rMemkfkSaY8r
xshd3beJzIYyc1Godfjt0OITVp5eOOPc7eo0CFgRR2SK0xGw/B2B+s78HM1+/VQv66ifTXYcKz7I
5EC94GKHgLrQeF7UitX+AqZfJW98qBH8FutOlZvKDb5VEmI3nzzBups0TVYhxhs5jLMGyeDurtjO
N+QDj5XvRMl5xPTw0HU89F8Sl+SkK3s6An12LER08ew51c++syt46CjNZ4QQ4bhj7VrsxYHmDe6R
yzNoxmMXnJG69zxIreieVukZ1Klo5N9xT6H+4jmV/RvDZ/YXyWOHbzip1znH0uWzsRIQ2rzHc1P/
RmeU7OeJKM+ITYJuPhxbYeKf5+H/aydJeQHvHZj7X99Mizmhp22fwIgWcU/Tw7CRx9WpT+s3oNyA
Qej+Z0IDeYDmkV9bMLgfZzdap+Ne8irXRR8K8SrqocWhkfAqf+d2HvECoAyonxrU0uk9wnIRFGuH
HRWxJDRuUe16fhj6oK1yELz0x0zoVHfBO8gksw5dO90li9c1954vJO2aFENg0IFiIj2T6nOw2Qre
O1/6UE0/jOx4y3y/JdSSuDRqEKLR1boE7U77F4S6pO3HdsedsvtT/UJ1nOTW3XpbQgKEVTm0Boh7
coL0G73qEkXKvJvqiZcMicVtmfvq1qG3XvsjZXKpkpQjIo4wKsWYfdNCeYqrPwsmGT+uNsF2kAAD
cPh6JnkyXXz8FEuEXk4Bymf5EFSwblnnstP47ba/Dvw9fCs4FQQv8MQm0vnJKHIX+UBUBjRvmHII
8AWWoxeCUMgaXO+0Liit8rj2w+6CHKdLz75Ih/BiHchSMrnG5eKmAnntrPZAXMO4EuF5E01w049F
7YvWppJo3Lp4ejmGRYxfeH9lfFd5jrF3GCmAi/twfWkSnLS5nJoNwShfIrM48VW+O3nrEwlBNr3P
pmV8rncM7XfZTuoI8pfuYIcQe4r6pWo/D5yuyx30JusTkFQm3NfBidLpRMRaF/K0tUdfDLqJZLFA
o/5RA1R+mShHLvmcgCExYh31F4UvwP6edQBHJpjYurJCHBJfpg226zptS8LkSD3CZ8AViccjoZ+p
cGO/HS/bGm7mVXuyizH39fv3xJDjz18RDymGhWB5SKWt3Yur0b2e1qOGniDygYN9rPErgkPN3DxD
hxTmZLvY44NWLbwH4FyPXNl14n9Zk9RLXvu2EXm67LNXDkRa39mM4zNHbUnMaXT48cL9ZRf1TW31
EcNT0a4kGZoYrZd63b+prkq/1FA8HqMDkv7CDTWd3h7CJPTOssH2PBLfjKujj5Q5RVUy/4YKgbbP
xixghw0bpIZ8OQLMgrmwuyIm97rSD5IDqCZeQwELhqm4JD6nTs7eAvh/tyOlAbQakZ8ygnWuAgxE
XlfMiRFO3naKu60i+TG8sweC8mtkh/QfnANmLOCgti4DO9ugPOSwf+Mthk7EjLmfUm+X3iUYyaIl
UGEL32f0h/JRZmbX9/Ucbd95wW8Nfdtal0Mm5b9AB/sncl2Bg2x2djRhKcNzvKL45NJI8T9NLXi7
m0kN442pLrs4Vh1LbuuqOsolCNifeNxfJRqpT0j0rEADePMigUwvP499O1o+XMwsbFg3sJZs9fwC
STUzHlo0L3dM7iZlLl+W9CSrg1MvyIh4yLHejLKkxCNC/zJzGhW2IRb+xFC7/9iySH8NZk992CHZ
rz0xReJ+Bqd+SEhKu5lYDeabniIVdLwJ+f9gWlX7OKOB++k3SzoyWkpvQobNwc0jn8y2JNOqAtGk
biW5psZJu2IPGqxBmSF5o0kRO1wmhH5EOjhziiIhrcdXisLmD+Jumzexd86Ht44QO0PCbfJINlYf
lACVW5QjfE8fk9ZiJKFxJ0QI5VLqF3QJAomh8s31RoJC7SG6B1dHYfekQjv9cak/NuVqQ4IICFTA
M56kso4vlv6ODEQQydGb3uOMBY+758SylH1XaPEEvplqjYkZqqL3CDVzC0Xj2/dkOOYfcdhROxV4
svmtOfVs2YM//5kdFF8nRMa1vZBK7/7mkSA5lDXFZS9KjH0hYCK8JeYdUUiPyNJ1pcpWpV7peVkQ
VQeH9zeej5FtBB5uLGRCmnZRH8n0VZD+E5TztNavggipf1zmSVw4a7/7LNJegLJ27Ps/I0ydRYI+
J+w1hwlR2QUdlNaySeRER8Awf0x4VtHGpl10TXyWs7xBdw945JPBfIoX8ily32tgNEJbZ2RUCOKM
NATNeulquVVc8yb+SRO7wd8SDNFLndTsQl6bBT+3KvH9yyoT+6UVfd0/xAhXPuNkEz+VM/EuD7xb
/4dIj7Ug8W5IcqKRmu+JlO12ncWBXyOpk+zqZIFvnvGH0fO1ZXZFT+mLYL9PY1SnDI8baIjs6DA9
ddrGH7uxyATsmunq0kFLP3iY9sR5oj3FZTRSN9gYQ2R4OZxjf1xnbdY7HwteVsQdSyuOQ5MlD7Ck
auAlnPkUzioBovFpth0cKJkSReTpdnoe64qIC55e91vHaTFekGzR9eQE3a7eunhtXzu1H3893A53
1sNVeePJKaTXm5xrWuP36MCclAJYZ1Wc+Xk4MQXcjfEcukhRHDLnQtF09SUimwFSPgplXdiQ+fIC
It94v6yy5l2Gm6POmBrjp0PXw3KJiYT4ECubBfDqNLwh6BzNyUR8cTwGJBXk3JikbZgqPt5kv0b7
CSBhR727OOSw1V6MmmV1dlYetv29vtZglKXvWhj+VgxeyOCyzf+0n7IkaKQF+qRNbEO2naP6MqxD
4JwDDAR/3b4P4rvQ+MF/6zFFA9BK7L5WRzcguZfp+vNWIY1YBOM/o0I4ZtH9gdCSqndSQ15GsquQ
MkMmrff7tEXHGbP5+JoCgHNrkED622CgBzRPI/U7i4fGuVuB177O+BPaE5Zo8axREbdwQFP46gGF
85TtAVyAv0tRPeE/FPg8uyV7UV7f2wu+TEp4/Rsjg4Jm/up4GmDKHf2sKSPdz7w+zqLXl8zUti53
01Mlpkh+l1eOJyaubPAo9OVx7KkOsmnX8zwlZImIEe1IU8OOcRLpNLhMfhih3/k/QjTcnKFgG1xT
+Y6/+yGSduOJG1AxMTg1MDFkuKxIAz04qz/d0mQvLdcb6TBcJL9i7F3LvWiq2i8dm4A/AEiYoEzI
GBEF1tvkza8OD8l7MDUDdRVL8qqbmVNerQx5zjDjjiUSB90ewAWE3Ak+oQ6Ko6sm8DV/Ss4uvBQa
p7EJonyFewF/dF35xpDGIGek62F1UxxTlyMK9pfe4ww9bTs0molacRuhF/DmY4tbkDEpmlxYdMCn
raJM6SGY3F7d7CiMkn/YaZKERJDIf+F75i6JIpfGMPz0+5eQPK4flZwV4QtNgA7/EJwgZ1K79HLv
ssG81SbpsOFHk0AihKFqO8kWOfoTsANAWC1V+L1Ku+pV10f15MLUVA+hjI8kJ3PDMWWWGW84HbsX
7w9THZKfZrU7fNI+OH04zVp93xGPHncdiVyfkB+CQrMRCcQJVHEjFXxuwMa8KhseiYfm0A3CrflD
nlGTXAiVoyxx3/s9Zv0hFuHOSab5pWpmDwQ+ZvEqowWqj5+hGfExRXEVXBMHET1+/PhAzbjMCxyE
TL0iHIc57ygbjK7QYlAVqGPaqgiPJEW8htKZ7o2uX8c3PA/r696u25dgkIpjGkG7Qo3f2B9LeNtP
8I9s92QxIBtLuyExD5xxlfuVpxEjRbwH44ZkLYq8sq4ASzCCol87sZjegvddbR6q1KKVjJyItEzI
uyGP09pz61NHxdJ/Mwz7TbKG0/gEaL99rF6KApw9ZXlr9IRknzScB4lKKiqrHQqO3KYaP1oV1OJf
Pa+eLZCME/1yy8zwTweSj+ocgbtoAgOC7EdU+c13otrl184KXhwRjvp/pJ3Zjp1I1GZf6EeCAAK4
PTM5OdOZHm9Q2i4zzzNP3wu31O0k0UHuVl1USVY5DhDDjr2/vb7LKHNVpQwTGLc06PhiFzFpQP8T
70RHM9ahSoyh6pxzJ9LvqMo2GW7cpLk/ZG2CJodEtfnSOHZX74pWr1gIyH880gk+J6ZB+Fg/TF5Y
OjsfWJW5r7Vs7uL2iWuOiq9FX2UdldOppNDSPvJTh48VhxNgfqV0yKBKU2+OE+0G6Ck5uySvy6TC
mRpT/RnkE9WfJLGLn7XTWdVO86XNUZG0dG4g4kAzYlQNSkB/NkfYR7qXhudKHVD6AMXBuoNskF4/
iMkJX0j1S/OBiZjADBWy9Y5aaXKmkfyndO63qK1JWpqlf1TjHiIM/2tXHsEfwy2IrAkUHv2MQP55
t/RckT4i8QrawYoOVdc30akGaRtwwQq6ByE6dYYI2MH9NOmK/ex7xviSzouR9ETELbfIHfmiogAB
b2AW8a1f2YkOYcepv3YUPYdzSo/9Q8qBgJ1ahi2sT9kp52ho++8NaOj/ICYYd4aSGqCNLNuz976B
iPqGTjYVgnORDy50IvOmqrBc3NHYgipiIrJivnLPN79rJES/aCg0CZvQHJHQpH3TepYi0YtjV3US
0g0H8r6mycgFRNGVZ/4siHd1P9B8kwhZqAedzqL0ZBvt+D2xejLbUxc4/kFwA06/k5S1j7T4zikd
vSJu5nqn6BcEhe1Np3fkkRS7NIlLLNN5pXomEprwtWA+H6BD0y+R9PoLJDb1eahF8lNhnnyr0yG/
Dwx/nNtGPHZQ0xuznzTqq3OHska6zAFi91+QKpjZUX+Rw27k/Lp1mOnjbWKkyaMSR7G5n9AFRzvT
QmrwFTKGT7cbPsR0p4FnJm8/cVPknKHYfGiGov84RNHUfMwp19E35VTN55ScJNJQQPRfUVj09hn5
mF6iAsrYKTGFtMxdWXLxvPRqrtTfKYyr2V70YVnckdfIb3Liq+lcIYsRx0D1FVoakHAB6UmH4Ik4
RHzXfI/oM5uQjaDZbtDATWpUNuB0cH7YldSVctLKehGdp8kZ6SjLEoLnQqoOcy7IDMJkNsDhlHKF
YxfIa634gMw1fqCZporu+iIxkQKpKaKr2Ncz1MKR4R9NcskFIWQ310FLKIxPUNBoXTe10M5cVDJS
36PL8l4hcPnRY9GaVXTCCkNkx0o4PaJMW5QPGDiX5U4LVX41jTZC3Agb+TcqbTs5J1qaBDckSHPi
NuyJOlRZ9ah+bexC+cVtPOPt9rn1NMrUQHo5RpXcgY1sw+cS6ddJ94exPSZi4MY/ia5GAKt7+QlV
XfSoQToCFZXnxfQQlqWO7SytNhjAob7104f/QRkolSZselfaXXADnrOw7jsRes5ussZBO/yP8PTK
QBSbupPX4ZSlpVmRgdwxsuTYQwUeTqjQ1Zy/akKUkEfFeCmqMbOOScuJNbZ8OBon4n6D7rkCEpUE
OOA1obtyR5n//C80LsXPkUJP0boAo9W9ZuY6uhD0u4J75hYcegZtLkCiQELIsUpQlPyzAIlGMy2U
jp7WbcEkHDygR8dQCvthBA6zJ0NkfVe8ifuEQxxITRvtWU40TiNgpG/QN9dAkZaOdTxlIQtbpgUS
VGFKky5TW7e2pubUwsMEkx125+vQzRUGprSAw9lCn10d9AWOUvFJ445cQ9zWq575gP4XHYX5XFtU
XPIHXKLKhIbs64Nqq28ZAL6GnhnzoKWnSUYLZO+RdHT7rtMekTHYZ0Noyt6gIHMi6oJchL7mmNZy
OhR9XO4wN3X2RZ9vmfKuTS2wXf/nh8xM0r+mFrSlyqokL7lLU+h7yKxsWwtvaRftNixaVz8ncg0M
oWaw+zvCqxxkYhlV60rqx2fd1s0HCTZug1m9OoplWLwtXUfYtvicHfqUVkMh6grcWclOGeYl7yvz
eP37rU6av0ZZkLH1xpeosIbWLWiKdnGo8I821aEvkLiym6hCSEnM122sh5VPheWPiompplr4Ci8e
DQN5h0Sj0boWPMSjWYzNQxv3HvA22v6uP9/KW0QLiqpGIleCVr8AoLfAltCDRK2LUZ2gf7aR9gmp
JMXzfx1HMBtUHfcbDRTtcrMJMrZzRCzMvqjWH/JJIBWdBn9jTrzn6jIKYaRuWPRIviPOAmtEF24y
8zxwiyc7L8UnzxmU4WYKI+GSB/TEhjX7/P3fbqL4UWEpyd5lAZBfznWB1YkFj6h2CRHaz4HJNUOJ
kvg4ZNIHqTyz/mOZQ3/zhNgA3/4x6liMbWGa4EiY4/itWvO3/XtFU3WhESyc3KZTpObGCH1BLxmK
wwW4yETudha6Q7dqiccuVAVkyTVFM2/alu6EU6w6Jfcqj55iavRwW8zEGtM9LRGeeclop0VEkMIB
pdJqO/5NaplU4Qvk3buElvz0iB0UCtkU5glKwWQyXqxq0ouN7fP99IRyzcFgoJgx8K5ZuA9qTpKH
YShGN7Bj+QIoCh3DFKhP1yfn+/U2jzLPF3ZozJEW662KldigpjFSqgIzECh9Q3NhINy+mOrz9aFW
H8iRju0YIBTBMr39ZiqtqpPtWwyFX/YxNsjMztLBjVW99kCYXOAgp0tDkmh/OwoAKaeqHAOTQcRE
+7E2QR9MXOroWdhyG1xZAGQ2VXKr3HosqnJvh0LbnNG3aA+uzwUp3yVpDx+q7WekEQBDEdyBWQ1e
e6dFdisSZQw2Npb5718sApvhNcOiZZW6wGIDI5sapa1RDi7pEoUUYkq9Nu+R6ZFxuC1LNTpIPd8y
IV95vzYZQBOnMrYZnJvfPnThFWFkNdXoRkqIpYfsk6NVtf1RB3vz75+SoWafBAMHD4wk3w7lywiI
fMzcjIzhqyGGlu4uar1SN9KNkVbf5F8jLSZNUyogZNp0dBuC0I9ot+RD5uQjrTGic0soJ9RkbXm6
vh5WB3WoJuoY6ahEHG8fj344LtA2DR014o0frBj/Z1pwebEzod2nWiteRyqvP64Puvb5DM48g5dq
2OqSF07bmk9RJ+5dnx6XmzKlx0ox6HggRV1tvNS1oWwpDLR4jiYgEr59PtjTXFH7YnB7Ayh4b5Q0
H4Xdf+3QOxsn0cqbRDyhmpQ9OAvwoHo7UjkaedZpsnejumseoYjqpxHzkE+Udss72/ORL4bqz+sv
cnVMrILoOeMMRJn5dsxwJKOozeXRDllwStW3Tm4TEPOHcACcBCNABf8zoiY3LtcHfn/Q65rGeYAf
rSpng4+3A6OFy2K4SCWHnhnQPk2xPcED41eetvl/OpASf+M7vt+3GdBQTc5ZjD7k0jSrYuH1gahL
WPZKzZ0Rllwah/XGN1wfhZCW4Fmwdy9mi1Zn0B2HpnTTfEA+4iDbf3IiKTYe5v2k5GHworU5WsX7
z6aROjU6r6ncqodnhnqnns6SfGJ/CKAX/77+qVYGk/PpjSsXSF/TXnwqqlujVYZB4wLcUW4b7AdP
weClD6NabBkuzVP87Vmgg+AkGpLabKqwdOZyetOkoODVblHUZfMLXjO3KNGOyQOAQlTTHcXH7oYm
H+8RB6OEm67GUX/9cVc+IRAklh9nO2Zwy2sJBMjJi0mpuqYXtHdq0yJ3od/o8/VR1l4q0YrDbQ7/
IHN56tnhlGMvlbdukIrg5E3pK5276dEyUBtfH2llpc1rG7Nvi8urWD4PxYU+0AarcmU0qed2sP2I
HDYwaGrOXXsGudr8u+U0d0KMfFWuQBx9yzOhyDFT0EETuGqlDI+cBlCF5OTcChpzT9ef7k8AuZgy
HOCcOyzpWb8673B/xdB0+gXoYIAiGfR+pjezYV1FxZz2nB1dFcZNbVb5f7TG9q+YEYgj+6D6IsB8
b+xnK9+TCSMEFiQ6cdvyRELZPIhSzLoFNL0vsGspU9phrVzGFHn99Wde+aKODnCY7QxXJI7Bt49s
WWki2zBs3RB1163SF+Ynr2xTGv5qEkVgIPGIOfzrkAYCcrZOA4EKRkKLPQClTpYlYVS7WExAcjDl
kdprfVDBnu+zno7168O9X4MMhwkj5ioqZURrEclMPemuoLErN9CC1gV4kZ8VnnVjlPffjFEIe2fD
MpVc3eI9JuiKDa/3KjdsnOkB3I59TnwHcfWMern+QMuh+FKqJcnVcfJIXLMW54JSGpD7W4UCetWV
N3Wu1yhVrfzkm+G/Bix/hmKx6zbMQeedZSMFGFRkVaK6OIlkF4KWrzQO9nNXlr/x/pZfaTnSPE//
WnoaAIc4bnIMKoKiP/WtJw+GAr7j+qtbngnzKLTQqFzTNW5dy/tJF40aJ0WruRrRCMRVU37Wdcdy
idmtY9do0REqpHOPZ0p9HGAcbiy2lYfEqUtnbWvEKVzF3j5kjFUy3kUgIwWii5tMsdtLODcbXH/I
5ZLmIQmHLAQvNDraJHLejgLMSxohO4ubxSa96Sl9qCEYT3xkQlTd2MH8o7PPPN7/jlEEc5I2nLfj
tZNCNOQpqkthUO326RRHX6vKgkd3/blW5j1vjjjIRiWjvjsJOtQ+o5JJQfcKHq50TUcTjKWGRC49
NvANNoZb+VgoT3mBpMMc2sEWh4GZl+jG6T/g2mzShFRG0R0f13KvP5Q+v52/zxzeHhs91w6hWhjh
LTcO0ciIyywqPFZ87XwO8ywgwWHk9UtZKGjAbNzdQnIqfnDKjHrE/aIUguN2gpKJfrUTe8UPNYAn
dmuFJ99RqwtzW6v3le2gcC6nYMQFgW2VtnTqeU95lTXKAaCOfJzQ6pC6SRTdOMk+Dp1vgJlHaCiF
6NBf008gKIphdHIzeGrc7iHIZMEelx4V7TiKz3Hj/F37wDZObZpKzcMiYfF2Ig2+gDsDtdQNVDty
J/oNd5GS5CQTaDa7/tpX1ghpU147Vu4rqaQoAmQBT34CmxV0XywcbFza0fpDa7TFf8PYbbgtz2fM
4iPrlA50FsqcH1leGOyqb7NJZThs+uAKTX76G6NJ+5OPU8Ue+K34ANsD5+cUv5LrD/on+Hs3tMlV
hRsLadDlaZsmflSXJXIrcru+eVtkRvgVPYTzsVNsc/ZatWHaBa3/YWqV8qtI2/KErl++lF4uvvSQ
ED50pAyP13/Vypf+k/9Foc5LeZeuTwdN88PYwAaVBu2LXzX1DdyP/BMKumjjBawPRWmL6quc83pv
J5VjTKAMFMmXblSYkXmFWscMs/tcQWDy//BUc5ZekARif18czGknSnzVOS0BmdC7BCS7OSRKEHyk
47x5vD7WygTW5/uTJMVtYDS9eKxyJASJanty0QdM8Wef2O7TgJjgvk2AAv0UYlQ2Dq/VEelknDNP
Ov9ajBgoaehrcTa5Wl9Y9NiDlET1htNL65OHTfwtZ+plOoGNkXNSN6kSELW9u7/VnVJYZdyMbhz4
4jAIuh67AiUV8owUpaj/U3V0+Y+R958xmZNsxEQ8lB8XkyVAx5n6JhtwZuUfEYfQz4kE+Jz3Sfj/
OdR8/PwV8DQ59Wu/s0d3EnYUHjPMB57SGG3QTklUMW5MzdWXaWIta0kdT8NlTAAqWNoBMhDXqXvt
tgfwf26NJPk9i+cv/lQUn+HiFhtzdG3pCbq4DGrYlJWWR9ssyiv6lmylSdPRwwBg8NwUVQgOiR7u
68thbYMlbW8zmGFLa7nKo7qizztzBtr0BUUKPy8vtClqtEvGkL96oh9ssXApRYC7kaXZGnleNn9/
R+CnkTJmPCTKxH2ZWqifnBGo6JA5F2PQ2l9dUKMpqGSebQytrY0913BZbFjb2stjpTSLjgJ8zFft
qirnJG+8DkXjGHYHMMGRvcdqJBgOGdeifi+RGLsjfa0RCH7PuYGjZWs7lQaAYG9nhg/imu5o6Grj
4Nm7yixrzIom0dMX3cP9OV7/YGtzgywQwQ91CeNdJJ4GqaeN4M7cMrGTU+8o1gF0QEL0qNobc39t
4yKgUAVxHPvW8r6kdiCejX6a3K4qx5OfB/UFu5z8oPrjdBcE+Xi+/mhraw1UIGVAgnyTVO/bGYEc
WPd94K9u53iOOBmt3t6jbfH8x07Phe2m3kyV0OK6+Xh94D/1ouVZj2KE9gOOeiLlxcjS55xTAVy4
uTKIArZEaLxWDi4wbmOVdnU20EHYJ5y64vDYV3EA3aCk/QWd5WB+7cEmZB/oOokFaPmQdiYvN3r7
UIwhqHgbvEB8qun9Vi952UWfUkhoMyvHK1oaOILKv0GDP32Kyk5FozSaEgkp6jXje+PTjr2nJ6n5
OTXTBC/CRiJ0oHumfBn7yELRbJcDqvwW4t0t1Bwd36DrL2ZlBpCthRHmcJoQZS+29SHKaknP7kAo
384Ys0JLlNsoDvrvyG2j5FS3bVie/n1MzSJFRp6flP8y7irwlAi6RiEDn9NbfyiLbGTasTMcEbx6
Gs2qHUmP/5cxqUAbpqOT0l0EIJVPdnioGHM0LI+PoCFobtgbTqYyDM+d6mxMuPmMWsw3BBcclapO
+p26xtuZDqBQ7zwg9K6f4t2w8xpsbPYm4O4t4czKkjLITZtckaQkLlh8QAdCLI1n6eAa0B4CCBOq
psD2SXErhdUag/kPpukuqsfo9fobXdmmDAPEMvEz/6Io/PYJpz6qpWpS2xNgxrGHkOHoHLHs0btj
J0yxUb5cm6fMUc00NHA35OPejmakA8xaGqncspla2EYNIFAjVMRwsJoJXokEYL6xD68cIZQwTKYo
l1eSPIspY+eB3+hBOaFIgqp538Rze7AMYonkMX2VinJvZZY+7DO78TbO7Hl2LGcP5dI5/NdMPIEX
Q0NDy9Sa66nLnlJe2PyTY9og0KtsI3JxlDUuEtuqQ1ZFyrQrurLaeNtr31Y6XK4xKtDJ3S1mLyng
lOBcY1dosicbKyEXw4MfEy4s5+uTSFsbyYIhPud+HOKv+c//ihFiDapW5pd8V8Ik8SGITJKqNB4o
2QFKDxWRnTOlxb1utfQG4/mSfS/rMrsg0rI/q2mmo0Kks/EHq6CUNyG6lcYFrUwe6frvXFnOHFe4
hhiCKIr02NufiUalsZx0mFwjoHdTtA0k8Jou5I1R5sW6+O70y9BdT16RLPcyalGEhoMgWEhX49RP
zl6XtsUtsmv/psUfiEblrq90+mq06NbCiBPak59N38jj5riTDjGtLQjos7NqhYj+LRqKf9Uqym5I
ykLH5GQSVrOHKAbND14PLSZcMbH68tKRdo/IcSLrh1RqoLYgoVVxy/0wGS92XWK6LA0r7gGZphaU
4KIZ+UhhXADgb9is77pxjH4MRlA8GaHv/xaFTJuD12s+3bseBmx7zEoxqoGUX93oUOn8Q6rIMcMh
pxc3ulqn2bfrb/KdnJDriiR7r803QWqRy0tgAjAWWIJvco1uQ/GTqKDo/2uB/XyhvzqoH1WjNrjz
hp3sb8t2gBia8WGCPYm08beFSDzdOIBWJjoZfZYS+TmC0mU1wdYAXCalZrh6jup955vaJ275xiPe
g8Pz9Ydf2Su5E1LvsrmP8ujzxvbXmlKdKuvzwsRbU2FvAeXWlKB0IguPYb+hb/QjZYbg3y80pFHI
QSKjYcjlZulPoQhB/+vQIFIpL4QNTnjqBR40X0dDs7aqbfN6WywUG1WQCUBvvukvQ4igHikuTpru
pjo93DpdC+dKYgEAeT39gny7P6Vq8XT9ta6cB8wnksfSoJahLcVCXB2trskCg6q2hf4U0JHAWtxO
+8eqdIiey440lT/Ft7RA+1uC55UNCEN6xI5Id9iSncU37dOJnnv8FlGlQuim1Ql8Fkj1f9/mOMhR
BlIppZFkqZTrQ7xT4jGTbtyaPd6UFjbbgbbld7+yFOxZETRLNinhL7PiUWM6nkFA5g7g7w8OLC+s
1hrlqOdUDq9/s3d1S/YB7oAmqCrH0Xh783v9ay2gw6dzF4tmt+osustlat4ZdhMeQ8WcLtZojWSK
0+ar0Xb6IVDs6DDhe7LxVlfW46w44cuRuOWXLH6DpAcBplRkuSZtR1+SyGyAmmveKbd78ws+4f5W
YXjtqREVG3NeTyCOtedf9NdT23UiC5p95BztZhjam7TLTBktmo5ZHKgl4ds3Yo8T9wMUVj/sMWec
rI0Nb/WpbaJ8QkR+zHK5xKM6DkGiWqA5HeMU05W7xy0HXhWSgkOuW9HWlX9liTgqSWvBnj/rtxca
SBrfExl5reXS8xTZAEKcGFKtkR0aG2sTqzBm22s7/IjwAXCUrdbY2pPvH82o2nWkfA/w5+1zCIPm
8/VJuPbDyHsa+EgJKDHqInjQchD0vaqYrF3b+GgR4u7MtvM3nn9lS+RN/99RFjuECSAJM/QQu4sY
1CvH3nd86cWXoTdeOwDAN3Xf6Bth6p9Cz2Ib5qChYk1ll0YaZzGzQdMTstucskWVtsqusJS2OuXZ
UGCHgiPwrsHGhT6dBGjAhwyeBb1KBYChexHBFL6L1ab7Bqx1vOBy43XfwkQx8HsQGQCeEVIKkBCU
WiAWadf191Xfxx892eNmFItO7smPzt3ySjJ8poaj4IDo+7WJO59ZW4cQxco5iBsYbDrWv3QcgvHH
MqaKNO+AM4npfbS9AV1Srs95RR8pvn+oe9gOQHZNY6uEu7ogdVJ99KPS4KAa4u2CtIBjwZGuJamw
fHROUUTwdq5KSw0uWozn666uDEfZaWNoXTTZjgAYBOpXGrICT56vT8eV7Xcu7TAbaSFBjL1YJ07Y
arPri3QnKg3HSPrYo0UCcy8nVTf2gJUjk6HIjM9S87li+PaxYzOmzcgWnFp+GPyK6XGCW1zgT+hX
4z2Nb8OlhUNwQ0nf3Aql+ZuXM3NWNZA+Y1Og+LoYOQX9GY2TdOsJ+Ftmim5vDOFWrWztVVID5ZZI
lIXt12L+g18c49C2TLefBswSfS1lZ4v0L4BqP/37R2Nno6XBRi5FBPn2eXDLwCNGTzmZHfye4zjM
X5Hc6vdhg5zi+lBrGwm5Ygyl52CVQuDboZQMwmBRMD/SwdJvfFMpX2SairuQS/edGMCtW7LaiK3W
XqTD7Yr8DIuDLfDtmH4EdC3CjdS1dL+1jgpBWLoPza44wleJNi4H64NxL0CNTdAqFovRqJwyxb7H
dEPczNkZ8plfrkUXEE/GxgJ4PxTXVpWAkYY8wmN9MQ3HMDRjo2NTdkQy3ZbVCK7aM6fnYgq2crnz
K3o74+cbso4pBQldQo3FUPAeYjZVYbomffZ0R3PIp0APT9cnh3y/pLV5G0OjOwvP3iXvnC7wAtFG
utv7ZumcB6oW4sls8z64xfg5S7Dlc9rbeV79yrCpgF7MsQosrI5fsDBUXxwDXeG+SqMSbJUWCcrm
4NossK94qeG1UDdadYi8xv48WJLecy0Q2e+J3obnrkCff/JyaZChHDzvp0zoZdwpZuB/olMsT+9s
aGj2LmrJPe5oslC0vd158mfSxqZ+DoEE/rRMWAtQshXzP5x69Z8Vxn0f8FW1fzTQdfM9V9hupC9d
FBgfllZ9DpyitV7oNSPFFU9T2X2shyTKbmMcGp6mzOzjk9cV0y8cFKv04uXA+w9jjyQInGYpXnq6
49Eglah89yi7Mu1ETg7nFyPJen3ngwn4mcRe0B3zMWoghRAw38eFIjHRS8tGvcGHESagpqbqrrVm
nHoi9VZuHOMrl2UK7xzh1nxhJMOxWBBho6q4JsS6SxSMQyOYK8f/oZYBpyEG1Zpx3xV6j44ijjC0
DKSTwOMUVv/IkaV9mezCqTYipj8h8WIyI5zhGqkxmTVreZ3smq6HFqlSmEiDZxs3ZjAfEUAyeNZD
dW+PVnPE3xn0RUTpKlcM5xAYQQRySNepMSnAg8gqv1yf+tr8GpY/ikQ5nVncJSjALvbgKc3BSia5
cI1kbGOwIbaS3YUZPA5mm+N/sSY0LJchCyGy1IDPo33qqJNyQ29Ok9ykRTpEJyNM8ajc+GHzjrz8
YRSVCfQReZOqXPwwyl/oTMccXFWQ5x1UMq+IjsnYl8796Kjt66Q48bjr6tjO9+AcVfwAKGThtWLg
I/ZZpM2gXhRYT/pBxym3AAvRNK+U58cPRah1v67/2pV9SqDrsWdVNdHH8jZkYu6JJWqlUyxP1ecY
x9JhP+qAHDfeivP+pZCAR1mM9JfR5OIY61oasexA1V21z5xvSedj4ICI84NOqArbBruaFMRzD4Bo
qBOgRyVWCtqGMOD9Ucrpguof+AjpQ7SC/Ma/7mEKvd9ggkr2ZP7jmU9qQ4tNBbgRiPE+aNvRuSTI
IjeuAmuvmIOAqg7ieA3989thwwKKU91MJL+mTmDBm0Y3XBzExiJdOduEoSMHwGBLp469eMFeQic/
PSmGSxUAm3ioKc7P1in8JwOFdHT651nDRYNQkoQ0vWfLLYqovhsyoNhuXqSmO2II8jQ1kb+R9155
cVweLXK81F4ROyweqeztLIKgq7uElf6Np4K4oZmrfLj+LPPfsliuKDdQ6wmHVC83grefJ5say9P7
snez0POc304vZHygr8CAflmzAO8zatYbY67MRINeBhqNCQ7e18OzSQ62ldP+pZV6/b1XZ3UKuJGd
BWbnUMAOvBtznPyuP6g+P8niSTEqMEl+0H9Cwm5eo3/N/1rHtjoc9M7tYixN7lNRopUDzU/tBDlT
9cjrwckKq9FmBsj61LghfplH36yDYobE05vTFwHOIWGaRtrBh6jofxjoLv7UhxN1rlmocW8lZYZv
QRwU2kvgE/LsEOPPnssxG+6rjrlK/K3gqHpVmkDLLzEbRo2QS4TWqU9iQLEp0bX/MbG7VO6CfLs5
c+3dM6fQZZL+Ufnyb9+CFTi6ZZRN40aRPj57GLpgFAJYEDlLI04D+WusUbSy/3j97a9Ms7k0h1qf
+hx9t/P6/evlB1kJwM1Av67RRPWY+NDP4QJZe1pe7Sc2q2Zjw513leXHJkdJLZIL7twk+nY8UmAt
ATRCcmxVzac+0+qfgLuCPdQEwKNVM/1EaFPuoT9lG/NsZdlyt2QPMrk68KYX08wsRF14FTXQ1qjB
oAEZO5u+OZyvv09t5YUyAqto3h1ghi0i7HKyo74sJD1qYQuypDE9tb7ISBOuLHrpM2HzeNphVqQo
hwQM0XRr1syJ5xYT0niHo7LX/Kp8DAJObHQdcDNRCXQ/udJ/EthRGxu/d2XasVtSV5t7l943FGEv
gndxFVHEA/dAeVgWj2OSAN/vGj1ud2HlJW4+NIlzuP6e1sZli0ZPgORZiKWopIh0wDFA/l0lt4pL
0jbhk1HleAJ3sfaBY7IGyFqFn68PuvJt/uTGyfzN7ZHL+n7XDRDV5/5B3Z4KCIkq7k52Zx+HNv/s
4THlXh9uZcbh80dxlvNVpSq9WNJVFqtGh3WlW9ct6A+rc7BhMIpkS56xFppTg52jTZoMHDaKt4tq
MkvKgZhYuiZa6OnQ+3r4mpFhmtG+2YgtclAZrga/t0OqEYfPKrx1ce6M0sT4XBjj6/XnXvm2FiGN
zmcieEN8+PbnDF6mwJNVazfEYhM77yS0ngrm8blpRX4bgxkTRy0J8n9PtMyRIstCn7/tu3rPFMdq
SEmCjsIOELjn4Z6YxH596QgLjtcfcSVuBL1M/oO7LYmW5dVjdEbuqmFRu/kUaHvTl9qurFRnr0Zh
cxr0wjtrntqcQtbSKcBM7+X68CupQo1JRTWJvZQcxVLQEU1o20NRNC7ojMk7CKsFSZRhU/AYAqum
S90ChIVSidl+1MPEIMsaaf4XNYD8u7Gjr0R4FjEkESz9gqgRFvvqwC0b1COdO0PcjgeJRkfuDGVo
q0Pd5dVWjX1lCbOD08HAukKKtjwmue8i3Wpqerv6HMVeE7QXrlntzsFD5wAiP9u49q49ncUGSTKD
r02k/HYuBzizFboTNS6gZpq2y0rHS2jIRv8bnhy1+HD9u66cjhRluZ5xUDG1lqNR0C+gKFYN3WRt
s28VDSi/qeVuG2nKyRogBA+aZT6V0KA29mNT8CBvD2bSLXPYzGPONdrFZ0TeEnl5QgMRHX4xS7Uj
VMfooU2nHWkMlRIYrSMPU2L3z04UYKSYG/b4Bfi30h/Q8Hlk2W3bk0d/mmwbEnShYhllez0Avb6p
MXmYyiHcjXgoaAdoUEV1rPsEeF3tI5Y523E+zBT1CSKor3va79TBewamoz9aO8srrGetqJVkN8Ey
e/BazfwdW5oSnMyBqoGrkzN5yX0PEnBXZS1Cj7p9dnoAFCeHRg0wgI2p6Hy8EXPKzuqdDuqfjBHz
YkZ2MOlKhK4TeP3vPABw59K011h7fF/M7FDBmvT2mgxxituZKdDlvV8G0tyYZu8/PEsZLSfpMo07
2VLhIqORRj9QbC7s7MJ4nkEMzm/stdrgDB8dNUmQVvSaROy33o6QTWxJ39Z/AHERaQtVeyfxK/0A
SzdL4TyWRhN9nGq0NVCK6/LeJ5o7UzOKHhB31B9GOkq/Xp/179c08dJc8iD+YFNb1uTCmlrbFOsT
zGXOBNWCM6piJLfrgaicxp6w6Pp479c0AQdBIK+a6w60mbdrOomtoMTthz4Do86OIQTzo1mp/zVd
2++vj/T+JHw70rzo/oquByGyENcK1W0wQj82g9NiwNQBwedMPIkACyBzGMvz9UHfhx0Myiq2NeJ5
UlGLCLSJRvrRAx5PeCRR+1C3b7ohrjaCG0rE73cMoug/OWvqt+82/iwd+4b8yVw1j7L+s96Bu/3u
lHmsvxYWTRW3qhGI/ky3GWbqTVjBF/fgXIOJT2AsHo1aOKVLqBKTkkK8Fu0KOTbTATNegeVvnk7m
TteaotwlGIPNAL2iiG4jJyEp7su4aOHvoK09sNG0pVsXRtI9EltMAv6/3f0qDI/O2CAsG9jTgTcp
4P817DHLeLC6QxnU7K1arTWQvxMPj2EfN7uOLppRbx+VwCIKRdQdDC9IgpRPMoxgY/qJ3/q3Zmdj
KofJvP/bk1ZsHYwCWu2hbEMqj4YM6t3UQx7cT5hfR2fy/sUDFe0wOc7ZpQlsSyg/GNRKArAjTfYz
J0g8GaanPdmI3x8rfvyt6B2cS/3AV3GrxCSsPkwTqQh43FFU3tHQbJJ4hvn+WWs0O94HeJANPF4j
HvpGm6Kv9YQ93Y7MeEOm3SMW4HhMq+K7HbV29aNJcpKiIL+c4NaEHDg+TKoSfW7GMfAOZVn3+Qnk
qXPuRKY3PzHFCZ8Bh6bxWUro0Bcb4678Uc1ZMj8zcgIVz6sUPraMskbJ1UziGZY/LK+6b6PkWAxF
mz9GJa1pe3Uw7fBV1KRHb2q74mhReDH6XksrAdXQzDrnAvjfC10WL/SQCbsNusiLBvh8XGnjDRax
tr3PAlrwPiQNsix00RkmEjaeH943WUTypmkEPl4kx0nv66R7vypmVXekxLV4eEmmQjgHm+4X/YMX
RkZxpOshjfcW/Gb7c+8jILybSlSEnyUM7vzVj2NF2wmrai56BX+NdL9qDTsjghJ6pzSe3++GoSW6
mihZG7fVFBrRxU/zivtUjZJ8BxRY0XDCHmWI5/ZU1ieAiZx6iV1RA1AjUy++dHVo9V9qU6nFLimF
ePVLPahv8zDD+8OvA4BGA/uvehlxCx1wE5nDOafR8w+mKdkmab601BOWFCpARwmgd0gR+R74EFl1
aMjEhwBopWZEx6bCJx013pTcqDnex/upMMV3rPU8qLoY6KGWTZrxCRstvPVsH1MqB2yzzn/K4T5P
47EErZkF7T5GYPHD8ypJbihOo+I2s53hl1NbIWdUX/DZSVQNWKIHlqm4VkOrwi7BozXEZZQY55jg
CyF33CCw4+NoFsm+7uxGw1Db1n9UJjqII5UfKvz4h8JcSoOmTg++qNTwf3F2XrtxW+0aviIC7OWU
nJE0o2Jbcj8hbCVmW+zkYrn6/dAHGxGHGEJ/giBBDryGq37lLYdiVJL8Tst7LQeuFiLXn1Re+rXE
vPjexs+Nprgbik+q1dnW0U3Bqp/h9cjpXHla0t44sxOeuIOz4QOZRPKI14ha3orB7poA224OlhNP
NBfHeMqjB1XrBuNOCHV4ESgvvUJ+x1XXFAiQBrNl9/FhGGSEeU6lpKg+2k2fBWGLSOgtfgPz49S4
9T2zxqTTwaaVVdOCyv3JVQvtOKceJo+AUez+66h2jfMPdI8eC9q2x+6LdyHErLrReXsnq1hM84CE
QOPiyfqnwN1Dex11VX4dk674qAld+2JBk4luk1gkp2Fsc+0wlVibgVusm+aWP8I4SZfMyy8bi5YN
QkF7wetGP4Za5dLBXPJr76L86maVlaQicU9hl0Q10Vzs3pi5bv4yEZB7yczJ+FlZlnhsKqN5TJLI
vWkj3R58p7Hin5EsxvCIIyga9dgMaDs56UaMgWQQAgOQ/vXLVr9iJ7o79gpU9TCsA7Z9dTN63nhf
qM10r8rCev/LjwAgB4/qNxhpffk9/3n5uwhDu65iLlLywk8NPhqjzysm7kL2cuwXie19nsqw//ru
tx/8qEZCalFLvGjL4zGERG42OScPUYoDSap8COnb3Vwf5TL7ZQop3oF7p86lrVsHPeDkzgs156QI
wxM+SWGInXQ6GE8FPvNfmzou7k2rkg94Cg7PczPXr9d/wEYEh8CVTcFDhxtirEvwaPiletcwu5jH
dIfWAIdYRUBkR9yx7q4PtbVxDDCIhMZLfrsGHahQUtWx1/lWimN+iGE3KRmPAjLz3pMGBWovEbuM
qpYCvE3xEAGCi+hNT9sW2wLDOWl6/MuM7Po8C89+FuGs7nzZRpzocVRp5YJOoTq1pAT/2aK0yPWM
6wTsXRSTHIlBe7LkMD1fn7/LEBi5CPoXeHVCq0IZ5u0o4WTrtdRG92S1inqfppGCz2jsMIlddUdH
oAwGnd1zfdDL/QFdfMHIL8SIhZrxdlB7xvg8kxT0dFyTEGTE1IEGsgUoXWrH/2UoerbsEHp467OA
aUcdqkNDmWvCrR4tSMOPTWu6zdMw3jl2lwtGyQmoEj1RzvYF8BZTryQmsHNPdQzAfgGkPxL11js1
iMsNzyi0ApCnAaxHleXt3M0CcE06mM6JmzxUj4A2I+EbkeVgB6VguI6YJWrd759EDwQ+1VKq0bwi
b8dU05bTgIUbgqb6ElNxCrSAh1gJ7K4ednLty9sL2LKNvijyQMhGrluSbdvGHS461qlfLAt85GCi
+G7AoB3o6wCc+TCOhou/OJEd7rqgAA90/MZm55z/LaisCi5/ETK8l+xT2m1vvzl3nBIxL9c+DbUb
KQFWTtYTfVrLDOhNeJ8hJKR/oARauDOCHK/8hbTRBG0zFDZOH0AVfdoJTnWDBqxS3tqhHLSDrKI0
u5Fuj8kDhs6Ne4g8u2o+Dnmn9yQUU1S8RAoUjsdpnpFngV+4mG9RUcXtAFWcIQCe4J7k3Ey0gNLM
eAXM0us7t/flPqbOgdoWV44Hg2UNu6tLOU/oYDmnri7Suxg3z/tZLfqdCb5cZpRHoNdRV4G0eDG/
npfIylO4SEv0n5/7qcl+YMtZVr6hd5qBnaYTn4scTwRfb+ryFp+4+tv1Xf1XzuvtEhvgU7jM6YBT
UFhDLtQ2SZsQVb+TMTiFfgB3YhcvQ1Y1/b1bUCINgFZ7eSBIkT5L7ExbbKNU7KFh7ifdjxhN2eHQ
KVhS3UFowy9MRb+1vq/TwTGOkzJgUqThJ7lHi75cHtaExjN1yKUPvD4fYnaUik1jUrTQ5mOSajlO
YhhoXJ+cjSt62c2IPlH34tgvv+I/r8+A46fXJJ51KhbH5S6jSeBXCTt8roW+p1u0nKXVQhho9HFr
UjZeaAVvB0vxX+kiFWKEQk4c9N44fZfz4KSYrcTTR5MgtQ762FEfEqPblbXYmE+DL6Qxo1ItYUrf
Dm6oMjIyG5x97VC2iyY7C7rJ2nscNsjLYDuRTIMvi+AD6Pa3w6CJ0jpN3bsn1Gq7R/h4fN6EYfqn
VlfQpCMvmRQKa2qn12TpHArYLxlZQVYoxgDRX400zO3t+RckLoBtVF4jTkmZaqWPwEKX46MzF9iH
UNMXRzdLm3PVAe0OME1NHmt66QCRs775YUsiDrylYreXB4fXXz1CxvNeXa1DbQtvXOPJy8nySf90
pQzQ78GJ25gLlG4xjfDefdcsUvhLQRMAOiWx9S0r85D/mbont2/FEfNq484AhvP+9wvxR3ogPCxU
T/VVkFN6amhHI9lFAi8/GDsnw2mgwFepnvZer63dBKMJUTH1r77HqngpdcEriqsl8WGrHqiBW4eY
YH2nurd1Ov87yuqDKOiltWlmTJuezKB2qvwmGkP5OcVQaGeojQCRKBRZjQWGTeSxWqFwSESVRbF7
6lVtwHp5wmCSuxuXS2pDD15Nsx6qvLMTIW5EOTCYOI4LxN3V1ySmcO6wH9MoXpoxJjSWmIcbdcAr
kobCeGxwUvp4/brbWjbaOg42YuyvC1hgrjajNIfBOWXM5dOMu3YA+MzdCW225nJpwXGzErqxj9/e
AZ4AMZRIBNmoQHo/Sgy+PSw7qavgeXau2kE5YSAl93TFNzYLFDtzodoRlF48GC4lPtEQSZzEiNVH
UinRCZM3vOK82N2JtjeWjdubRhxJLvSzdTbB7Q5Or1A91Kbigpwzs/RXxVDGJ7o84hFKZb4Dztvo
tAKSQwIY3D4vB03ft1M6Yu4Q4UMYnqj+Ro/oazn/AJQ0vlGf8j6P4B8PRdZxIc6Zd8j03P5Up2U4
7kT+l7EM4B8kuVH6sAFNrN8vgtkSRbgyOpc2pXU839Phfk6nEZ0SNAq+xgRUHp5VcRYHnl5EBOla
USU7l9zG3C/qN/hIEb2hdrmaCSfOoVIDwj51mjpPvqcq+QQKVJn+FHPIlRrbcblze2+825RsdHS/
ABQg+7Xaz6aFgGg8egoeOnNyGsFvfCzxygtkMjV3SVyPfuHFsy/JKG7ffV7htS+oTOgvxsWyD1Fu
Vd5M8dJyOufjYOOj5hWe2Dmvfy+3VWCCUBuCSWSrS5S4erRTiKTR7NUKjgejquG0jiKV1HD79LMB
jIEPnFv9V1Wc7GMKLxpTK29KPqiYjf7StdmaP+dxloa+TXAYkzVZ8/hUJnmZ+0DMkZattNrWAk+R
Hc4skZJoN12nOSF+TamKf1AfeRQ6MZefjxIy60MLtxK9kl5oAwQngT9YbE8uZupTMmQPUtBn8CW4
deuuiiLtM0wGb7jTQFfT24ik8dwObfgNnZ7kuWsKoR8yrLnbI62UuLud4MF+mtG/wmBpWBzAO3J3
kOpTbWI7my0OwzIxxxc7g78fZEjwjdim99oHHCds7MqsXDzLIs7tA66pxWdJtIbDo1sRaXShgmOV
lQArDZoxb4Bj1p3THnLpVXnQYUNn+12k4TZn0R965pmRoPuRXOn9uB9rejnlWHyyyhjHJrwYMA93
CzHqH4sUySEg4waGqWnmTueCZPRPbnX6nz4C4F1NzPFxiPr8J6KUmeePlLPbQKVx/RuusfG5yZP8
Ny3N8EffRM2rK/BeOKd9On+BW4UpnsunNkhv9O4DVFqIXKmjiBvswsj5QupD2GIiKiWgtqWu+SVX
HDveeXs3bu4l+gaAReN5oYG/vdym3m0Nre8V+ObJt2nUbboDjeYeTbNIdh7AraHQkUYkgzicKGkV
UdQYHPMzCFTUohg/Ib9Sfixw2Ton+LvuPBIbb+0CadQp/kAOuHhrafClISZy7qmjY3KXYfL5NKUY
Zl2/ITauQ3dhQ1gLyo9MdjV3NsZSGNc77gnHEuU7C1jfx4mnJjBVDJeUqXRLebg+5NaHgUMB+QOq
SiV4WS1X2kYpDT4S9AnZDcWR8lHocFevj7K1UsR+zBvlwaWq9XYUNx60OgEvfhpabT5kMh8PZj+8
AifLdrbf5vdww8JZXzi5xvLs/ScHNG1F2HbM9zjYUd/hP4nBaRXu9cO3v+f/RzFX36NABC1EARCN
YqcIMtQvbmkcJUEHB/bu+tRtfRDvFWX/RewGmYO3H4S/vZth5kcdS8OlvqXc9U+rOOnvd4/C+7vY
4S3ktIv6Cf7HrlCa2DtFrcyPRl9ON1pZFu8/RXAIVR4lMHWElKtpS5F/yDG583AFSFyNDG0IvTtc
pYduZ9I21oeMiSLTIlm6yFG8nbROncM8bxt6FlXff86GFKCAbqCeRhe9jnaCmK3BTHYa+CowXRd8
BD2UlF86EhvIGOEBlj0o3FaOPq5ie55wG8GLBxQYfzRaFA6Z7tvviuyCyEWnFyMofygB/p70x8PM
TQ1/KpWqAxAg3d9FjBueRt796fom2bieUEhm6UhxCJ3Wd0VsoGCVz9TdMa/OfWVScAQd4sqEZVtN
n9E1iXaWcetzQSNCw6UlxN+rvT8Laq0p4IwTghDZK7hfDG9lG84H2n3iSRFgMGFkqE+tbNDHu/6x
W6sKTYIGKUJTVPzXY6NOlvRLdgW8dz53trQIdazGeQT+Yeo79+PGIYfeZeB1QkaAptZqsJYLJJyd
0gGVF9nHxvDyJzfXxc4ol5+EKgVdExoYS410PZ3S6DFXbNvw5AF3uAPZ0Pp9G5cfRmfX/2ODs4ai
MfpjFiwdj8L46osAmGp0qePwVNQUeg5k6VN8WMpGCWUMw/1CStEMAcax9nBou7wdgzLH9dw3K7PA
Ftc0iQ+PztjaezDbyz21/DCKxHAx4KytRUBUFIbstkiW+GSOohvqntlvBEbNGxyItQqZvbYzA32K
msQXJbaox+vbanP4BUhFZ4LLdn2GRrfEcEPVwlPS91YeYJg9SeSNQH/6StSW93JQjW/gIkVy7AaU
zd4dYZgqYR6FETS7ua5WF0jZYIqJ10aIMDisH1PxvEOhVvJYhJ7xnEfZXqtuI9flQSGvdlGPId9d
p1tNU9d0VsvwpBr4p0uzg1GK2oF9O/V4nfZapx4tLcUFpHKHj/gXYy9pDtXz9Unf2vgkXCBIKJg6
F/0nnBZk23qNcorHwQgmb4Q8K7riqBeOtXPGLk/y8oBSMuXOWKjsqwl2staOyqFUTvqIRYWZkk87
em78D7uIHjU6aTw8i1T523fAmbu+Kgp3mdV0ulE1gY1jV6THMUNKqsc65SCywTgkDiKO16dy+ZPf
Zpe837hELGKaIKbWRa64h5gXzmZ4QvfXDmrbMB+jvi4CV1WKDwodiL3XdUMt24T5vZxVxrzs9uL8
ZmL01XmnGXjIkrflmf4ThbCofrbkbOc3Rd4X35yuM760sjBF4OBo7wRF6CYl/tRl80dC3ftklC3V
neuTsXXLgYcEVL3oWoDkXk77f6JNK3NnoTYVkAxhZfmNHLLsRbVTHbFW1Pm+DZOqVTfQx4ufquJF
po80fvHJSBy9OQy9k85BrVRatrMFLys7QFAJRzh11lJnWv2oNlvUUBrHOaWJ+jz1+UOJDPlt4rXW
eYo0cSQ8+AeP7fkQiVp8vz4jl9VC5oG/yGEQjLjwA7QLPTbsnGphpNmPfZEdsrgJACKJJ1HGwN5Q
27y7PuLG2QYdhO8tz6ZLN8R4uwRRJDPFqGvv5IUxAHBPlcdYaOo/lTa9H91AZZegkucMVWNekLdD
9dUE34vO6Slxcj0wlKY/QPnqdpZv84NgmiydRnS31oFHlhgEqZRgTsD0MDMl8SPDgGr4Mg8Gycb7
Z8+C5s4fQ6eQsPztJ6FBpZvhSAod2YAKwZ4WByRxLHyew70ccNl2q5sDMDYXFu8eDcx120QtYa27
Su+dcsvqk7tOQiHzwxFrDB/TqbEMVDsBia5LN3pRsXzcO6wbNxfjE2aRE/CvNcCH2odLiMU9orrK
fHAhBhxno6sPpSNFAGltT9974yUACM4HOzRsobOs7mj4p7o2Lcl831rDI8mQiap+stfz3Poqii2Q
tAjIeeBW780kFfoAJCanaPLs5GxFWvmSJwbXsFo5YX9EbOj9WHduYZdmLpIEG8iKAUvJVo/I4pzB
+FdX2+ahyufwkUqc2KN2bp0F9GVRhKHwgqHJag4nJe+9gT16Git1QN4VveOGmmSgIm68U53dGIru
IKrdtPcXXdDVUOoMAsaYbOMUO6Doj/NA54OSmaX8qeI2y4/Xz93Wy0FpFprVcnGhrrEaLqu1eZhR
LjqB7Kz/DLmBGBi4YzXzU0GOfDvNZTk+G80wo7YfNQjESA/29CHL9IYqbAub9TiqlSp23veNXesC
jKEExV6iWrO64xBAqbM8gsIvTKX5NqvRt9EqlOfrX78xiLekdaRviFNddMrUODQ0/Jrtk1bpUaBR
KTwpE+j+66NcHo2loAUaBxw77/M69GzDWuvNBbjYu2X1SbF7b8KzK7EBv8zpr2SKzJ3L9PKGY8BF
Q5VCioX2xeosZihdOq2G3h48vvBTZ5v5zZh41UsJNMifp1h+h2tUBF5qtTtF/81PXR58anhAs9fX
eKuFnZGq0gHkPk63oMYqmkmGHegQbulEGu9XRUC93aLJybtBI/zi1sk8mw5/DSw3lONtOYbaXSMH
591PO3I/SzFKR5CYGHC1F3sdoU1qRM4J8jI8L9WIHopm/u3psnz//KFaSqFo2fV03FfPoOn0MtMH
EJmoZutPeu8Bi+5adGcbRbuZ1cTaqVJehkl0GiHSoJtHxxjF3bfPbuPINLZhXgEhQPw8tZPmOKI0
EUglHM9Kak4Bwj3vdS03wQ0trGyb14hneN3xA5jh6XNb0VNtPPuQlNiDsKGq46IA/+X60bs84KAW
gS8sHTaPPGVVhQXs0zP+GN6NdhJ/ku3QnNxKG/ZstS7v7GUYnlgU15jENSt4Mjo0LuH23ZWuqVSB
omnlAUoiHryqnu21ADYHo+4FhHY54WuNZCSSTa7GPLybVFvctn2FH5Ndh3exVu8hvf/2Pd/ESshW
0tYnJqFYbl3Q1zTMztzcbuKzMrngMmPkOZyj2mfIIDWT2b1OeTWMhxLlddtXG4EWUW91xa9i9tLi
GDlWgYL/ONbfCqvM/x0Kik43/dxPJZUGUf6OGReuWD3UYWBavSOCdK7BO4+GqzgfjIg10/0owq/W
F3NqOggdJb0IyqJEYTfXUUc7zH0WhQce0+mbUYf1v8OUpeAJAXb1KEgB6OBmn9A2XhitAXe9g11i
NrHZit7pZFANYf3BUmZKXPkcxXhVzkb+bS4GRLLmppB/5jRq7sAVWdohLjwNp/ahFxA+1Dl7HmcX
Gsw7N+wy4YuJDp1ZKo3rnAkGYl6EOCCdw7GNDrR6ilOhA3C4PsrFFgJkywnkDJJxARZdXTNqrCBR
0I3KqQUT9sVUK+MgZq1/ikPe9OtDXZzAv0P9VYtgpAu4shsjA2FZoDOcpk2Ohmz0+7nI90AEm6Pw
DlBPWsoC65h+Fn1vo+9BMW0Q3i0qksqxgL+28y0XrxtyLciXLDqfEC0uqt7V7DWpdK3wRHNRP4ZO
JwJN0ZPvodenZ7MZkz1vg411osqNbu4CfONBXz08tMJae8aj+IyxN5K1rerchmDx/DiWe1nRJaCT
j8Nqni4FXcxF+/7tU1Bqk14Dy1ROcxzWX8gsje6wFNMetC6dpU9xQ8pDInoxQHWcB45KbHdnLAOj
51RPx2e9GNWX0TK6GEe6Uen9stRT98jBLX7Tem72Wl8bS86thM7Kct+yHKu50WY7HTuobCcnL9JP
atMnPyFXqjuyQcbWEjAE3Q7aoMBzVi+kFmWKqG0PYpWrJDTh42jweJMNUoypgSt3l8nRnf02TJBo
nXC9Uu4imvZ4hGud+ytPPCP+ZBSRIlF8l9Z3nIBgTMVIRRl3WZE1k0//sXOOg8rleS9R7MkCK7aa
+JMWjpmFWExup8jI6p11qySJ0gawDrJfxWjKKWilBV4RZcyCGw6FQeNoOX1d38SGFZaUulWwFuCM
5j9UgWu4b2Go7zlEb60CoabOP+RFKE2/3TWKlWoW7gXUcVMz5rKtp7MR1hBKr98iW6uwwKpRD0Ls
/OIWka0+WEVfhKfaVIrX3jLix0oTo+nbCNi/G/PFSQBgtjytaHF665RIk4h8UJ4PTyKVGbTDWfct
XeQPIOnk8fp3XUTqy1BQYahUUTO86HojpN6HRkh3YkpGMxhsdB/yTLjHSZ3lQ0th61YpsNKpR9v+
9/rIF8U5Rl4E6LhcKOBe1IdljFil4g7eqfaAKPrVlFl3SU5ZAO3GOlBcJBl1WwCvy635CAq/3Ik8
tzYOaAkSd0ShuHJWG2fQZpXntPVOVhHG5yG25wA1gPzm+lduzS8IBpWiLdIDMOTebk/0MmdphYp3
Mp0GiTv8aOStsGLxY+Hy3SnK8KsZnDYAlPfuigHzS8dpeY7ochAbvh1ZKQFv4bQdnqxhNm6rxlBv
R1BOoIur4r0VA+J3zjIng14atZdlqv9T/G1NicLfsl9Dt8keCl0t7ou6d26aSu5llhurxlYFEbKI
GV+W6aalRIfmSnRGUbz9WhvRwvjM5Y5838aqQata8hLay+QKq7mzS9gco4kAnSHd7E+ky+G2kDBs
j1UzeD9nLTe416wivs2zKtzZMVtfuBB1/sJ1l07R28l0MsV1O7pg56rsrVv498ZwUE0YV4frO3P5
hreRNUBnagEk6PSkqFW/Hcfr5qygbRCdZ9h9R3Dmd3Muj17SjXd4muz5am/M6EJVgyZKqYPdvJrR
yZgSU4+j5BwbVX0UwvFuqn6yMdWx0y9Grdcn3c2b7x0coZ3NeZFhLjwkGCocP645mn5vv3PMSg8R
yiY5CxuM36hJ67YTIvsMY9a4F3PzB358uFNw+XtDryYXMCcCXJhU0Jha3+BTbgMzdIQ4Q02owiO1
ZQUJIbeMWt8Z3H48dm2ZpzddkpbGXThqrTznINqArck4+ibw8x39CZW4V5j8uuVLMymqI2V/nEN0
r7d80ZZt5xuSbeq3phLdaspoG37jNZbLNWapH8bY0MS5kXZXndu4CTu/dDpM0xPUL/9x8wkugeIl
J1n1je5XpZc8ga2Nvtv47n4PI3X4k0QqNl1RDdbLjztPfwVvIX4UmBVERxsxoPjJsvDj7TLLfKZB
Oz85bFjI+rNqTwFay/Xn6/t1cx059+S3IFYv6ru1V2j9INAsoEZO3yuftU7zc90bLL/No8q+HSbM
24IRTrCxcyQ3niqSagbGN5UaxV92yH/uN/RaEqTM8/icOr3oboXMInCMbWRaz2XWNo9s+OG3Al76
A2Fxrz+g7Upf6/rnX9ZJ2cd/99QSj3M5rd6rRDNEPxhJcp7SrMs+CYtnGzwjHXuIJFxLfo+i6hwo
uCf/hqE+fhzxK1IPcHzbONBqR77M0kiVnYzksq3Nz0LdENw90n9QZFbXlT0OYdR2XJVl0bbyyEBt
Fci6gtky0oTUfC/XEutW02TVBe1UW8K3WtssfFeY2k5WubVOQIoRlDLo5FwgVcwewATlgOisw8I7
LG3OY1pN4ZMQYKzC3MafVSmKQzJCOMxoGr9eX6LlU9eHHsAifT/0Hi8TmHCS5dB4eXQuzKb2XWWy
HkKC6p1zsBGJIjCOkQkoNTbluq8+uWSAEK0YJSLTBPaEJgqj3Az1vHd1bg+1NE9p7YLWXgUvpKGt
E3oZT0Sme8euH81PRqoNBzQs6p04dHsoiu18Fhzcdf5cRT1RTBpF5zQfOpytVPOQF/Ps97Lf6wpv
blnSWRy3sMBcwEZvX4RmEHFRYn94EkVm36M7UxyV0LA+G0rRPo1JiUKYWohARSH0phs1mF5GKL5e
3yubxxnE/0KhXBiB62y3xlksiTUCmV6bnB+0ORNi4LqpPrSqSFEywTI2vx0zMwbTnXG9PeKnUc6H
MjKGH6WpKZ6v24WxZ0i9dcmygxdjCpyWLuCpapbPDrdIdOZtk7+RYh+BsotI/eKEXXuPpCaMWn3A
CO76bPytT66ODqJRZCLE43iRm8bbJcFzUtJBVJIzXRc06GuMU36X4NJ/leOk/ij0vn6WkyOKZz2V
JcoltdqrPmy/FH0d0ZCUel3nPKOAk36ZkdEVfu7Myi+8AWURFHOvfTYqb4r9pKhr6avGoJgBKjZa
f3DteKKqoFTNjSxNHc63x8NaD1ULG69PnRc8EYR1NuD+YTUVN/jWxnPc/qR9UYj7HNPDf7D8lWT+
wqmOOML9haojcxOgABQDW59E+pxOdf2PkiblEJTwAADIo3eCNlIep8YxK8qw5Wacyl+tq5Waj4B9
jS5bauQfSQ2V8nvrWuU9ANHWeInmMTvmZju393U7pq91LKx/kyge/tlZkMur7M16rI5IFU3ulBns
zsHKfukycY5T49RBYWbz3btHgnQPZB0WJw3O9R3TTyROA3HQeTIBvVkS365ikM6hSEbr4/Whlh+9
2mRLX2PxyqQ95KzTlKKtEWBWuuQsS6+872aUEeyyKQ/XR9m4yVD/JBei74WA9fpBdADBYjkwpmdK
4v03M8ySp8ILk5sC95ydMPNSmxSgJEEmyBbABPzX6oKmOouerxWl50Hx6l/toM4/J5iFX1W0X176
qhs+DE2V/9JqmVR3iRoP+CwNRl8dB9MNf17/7o2rg3eXmSWtR1pj3TmKLRDGsiY+AfvWPLndjAYR
1iw3dHydo1Wm+nfPEvbOkm4kMa5LOYZbA4TqhaBH4wmlqEstPtdobR0hI0DuQAD5KeqbLsDDJPry
P3zk0oijTLnBFUOYq58jvvKcJgk1pkWt/CXSCof/FEn4g+7/OPsmVShj54bc2rsu8pX0QACNXCBu
uAuRdqJne45JdxPfKNwZO+rYfb7+fZcYM3YU+cqCS7cwn1m/wxO+5J2jT/G5iUMoygAE5WfVFIh2
d6GJ7FkViY8KHMzXugjHUysrgdRaizvrcciHOug6NdVu6lnWOwu9daoWbiJEBjb7RZ8w0qFKNH1M
9K9r2dOgOMPtELreQzZne720jaleBPdIFolDlurU27dIxNIuyqqOz3os1Z9Ooxs33QwL8vpMbxwX
D4FZeAxcFniGrY4uJta1N3tmdK51HpzRmA9JHwaTmk5BmEG56lGweP/NBJyDZ5aSHyX29VU7jAWq
mx1WpoUlxMG0I/XW1mjI2wi57NzqG+cSbC3C83guMOK6uICYWKqoYkjO1dQq9zJ1+6c5SZUpEET9
3U2hlHq/c0I2KgwkhYtA8YL+oan8dtkqEL1apHFCVEM0jzWR90vruNM9sqLqOU7i/t6yW1ehw5cq
/fH6Ym7szuXQ0M9ajs5Ff17qs+3kqk0ZsTLyW9NJfshaKT/qdf3v9YG29iauEnBTQK8DBVjtzSkD
ZSSX41miNfwBuNAvFbjBThq1NQhBP2hlxD2oIq5mMsQV0ZgpRJy1Fp+dEQXR+BgbZrNHA906AjwG
CwAGFNrFJlEsrUjijo/pO/lSU4a+pXft3JidSBqIjGoVJA3c6p19srVW5Kogxeg7XuKw7QIlFpz6
uEkUM/zYVEMeuBq+MHY57Zk4/70tVxHHwn+nlAcNi4t1lbPD2DDayK7EGRLvGN7ofVunH5DJ7/80
poXyI/QRFNrGLjIPBvVGx6eH0X2sUJsAPDvHP9JUoibpJGH1qwUq9KpGUf9SiA7NxbywqtofvMrZ
C8Yvl9+iL7NEE8gVA8vQ3x4kjpDZTvkkzpXhYkXUh9oRreFqp3CwNcrSN1OXCtll38b1eoJdJ6JC
NhTJIUUX5TjVWfXug8k2NqjasNQQuS8uhT4e466rkWScbXHDhhe3TaNVp6yBbfHeo0mzBjrJ0gSm
aXOR0DVuqrfDkJ4dBSx9Jdrq2JT5noDU5ZmBO0UFiOOiUWxfdwPzqevzqEvTs9qh/+rrXT13AfoY
zoewozPr69WoNUcJ5GQPivE3B3u7melIERYsfSJIkutesE0yhbJkkp/BBxlLINLqbiD1vhkPFbYg
sZ9qs+kNJFlR2d5Sj7VtX1FH9Vcl9P5LgTyoPAxpD6WS19Sm2STb/LXOOw0TqTpC0zAGExA9eGUS
A34FJv4vZcjxg4V+qh1AijA/mF6cPNeajV5KrXsNSIoyN8bD3GkC27+uc+0jWqUGkPI40qdb1quY
gkTMKLdboXQFDObWbGBoa3kXuM0izSLa3EyCslLNr7NRQpeWnsWVk5YTCaApGhcxIYv/fX2vXN5B
TKVF3E7tDCXDdX8BWDx4SkPneSy69FZg833UyyoLSifzdi7zrQ2zcO3h/4LVuRDIqcIpHhRjTM4j
Aqc+iFX7t5k14Hwd2bzAScGhbWzfjcXlEaQfyx1LFQ4l6NUVIvtOM+qMMBnkiHbXThBe1NLDEm7U
lQNwznrn7F0W/oCrkNDZJHdgmi8qOm3ToXRUpGfNLS1xSLLYfE0bO9QWMmCGUiwv0I0zecVwBPHi
vOpRjUz59TW9jD8Wsw3CHQzTtoS30jhT2lASf1RpEQYynKLP1KLFfTsN+YPdqfXJ1JseWRl+/87Y
W/uJdJM2B9N+iShvAGJN+sDYhRBesOAfFw1lE1VcsVfw3bq3F6czmzyESvx6qjOlJsXJ2U8hIsLH
0S2qu9LLu517+zJ+RF6bYArVEypCKDu9fYPEZMycWzs760oelCLPb0Pq775aI+0C7GInFtc25g/P
oSVp5ZMupTCiVGSKVYKhifReRxlgiuy7FPTbZzcu2vC43AbjwYpaeMeupJrjN3WmPMgcVFGTJCIo
FKwL7+wB2bAghKh+n6rRnljKX1jd6v6lsrx0sICA8nCu5mSMuPHQNeMti3AGuJ2Bv4CEoSOALVOH
PPiDhrqgeqz7qv8QhaPZBeC8ZHlM+kp8VrFg/IMVcD7f22pSnixd7RZZ68bEpDhJnaMNxS49qDJx
ISAKtSpPgvqXcsYnR8jAdRc/qBAhlvGYh3abgc1MZbuzjTf2FkAjFEGcJfVEn/LtqttUMpKpZxk0
1EA+m7np+QY60jsajM6i4rSeSNqrmHXCdAAxuZrI2Ugq3nGARp7bjNM5QS9e80ub/hjQPKVo7gF0
orndJ7WlfbKq0lQCI6N94bfWQmXTgeXlqHlNQxikjlq8hNFsIuoBI330x17tKOm2Zo+woXRLX8f2
IL/xesCJQRoVogmicXIfyUeAME52pc5Br2bJa9aZPa3I2f6d97PxbJXTYPgaELnEV9s4SY+ZPrr2
IeoVqz20AkrXUetrWz8MkvYuVRZn/Fo2Rm4Gcpiiu7K0hs7PE039WVdJ+G9ehfaTZk+4ODiAYj8n
gzB+Q6FHIrErvMq7DwvEm/2Kwmd4M2Wz/NHMca74XOIoLYhISYdj3kOofXAiqoN+OQxKc/CwUv5C
hKVkNzNGY6cpE+o/blg4g6+YTfc7r+XE+QW7GaGFgiq6T2Uj0R5Tsx6/ag3O6zcuBHiLuGAy9tLd
jeoYWQwQLb6CIvvFKzvZMU5EaIGfmnZEmpla6SE1myiI1Hz8sNQJn7w2LemYdcVjrnT9oaOHEjhO
r/8fZ+e1I7exte0rIsAcTkl2GE5QtiWfEJbkzZwzr/57Sv/Br2ETTYwOjG1sCa4mWbVqhTccRLNf
lfV2x4F2EgUVOK5bAH6kakU2LfYDoiWafnKiMa79Ju2a9mV15oaTpcZJ9Jg5zpReip7sAIV7KUuu
XTq3htv3zuRcgGmFy1nTJjToCwtplQwdZMM1aM3bT4xNluE/WWmT3kMoibZ3wXb5Ig9Gl+MAu8ZI
xkct/J5ZGuXqYz3YY32u+mz6XuQW9gDonivVs22vzrO5Lqbut7HZvk8NKf1q1xi8QsbQs4K/Nnf8
8r5YFk/qrCl1JdQEviXVKmfnwpJ74OJLQmGyxnoxfYRUzoFZEEYvg3EZqmDqkgFbYQLM7OfOoryT
tRW7OMthnx0Ek53Eh+JCQHs45iQG4or5bWg7NojnrHPlPKgyLrmNWjSO21Nj+ZPCHpCyrvFjMt2D
Vfc2HcsiUAG3nAHTdjwXVgKw20r2Q4w8gZuaoDemrKj8pB6YZg1V7tlFF3p9Rzoqq/X0iOpWe9G6
5Qhiu5OPcD1TjvBbYPre4EjQWE8ZffBDoJb5U5OtL5I69ydmUcZLP8gzqvaFdTaMo0bwzmWqCm0L
xCBloUK6ieIWuAFHq8Vml53yHHap7KWNo5+FVOPlfs61067komJmSCeET33TqphLRq06PgAPdjb3
HxDWwfY3tcFgu522MgM2i2z9kCYjkvtWIzPJhBA2JJ+HSVr/0VTEExrEGWE7uVESyuWbEWbg/sli
BEOSSvqmWTNjuTIJKRFbavNTlhRroM1TcbDK3j4XkzPiGySRG5wXf1AUCyR7vA1TieEWwNnPS+a0
4vYYnGAeMgtHZiNOjjJBZSfrFswGZu0G6NcbBB3I/Mnqm1h6iMK8m09aGwnRxMIxwK7wRzoI/b5G
F9oYl++zkcz/EYv6j+wbhqtltiiY9sZa75xMJTSaK9lmpvqhVY9/LwDNGOZZqXS255b5fUpN+vFg
6+z+elHNkm4Dqd7OaWgnT4oawU+vVyIVOFJm2kaad4AElEJ/WjRsLCB/Rue6UuTHOYzU1qUuNjz4
YPrLhFeK10mj9M7RZum82oP8KVq66QoWRfqq6d18iXPpSNNnJy1GMI8bjdoZGOq2+h+c1eqcGMgx
cSR/SNcivky1XvyXznP2OSkk5eAl7RxlCDJCiYnuyW27Mc4aOCU960Gfyn/kMEwarxqH9n3EpX/E
PNhdjIa4hQ82igzb9nSPeD/Gdab0sMxD6tOCwqUFneYrUmzG+f7H30k04aoTGgVC61bKsUL/DZEY
notB8uwpK/rN1WJoB1Xp3tcSGGd2NI/Dd3t9A/GEpFNxSY2QAz2pmzU/6bSILhGJkB9X6hHGbu8F
ctvRBYeSttNPhYrSYg8SPsyFOfgGmdVJwkfdRU3j7U1UIrsQAWMao2DFvWls6mFozXkkHi1Z+ieY
qTLSyzamX/mYHMS33acCqEv7TvDEbqAB/cSYdcikB70ek+dBcuYHupbdP4USW+79bXG01OaDYTaj
xHOUcrwQZTlbsk1rDS7xlyhM3qxsT2eda8HkH6alYBte7w0LDOAEzTd8SLHkid1h0VoPs5fpOlsE
kfuPtXND0BZBCUEU1MzPRCT8LROS2l5NwZTAN8+G6NTpa/oSF2PqW8b6TzPE/+mdMh1czDtv8vcl
7U0OMJWrkc3G6jwoZgI9DHe7+VOFdupIctodQQj2no92AZiVX2jnbcrVCIiNjN/HQ22b5YuEQ81j
1nT6Y2l2qM9O0cQluFoHfbW9JxT2GKLrQl9tC2jl/1z7bghtPFblLDDjgd5rtarnyJiqg225E0fw
whTCWgy30LndbMsF/1al60kpq1Hq/RVZRn/Seozz9CTxKNXN0/39sreeEGUVGDaMA7YzYNjB4TCW
qDtkw5iek35af06d8U3vezVIzNE5qMd33iTVGZ0exqCkq1u+eaIkpZS3AmsSx2gSG7hWFBjvXJCW
PPIb2V2Kb/Xr/rzl0c5VAm8RtkFA8J2etNJYXuj6mO8HG67R/Ze4A/Ay0EFDsAslDkbq23mAYea4
npmhUB91lPO8FJJXz6Xuz+AyLpJiLRQiK8RaCGovrVb3fxVTVnqqUkuPUUTH+/7P2Xtyxr4muAX2
0s0kSmtYv3JUyFWonp4WCHBXcjrpFNGpPUCl7BxH9GfYOeLa4/pTX4ebsR3DyRrh9uGFtjzVXRVd
lUSSz+0a5ae2M97PUpUegE/EEdgU2KACuIcY19M//dXy+S3EyV2RI2y/SA9pV0YnZymzD8wi2gO9
4t2X+Nsqmyer5aIy8X+QHkYzTajHsbV0U6dJXHShAS/d/2J7lST4fLivfC3h5r25IoYwX/Ue+7cH
aB7Wv5iiGw8TUhT+GMIQIBV1tPcNjm2PfTg7fylNpltesmpAyZrwzSx3qgsIF2JaQZlxU0trLcV7
qpGa1YucB71p5YETOUemEruvF4k7IV8DdX9bsUpyakVpUUdBpxlzYOeAaGwj7l8cp/iDYR3vFEoA
aZLgS2/e7QSiMG0aQLT2HAPBVJ3ymo/Fp/tfcPcgCNU32g805rdXBEIETmuHQKNDXDjcxVpwAzEz
nAZTZHDHPOm8IYsPrLj23uGvwA18h+tpqxMCOEmZLQRyA32JOnqDaoU5LG8zCyEN33+83aWEqATx
jf/ZFiMV4TNHvwz9aBh43rJkmG10cvEQIt92kK+Lz7E93oA6EOmGQHIL7GaC1lZyQ62GQGt+GQZb
RnJlyM6IqKZ+MUzpNwow40sfzX/QkgacaJJ8gmQRbI7XwWyaEdBBLJooHtfOpUJyy7eSYTkYQOyF
Lwos2iWk02J29noVFPqVybA56gCP0QJpJfkhU9Xs4A5Q9jYkhaNQIsBtC9bf62WsQWHc6iBZJrXG
GrlIVDWgaPtxUVwTi6r2Glqr9h8DMgap7arMtd92y9heinw1RN9qHmuXSUDv+JZjAacVeyN2q3wt
fsrl2nYn2pvq0Shob5sJEWXqGjoppLCvf7SqrvGMIZv0UI7yEqx2m/9wSlU7mdas/MGBtYDuM8VD
lPAGTYhOVjvJdU5DoypsX8Co3MSUh0vdl+M5y5bSLaoqPeCa7X2UX85+aLfRpbc3OwxkoxO3MnAz
KZxGtB8VLDAxgjhlhvTBtBfoClCy/uDoCjK8SXlKk27bmXJUeDQqnuWBpUT6p6xqEw8l7vbHYq3f
7geJnZPr/Gp6swpV6XZnF+mq1F0KzE0qUUpinKC3j1oSKS943znYSxpR8cns9Xq9AC09Knx2jhW1
KQGeTiSdnm2EslL8rXCAjQJjBnzrKq0MZhMFXPngde6uQw+MTpjAmWw7F3oVmnHTGbDk26ye3NGY
rPOEbfv3t79L4QAJdk8mv9q+y7hASWLVR5qYKCUFDJsRtVoAgzLvDQNk53vPiaAJYvlxVO7vPSCt
RfJZB5zbTWtGZdhldiFt1nYoxo8MtBroJu3RpbyX8VAPo1+OAI3FGdyEwRBfFGtpoKzGsZBkXZOm
s33ICkJjt15W2phTWVunInWK0IWaMs10b+OJYcmqDZantaVWHySze08uiLRgGEBr3jSzK3uOjLSC
fV/o8vLS0X2AETAfZee7T06BR7EgwKA8/+sgZ+QIJNaQVR5gRyjXmc50gC1a5UcmFA8tl1TwoEX0
Avpmdp14GB/k3mn8YbKbg27L7i8Rs3dsE4AY3tDsJmOQRg6t/ZBLKJn4RQyEAV64kTR+aS6WeUWC
aEDEUW5wnFYpVE41Ii3tWQNqYLuZZE7pwU/auQAc0PRAV0QteqNIYgCtbBcjCx+yJcnPLSidJy2d
lbMAD/7B1waTJtQuAPDf6AIXaxUiLpawzy05Phl9k56kuTkiIO3U10gnoqdMOoGw4fZGm5cy1LoG
XwozA0EVN3V0HWUlAwLUhn69pj/uh4299wfyjVen0q2/Yeg5FNNVXglnXhOKv9wiDVGXIw4yY5a/
/S4TVo0CZiTIxdvOAf2JBm2qSELELAkvndalkqubbf00dquhkYnGiuZmRrz+df8Rd+5Q0myiIqkJ
SktbnGWFmHqPQS6lEj4Ml3aQ2sC2lugxTG2sL5AgCOZOO0pMtB0cgQOhhMBAyKfc2tzccQ29HSNR
8vtaKvVTUiO+5CUxWizMP0rKMYicQzDg6a25qRa3P4bWxqrLagDJQcUMuejlTJd8SCjWcu2hamTu
AAu68pq2XYaTHefTh2V1JLAnbQZSVEmGOXWx4kj/pb04M1kv1iI598gffcV9M4s8+L7tN7mHefK+
c8YRlzlAUNe0bm3LGwlh0UFKuXe9E7LQnUXMEgTSJm5ZUlwnTV3TcpbiClH52cqemqV2zo2V0nku
4q56iJ3MYf5TJ5f7H30vNAOht+HnE55vFFZzAxJ5qTSIeKtqchoarb8USXiEItg7rI5GLwRslVhK
bL3fOgtVwXxdnrj6pCbNr4bcyuBUMX0OawOLk0rLDvqKv9DVm1qHS/b/L7jZVW2NayLEA1RPrcqk
v94VnhDofhfNAAT5N8fVF4yRcgBvrhqi82UlTEruv9rdh6YFSJSi30jx+vqhcRZHRwVeGiGjbt7N
ktOekzVSPanRDDdyqqNJ6W2Igr/DMIF81EYy8Nek8beXLDVdOsZoxuBfMmIgPeoo/8BKOJlhflQE
3YaKV0upm0erUgBGTipkm22r/L4W6+Q5qCl5zO60l445Ne+4OJIKEh3219+UhxLSzYzshIXF5ps2
ZNhMN/mmc6ryPkMHPCQglJOdhPno5mZXfcgiun+O1GFAlZtv9j0WjGEQpQpHFPL4tvDLOsNeZ3WI
A00r4nfxvJZP9tDU60MKuDU82MF7H5NzgvwB+rK3Uljd2E2qhJN9kEVR/qKFXY+bSji/z6s+Pbiv
95aiKkSx9xf5YttqnPVo0dM2B9xqOrXfpzYmQ0gVnLoM9ev7R2JvKfpfWJXZMM5u6G1yW9Zy1MOM
TZZEelwUKf/ZaWPvW4s2f76/1O3powdGr4EUTAjfbftG+VBIC9cOEGtqT6njtjC0KTpn4ZT5NEnW
0/3ldlI+1hP2a8IEjdxP/J7fTl/bpUsSTWjmIpVofx7bMnTnNQSNLBXKaRyGBQSaqZ1xZFh8jK6y
pxobK2/OFO2gDXJ7m9BqgXlAJwSAOe4or3+ImU/xWI/8kHDq0/dOZTieZlKbIltgefq8GG7SSGC/
y9E4MPTY6da/XlpcNr+9A0SOcmMclixoVlnuQOp0dW+cZCPLnlcbjT63btdkdGk9QyAulFYLBkwF
6mDIQ/nccTH3vL1GOwocO7cBVjRoXiB+yBG+kTSYB4ZYI/V5oJbYRpRlZ156aU3O6ThT7hV5/aiN
Xer342jz0dr4klaT/AdbX6gv4pBHjXtTw3e6gl0FeyTIesPywrKVvynD0Hsm7mYH32Fv69PrEe7Y
tGVvICWjHDW0kCBSZfX6N1IKpezZqNH4Uldbn0o6CQcBZPf9ksCQrCI7jcfr5jrQYh2tCkOKgzAd
8rMaK3S4kqXQ3EEJTb/SQv1ktMStSlXid0ZDzxYLovagf7D31GQyAtNL/kqN/XrzoVNvl10EW05p
Uvsfue3Nd+OSlWdkNbpHnQzuSGBsd0HeLwad4INuqByWkqZh7hA3FZutZRRy/nGR0uLRmqT4Q442
9EGqtnfpUuggt4DCAxF0E2GqeMi0GqPboBhQqrCmCZfBcsaorhzShdJ2DP021bWP9wPb7lOC7hD4
z19t/tevNY7I/NMRzaHWGedvcx33binF6ctkhAxro+SoS713yzOq+cWNgdq0vWXVpi3kvrTjwGpM
3PcmpGKUYvy2mKGBJn+xYhwYZ95CteyW+fLz/sPu7WRUnJCUh1lCPN/29Iyxok3vYGMZMqfCXTBS
ELlUFNSGLlJvrucC26xAbVXrjFHA9Ey7TPtYjmtsHZTrIlJuch2FfizsOkTBEH/efGuzMeY4n4co
yJlnuzkCC5/qSZIPkozdVagygXFrHJotesvmDdu5zaxoSRrtJ525Lw2ShH8fvNOdC4k6Hecsxvz0
Ebf7VqPv0QzCIkcupdVwaRPRRkzWpH8e5Bof54UOQSDbsfWVk5tnYF8RTXXLEXSpmw9gfl0pDtfW
XRw2o4tt6BB5q4nnOG4QjdH7QzkKb8kqy6SjS13cldvPIFp1BNE946+cPNtJCoVS3NQbx5OmeH1K
57izL8mQ6PI1JcepSD3V/mtUyKPhW/YsPyphVv8b9UP4ZFa5XfjkAtWb7QeE/TlZFILvAMtu2pgT
PIy8NCRAZVI0neem184xWPqfal7JH+ZyPRLC29sqZC40FNFJELzu12GArWJJIyLPgQovPTDUEPGh
AQ7t+/ubZYcfhzY/CRQoJarFm3kYej9STBcsCoo8zW0Xklz8bxya+pduVRt2QhGiZgg1KfpXHSxl
fpYWrbiiWdSO3gr7tXvRliqzTmohahLonfO32DJBCNS2KtlXy8jtFlGhcfkKyt/63o5pL1+UmRPv
m3baIHywFsWnyg4xFHWZ6dj9dUJRzDlVQ4XfmwEN1XZXzCem8zQj0XBdentZ3UWvqkfQfU7kTqOS
fSqXWjWf5TgdatqwQ9ReVLAS/1j8R7L/9TH8dKC1bWSdupoU6QRfpok+HbzJna1L/qvixQhs7iaS
WeqaVevSw9CVFy0AvW2+TF1XXu+vsnMnMTckYBKtaI5t49ToJBUCAMxd6rSSH9t6ah7NMumCfM2K
F9iHX5wqVL7eX3OniKAsIpSAC2GcuJ1w92PdqUXF1kdnofbmQi8eGmbAPgyS5CAA7Fx+QAcgHTNL
RzJ4G7q49NO8WQENLU31o3bskW+aLZ8w+3DehZFTDgdJ4s568HboGYgLkKG3CKW/JdBLaEeASgog
AqG2QKAUkIFzk0s0rCJJa2cPuqWcfrn/PvcWZSghUiYKzpvZIC69ebMMY/jQJ5JyWif1uxWvnWsu
NdKM9XpkCbHz+eBv8C5hjhJYt136xko6CErMJ4a2msi3IxG9+duG7lWJlh58wZ24BZiTzi335K/c
8PUbjXStjuRG4D+qBoUIGVM8MIPawUW68wqR7AQHi7qIAHNvE2AdEnZtMl5tZYYo50alO/HJnJwY
CLTTrtWpbqvI9O9/t50X+QshRK1JuxZsxOtHwzDW6FATlB6aSW/QPFylc1anjAcpdg/e4s5SzFWA
QgguBAOWzfPl3ZLGiJYBWGnG6mxRvj6PtRYXXpMfBi5155OJNJfiRYiL3fS/oYCakrpqeWChu1ye
xlCBjmmusjG6hjG2pptQRv5oByv5JymKoXB1ZZwzaFq5/l+Wpc0zEbdefa2FuXyqMxWN5zmK7bO+
2MpfcHls04udWnUgXg1whKSp774royr/1OzIxDClSqdPNm5aR+7ke89FkqXS2aelc9Nq1eeBDsEs
ZUGdOC1i90vth1iJHETkvVV+9VboemC9uj1eOjeRMUfU4Ia+5td6QuLG0ZajXtjeKqAaYYWRoJJ+
iHvh90AVKVFia2MegATsnxJ4WV5X9UfmikerbMLh0LDMpHZ5kBhACbTZjM+q2ch/sLlFOBK8A1Kc
7X0CPB8mO+SSoC5kyZs0+kXM36qzDjj1IE6IH/w6nwQrQJBADPf/iVu9fm2gRuauW9MsUMIoaT2q
ifYUmoX9cVTMIvK1ybDOKP9eNSuLD4r02yNMlk/b9FfnEruVzRF2yAtNedazYC31EmOnRHY1fVyC
WBqWg+Jl7ylBLTLAsgTQdosLixGfK6m680CLIbld4i7thnNrzXbk5SUE+h+qNaJXoBdaGPTzAgH3
fmDcXZ85M6RnMknIa6/fctJmE5No3nJfG+Wjvk7RC/1T2bU7I74W8Zy+QGOTzzDKuoOVd18yolZg
+ikabnjdvWr1CThxVl5lZfXwiLe/GzA+I9dW66N9e3s6UAXi+GEww5I3eVA51fnQoeQfJJCx8Zhf
4ieYecPl/su8zfBgDABBIm7B77/xDkm1cmLOW0KYRlKvRL1vNgofHYKucsewIbY2cR8+mzRejoZG
Oy1VQVZADwT1OpLL7T5q5agcOi0rggoJii9h1c7PeZ6a8qlALexH3Bvjh74rLR+F/eEx06Qo87Iy
r3LXtHEV+4NPS9sOVjUYmlsyfQSiOkVTI6e3WX9u4sJ6iI1Y9WEdx5/f/sYBSwiUqMgDt7JPoIzV
fjDjIgCZnqMt7MgfFijrrpPX3efWGcqzBQryYOi80/lAYAflJzEIQEZwGx+6saF3W0RFUI5VfV7M
CI0JxZjfT3Sa/cFSfy7N4FyytkeUMe/KEz2Po1nw3obmS7PT6JuIumVzbqUpRK/AyoKWBvllaGzN
S8H1HoT73ScFlQCUFCTK7cRZ0u1IkUMjC2anzT9gdDo6rqzOTurmSh0LlPm0PFV9FJ9sMykqt6zN
6cuKg+EROPk2axSAVmFjD+DavokWoTpBV8fmLsBTJVvdWrOm73UG7RPpzDk6lUr2J4eZ6RlBWQEK
fUMDage0hAfyAkEhxj3H5nJ9nDqG/l42hWbjDlkyZl6rjq1xcHz2vu3vK4s//y1hoP2Nr1GX5oFd
SeuLPjVmgHlxe9D53l2FapcWBXM60M+vV5lpkEZFE/JpO8coA0iAITqnSTQ4/v0zuvvpAJ0g8gT4
70bUN5Ynqg2HKy7U1eZsaD9RovqO0ZfqlQ7SzfcX2wnBRAPiID1YURqqr59q6OU5sjItDbJJVdPP
zEmyv1UcM9R3mWmFF4wQqgdZHubr/WV3nhFqHyMt4gK84G3Lp9cXnSm1geZ7N4CAHleqAy9MaYEl
atY9quUwHnR/bnu/iJciDImCLdqBN4LvwDrHOmnpNZvlRHfdnZpJbZ5sqZdAxdrV+HGV1VE7N2WS
x//rUKTqz8UU9frntz84YFkhXEh7/+bjoqikZiydBDaA6GcorZVfq+0ITK6KnmJrOBKF2pmb8dwA
6dGjhu9+wxUaCYiMRlCesbUBk6w4rP0xWfSn1l77S2uZWIfEGZJLi9p5eOW0Hla4j5kUKd9I68aD
z76328S9C7pKgLe2ty4i7YOu09gJqjijo5kPulScjc5Z/mpaO/HHQe8enFqJ3i49CN4ZvhT4BQG0
2vY+IlTcwqxgahVFYeHra5n7rX1WCuD+yfg09s57LbXKg2tvJ2CQpGJII3oDtwNpgEIgGEaHUZkc
It9S99aLs1ZHXLCdtJBVUAEUEgpCNe/1AY4dtXAolBA8NaTEg5zRnldlCf2lwLP2/t7dWwqinthF
Apu8bemXAFoqa0XEyVkn+E9N3+L6lPVOiJrziIPk/dX2QgQUJQg2NPgFov31gzUSLOMultKgkGec
2hLQLT0AgquzJt9XcFVvj7rUZ7THACPRHdjmKFG6VnrSqmmgdkXzwJjb9stJ6x4oEbNTGhrdQe67
9zJpwol2NBX7DSKuRERkUCXWG6cuDuIpXE89qjp+hbzQ6f6b3F1KIDOZ2O9QTnJlXqQEmfRAKkhK
6rVUT9ncKX/3+DAdvMXbPQ+hTBW9dVQ+iXKb3dh1keOk9ZwFqNKTX1J5ntQeOuT9B9pJs1hGx16G
G2SnZwQE32TjqyyDwLCHzWx2EeXMqXYiG1q/Zr9HPqy5WEiaupIy676pt+3BzXl7oYjfYOH4RWWP
6t4mo5zTHimhhYzSMAY2DFH8Oo/S8pTyvb2pdmbDJZ5XLq5faOss6REXWvz3X9f7rI/WIOq07Nib
9rjcRyYKgzb5iNq1qWua7WNmd+0pYr7nDSB/3LFelw+9lSUHJ3P3I3MwaaHh3c5+fH0ye6UbkFkv
ePtF3J9WZNMvXalrb961vxrjTEsF0AS2x+tVgJOWSZMhZDXHUuhV/C1vahXLj7pWOghse69SQeKS
eSiZ6w24W/DoJaevWSrsq+tkWf25N+bateTVgTc1y2dQlNPZ6DvjiKO1I5DCY1Jnq1RlMH62FVnX
6L0i0cYImrG0PsyVnv4oRgP0r5hEjBdak5hz5LGUPDN5q5ur01vJiYtg8M25Sz53awzWBHHHN7d0
+FmMXQAckVrf4DwibRxLSTPICyOzWUBupeHHFVnIzpfaFtDw/QO9t6NgFQAfR4cBguFmR81RnVvY
RadBiHi25qKPZX9u7L57uwQgT8VhBRArSFbbPZVYDN7XpEqp+od2PKdIOn6xEQce0euw58eqL6jt
ISfnEYqEWnhQQajKzpFFeQi9WSCbt1L6lj7mde8UabCua5N9VIt+RrNMi9bIV4Ty4N/FXI9IOZVK
grbYlE7q4msg2TRXVRB/cxNbr2N8EdKycqUEZKA/G53dXfN17b72s1pDyRjqET3HJTTPdbHMyVWW
Ry1010WPtYMAeHutoMwmOBeUQ+zdbW/TQPW2qMosDVpZLYIim2e/t4382q/a0f7YDfhgxzkmKOnQ
AtsEWzV0lKYbxzSIAVO9q0ZdQ6kMlarTgj7bKWmS+dk2JuScILj9Z/cxiDwF26S371I0jJCkg6PH
nGkTkdI+GSLDQEAWnGH/Mq+j5FlFYR3Evb2zQI6KFx1TePLGTTMVSeK47G1gC0XWjA+G1UpXNMPs
owbB3tdjDYQw+XjocWze6DraY4XcHNPVVjH9WE5Mr+thbDp5ZB2wsm8zORoQIOPQ+QKGfqO4RdCe
IKZMZDlr3T8rCMRj2U7Lch6V0V81e/Hvf6fd3QJWkqkZfS66OJtXOGQz2ovCiSlfNfk7akDLeOqt
ctQfc8UqFb+lGd64OeqCueuUWWW9T4bSfidnPRSm+79l7zWjySvanCREN5UHPdtIshck3WNIQr6t
t2EQp451TnGoO3js3aWo4Znxck5uVBN1UCSQQYH1VmAFR1/J5U55ntD58jBvYe57/8H2Pip1Ja1T
PugtSCTGGkW2pIySqjdKbwbS9BilYA+cJNR/AMI8gvfuflTwITCNqHeQpN7cEWqNojotN5xvwknN
XTQO80et1/X6is7xmnlTRfcAdaro81LGaXOqwza6ZnOtHfVndt4z4sqi+Y+emU7+9Tox6Xgrk4Ze
Fy2TdfYKZcVRBrhVeh3LqTm4MnbXIrhSHzCKheHwei01H/jUeNEEwJvVq+mk7cmx4NNlCiSU+x90
J+4w6qXfxCqM0LfvN5paPYZGzPZBK/BSFF19DuXwiI+ydweS62AsSjeGq/DXZ/6tWactM7RdCBSB
iVqr7iJIOf/AV0r5B2CT/aIpZYVVxxSq5eNQjTWXId6D879orafOCbX2+kvvLPJw0pHvv1ZtH8n+
VKdTpriasmCLquioVnsplXfrYm6SCQCPbZ30pc6dtx9tIDAUw9Te6KJsMzc8x5kwo14cSKaGJW9j
K25eRNk1M3Pj4GjvHDaWInRy7YBB3dYaxZhoozoleVChL/6sSENvey10pG/JIM1nTQ8X5eB47208
KC6QhkiJwXyL3fLbZ4r7FbWOguwbl4rleeh0+9JIUY9o4uAclBM72TcuHoBOyX/BZG4frl6qdYTW
xxTIjpL3UumkD2ubmdWFl68/Q5mzAuaaDXaU8AwPvuHepqeIIY8BZUTuL178b4+JlhTQjYK1E3Q8
TgtgzFNvJP3BE+69TKGMxZVOuOS+fb1KpY1K2ItpmtMUjekCazLQaJfS/5mrnh70Ffa2CjhSsO3U
TLekKzQ1U2Tu+xyfNjM9JWpcP85S9LFWx8ovLXs60AbaWw4YhUjdIQWwY14/2oT4UD0BpwvKqtD9
jtvmr2iA3izpY3YpNONogLX3KmkZk4OhGcVgfZO2GElmtbpe5MGKLr2fqVPosyVLv9Skt4+M8Amg
HUTrEI7/DQaGegUtFVBagRyO4aNSj80pjYqjgfLuAyH2wNAEkNSNyiHw6mHQbdpc/RJZ3kxv9qWq
Hd1d0ef9cj/C33ZfeSCoOBC46bnftAqzsQIdVedZYLf9epaIi8zAYvsd0Nni0nVd9pA3ofzmLiiL
ImdBvkycvEHoliD4mibKCCQNqbIRKSN3Wf3z/pPt7UJIKfQlybQYe4kn//0YF1imq1BmAw0ULxT0
1q2cZjlHy9j4klIevMej1TZ7UG/KjmsBFeyxSoynOi/+TZsse99z9Ly6W7LT/Yfb2yGA2cjVafOg
tb5ZzlEXeBVllAXLCM9gAHLgSTHs06jiBNxfavfJACUD1UMh9iaFxId3RdCYzahLknNONDW/ql3U
e0mayKc2nsfz/fX2wi/7HjY7KONb2p2mro5V2jRenEzJz6TydRAKVeX7q+y9QHInxC24pm9nXLWO
la8zVIjA2aNzMqDhnhY6lddoUNs/+FZMGKhQGbeQJG6+lU3LOJ9MwmGUqsm5CpNY86V5nU+IP4/F
wWJ7X8tCUpfBDl2ym2ZrFa1WG2nEQimWISkq8eQlFkLO8sq8zqq6IwTKXvwAdQMyFdIgADrxe347
ZaBOYJ6UXGOLU5Rf2qLvXAR0k3NSd/IX9GXWk5pIR7DVnUVJErlhqIT5etssi31YtJnok/MCuqDK
UU12897svcXsI8+UCsyMh7b7en/L7K5KjBTKUFzcW5UmyVLhmFprGnQlVocJFfQlZ0R0ztvYekSm
pzyva6W8fZ8KwU5mk4YievWbCqcenXWs05ZFly57Gco1/pgqSeYX6qwfgMV2jgR1P80w+EXUFttP
qVqx7owhvoSzFSv2OTTz5l2UgZx8qExKm4PSYmejEk8E9gNWpFDReL1xZtw8ci0Oqcez3PqniZvw
Mg5NdzGSSepcZq3TwaWz9/kYQlCiCXntG9gxL3EtxxGLR2hxkpckeImoehxdtVgdzyXweE+XscK+
v2fE2d405EU5IMa6vxKizedTG3sYTWzag6ZU6veWMr9QxprnxMKX04qb5LJE5XyZMev6fH/hvY/J
mpQHSN/d9qWUsh0ygCc04hD2Sj38epD+LSZYTKNphn/wLQVonbY/cfumPbWopAyowyeBZlZx76GR
X3derdUxzbAKStV7u+SiP7iXdu4JLkDudRTbQStssz48ZwuR8UKHE7MW0ynzZxsProMPuLcKOmIU
WGR8xPDNB0zNBlpUT8+7KYzazxbRbqzH8iBq70DPOG+M/CyIPxRW24dJo3yqkc4GyKeQRHgjdd9X
p6ml9y3HMPUyVCtKtyubsnYVmEB+FOlG7K8JQBPZ0vqDDsP+zxHgVEGaFlZorw8n5ISqAMFIeqGB
9YjGqvBK/DOelLU0/8YlvP5aolOOd5RUXHPmbv6QNf1zNKMaeX8b7/8SOqtCzW2HMhY7c87JVSio
88xovWXWkycjlRK2tJk7QRdG/UurtPp5qYzlHcrN8nPc4imPi07/dp4rIA3ZYTswf0bzaPNWsAY2
17Ki19tm8Y8czRmqtrRzEV1VL1MqNX+w9ci6iPyE/VuccJR3QFAMk5RSSdePhtVk72KgCgdndydQ
aGT+Cq4OQixv28BGfMNcInTTA8Bn06nT7B9LF/dnUuX64H7ZiYUw/gkSHCPB2xZH7fdUYQzt2Spl
yPhtVf+rx1U6PxR2l7/IsBdqt4uLEsxLg+nFYM+mdLm/k/ZWp/GLvCtaTQDWN4lKtNp1l9OuCCR6
rwyAgdukTVedlXaOr1mjm5cW34GTSiA7+I57b5g2JDN9AjF3q/hlvz33EEXKsuQFrW45W06pJdl+
bIXZhU5VdRBHdubPgAeAR0DFJyRudyhKLkThboqCbO36QJb7FhuRovCKLpo/W2j4uyV2aRcrxivS
Zcj6dpYgBbi4BP6Ps/NYklPZ1vATEYE3UyjTVW3lzYSQOcJ7l/D090N3ogKiid57oMkOKQvIXLnM
b7hxCMzLUT+2EQPm3XzisU+OMFSm09RO8GzaJjrwZXde7MaNTsTkZ0I9oM27RIPgeV6gwVj7lzx2
UGOSjP7BtsLRq+V6PCTMbY/hIAcfX99HG4zBmQGJpjPoAcrKZbOyIfMugpQbQcY1RBynwGIqbE5m
lh2nqsDhpQcthnq1lhQKvOHBfB8bbQgF3zD93hNWqXxRlADbAtse/shDmFYHNcGKwaurTHpISj9I
4VmrCNTWuF9Z534SwbtIEa2Om1Bb3vtFMskushxBfGrrpviq14UynqmlktRlCN/+YFxUhSeGXfVn
LGojnY+OYuphTJ3IvssNc4wOmRIULzn0wO7QIQ2Z/qI9TnGHlsN0nNpOD+5EVQTKF1Vtx4/4zzZ7
SImN44hiLNQUxru8zOXUNUEyEYJjFF6N1K/OGU4Np75DBy+Vyvh/cclAZvTzEDJOJN+9/gE3dg10
BBo4KNaReS7HhqGvVHU+MORSy7C44isJe1OE3Tu6Huhj9EGNIGqyh53fOJjk7/DosRUB7bzMrasU
y5zOgR2ZdUF5dKZUPiTIZX+pVC1FpSctzyLIe6+xwJ/1oui+vf7MG1kM3YLZtBAY0wyeuA1BhdXH
CbRQEjSEyC9NZEUnOZ3qHSWQrVXotADiI4/BqWER4MsMjyxnTOYRW18ELj6+/aFIc7HTXtxehnHE
3I6AcbpMyZqJ6yEEvWgMU5652RhkP/Kw2HO22ChQ0DYiYBPQ/maYt+8smHVq2PnYPYaO8Vja+BFF
jaa6DYIJh2KY9ubZm49FMot+DKQdNsntetqAU5STk0TnrVReY7tNP4i035u1bK/iMAd1uIv543YV
hP2NLuCqp9+Hyv8hGGXDC5I0Ut+eVuB3DKyT+44sfInesGJo7CCREC8a9DZwe6Wg3iqsBtryIAFy
f/v+ZiW6RdCqZMApt08VFooaZxWYuTTH/qwuQWSH9a7Q4FbMgmUDC5i0DFTKYhWz7bqyAoF01QNN
euI4WYcYcbeHyU4alC2FdSCi5J6iiLeLbP+1poJ3o6LEsWohTZIDVywBNqpMDDDHQsaWbpK6d7AG
v77+JjeSFSbkMyoYTgajzMUuHEJbE3WWRdfALPtvhZFXPFnUfBQApXc+2tYBm5X2oQIzVFo5m8dO
r9lRi6cz/p/MIWrn2qpp6pn59LkN2y+vP9fmYnwz+sHztl/mChDubUlLdMy+u6B9dIwodLNOtk8l
7txHwbvYmZVtnLP5sRAXoIVPk3uxV6JJV9NBK5CoyeLxRCIxXia4pIfXn2rja7EK+Sy5G3S7ZWoZ
tekgRkVgxq1G07NocMMxmQY+dM2wh+Lc2PwmGBsyS07YOtkyZbyDMEAJrwxaHP0ay0kaH8ypq+8K
W3IMvAXN+FyzST871WTuhPyt5wQ6CmmDmRJ16eL+yrUC3xh8hq5iSOvk4A+Z8sGPh7g8yKE6nl5/
qVs1J3gCkClMOWlqLs+AlAZ+blZmfk3RMDwqo+YfElmkbmy10qm3VP8uUpyPFIp4IBu5AylZCQ92
l+wcxY0tO7ux4f/A9cOocP7//9QNaM1Xfh332TVVi+CSo4TjCbDqJyNzSNL6eC9H2fjCM4lwDnAz
xmj52KpcSHoVWfl10IRcIy0ShV9lIanNwVL8kcwlMp+bJIwOI4TE36+/843jAsgP6AhYFcZry+ui
sgcuc1/Prk0GxI8P7BsvgWy1expKG8kf4DTyPoD/GJcsOexqNrWGBEvzmg59gDJxDzWW+/iYN4D8
KiS9vaZusrv/8HB0HMH8IHS6KnyDuEQPrVbyq+7LzX2m19mlHuJqp7zeejRqEliwtOHA+8yf95/t
Ag5VLxNpzK9MhoxfTT+pd75iJd+cstBg0wRIOaE9nOxh1re+3DxSpjFiAD5e6uICUwG+6Ic5XfGk
Oya1FSG6qQ47cLGNAMCkB5oBEyEkHJb9MZ/GN9SjtLjKWlnILjAe7VsdN0WPLWWwa2q2cRJoSHPy
6E0rGK8sgnfVkqH1ks9J8E2nu7OtoXlk2tJ/bRwlzA+WBnTSw2e3U8BfjqIwzq9vmC0AMD8AIhSj
SwqGZY2i+0rCrrGZ4kwCcsrU6YnsghOrfzShE2PEVxnldNcTNkLXSoLst4Zr/ecpbMTPqlXtmN5y
GyiuBNfa37m1N74ENzZHSAHktQG5wj8eDUGTnxagpSoH9niytFS/o/KRd17DRgAkBWEC/jcqrQhh
EhB+kx5YSi5XlQdjKvoHzBE7rNFm63Uo1ztBaPO1E2kJQkA/1o7kkpEGsItBfnSO3z41sWm8kPtX
9gm31dE+RUKWJvwDRSIfGiSfzauWmvUH1FZRcbc6KZYvU5Zod2DwkbN8fUtsvXaqnbkdCC0Ng+3b
0y2V4VAogh1RxEb2S4pGuO0SEh/+YOhvh3nzxucLYLYRXDV/JdVOBfkG+gRa9MfwdefBrrv+pNF8
+PT2h2K2BQ2FFuRsXXX7UALGkB+pRnpNxqQ4jHIUUV0hMJepo7VTj/wtcReTGCblM9iUInydQuOy
aYxhVGXXNvXj70NeT+/aIZ18d0ic5KIMjn426cCYrh5naO/YhXEcWto3bz4+DoGFEZtNgbzGqsRK
LjlxoWXXSlMG3YNZ2CUHsG4zqG1U6z2Z0PW2cWjWk0HM5d5M9rt9w0XS9bYcgi635rBZJGP6eTTN
Hwi9am++5FiJCSX5KETYVXO851bPfcTnryoOWq4h+9OlKtI9/M36kmMVdJhQtcQhdxUYaZMPWm9H
DCbQ3/3EPpHvSOKSXxp4O8uVQ7M79jIa8ztfbR2JgIPh6kTgA9e36hkl3NlxFQtECScz/YASsAqj
uWiezFGvgnOvRYp6ev1orK9VVqSYpScPL2AFV7aKmgLN0KPrEAU4bQ9tdpBKS9mJsFuvk10By2LG
QazSLq0g2DWM669NlQZ3dVEoxzHr7KcIb7UTpUD7YZbzfPtRZGyPUO7fwo8/FplKGFGoKBPVbBTn
qpv4HL3J6UKPRuH4oUbZ9s/AtPSidHV6QoQwcEs44/nOJ916wUQ5gEjzNIek8PZklLY+8E4Y5tBJ
z85+6Pj3JC97bZB134+hIbxIOlUmCOVl2AbfMSpYP8TXUpLG7jxGunMncXl/DFS0/E5q28sy/Pcw
fQ8AN+o8Jqn1y9t3EghDOq0qO4m4c/ugyPYFbaaGcAf8PrhomqQcBsRyd3p/WyeEowlmk/6VQX50
u0rHS+5aDGquqh1M3piJ7iWpVfTQg+BnnAJ2ef2htuIawdykhwVweIWQy1FxwZkH+oCsENykWtNw
pQntS4vs2M5G2TojuDgqM0JuLscWG6XPVI3tZwHtDtPy0DkGEHO0SGGYWGY4qyy3wd2Uj93n159w
g6RNVwTy7sxR5tpf1rzdKJWDXFBwB0YlfM8GaOMJ4csPAZDXP0bW1K0HZ145G0EyOi61ou4fq2my
n/Hckhjv5IH96/XftHVm5o87M3DJipcVaYYCol2PfXhthkj7mQR2/qL3/8HQdb6m6UIBsQRCvawF
JVuCqVEzGrCN1r9aAzIsjtqPj2Yt70nm/x2I3WYFfFgk8AiAjKtWeE5qYSSnHAJ7nEQpZq6oOTxU
2ZCN7qRVDRiNJMAmLbCQ9TrFXKEfcRPMgp91UISwR9TmS2+W3bPctll9aM2q1862xZanRddOpjuF
ha64SDhqzGAEqNiT3TrGEcecsjlLnVwey8bWU9oJVfS11Zxh9LSmZw6giAn0lqNEheVN4HU1VyhS
0+9E/43POUt20S9FiWotlIroNLmeBIJCFM5HpUvNxxRh9p2ydOOksgh7GJ8PYuEyAgZaqrZJq0VX
yEXtAb9wZgLqVN0b/SDv3JkbMQhwLpiQ+VOuqyY1TMqxmjEv+iAraMpPw/PQquGjNU3qj1wW/U5k
2FxvnnWyTzeEvHorRzLf4o6WUkQSo8j8ig5netfTvXxGwdfeuTe3Phe6HNSF1FJrloRUOj3qGCE6
dbXcMZ9TxBGGeruzytb34nnQIqbTtm5yV8GkNAXMy6sY0/he6czyUEiq4kENK3eK+jlyLg7fLBlO
AjBLh3ND3d4ZBXqMuJAAcAhrY/yVoDXpdczv70SXdl4p2fGDhVPUSxvvmlZtPCSqidRT81Sedr56
u7LSKgwXNcTJHNpAxgldz+QpyuL6WxpL7ffXg+bGLgGkRB8BxhevdKkyZNbaiLTyTCeQx+iEjUPR
ep3OzDhPGql261xXdwq4jY2CMS9VFXMXCHbLAJpo2pSLqMyuUygVntnn2nn2nDm+/lxb7xA6Ae2J
ufO8cigyJQNO4hRl17rR6XAHYXTFqNf0AKXtSXVsLUUOBYyb/IJe+WKjoHvVORiNZld0uKYfOAoG
vsdAzvwawdH7/fpjbVz3CMIAujGYlnLhL9bqCc56bGCYWqhD+qiIYaw9P2vUD5GvRrkrVKVALbVI
d2Lx9rI00bCKU5jxzN/0n+5dN7OTyxEcbW2LvHM7wkrp9mFqHEOhS4ZXo1p2HeXB2bPb23q3TGFA
fYIjJ0tdPO/IKfl/GtEgOvMQ4S/4MddwPs2ErL5//dVuLTU3Xemrz2zEZSYlJYYqksziKmhzA8UZ
BOZdq9TTYzZowB1eX2wruHDfgMIFe7NWnRiwSB4zEz8OeTDML00qFPRttca6mGltXOKp1O4U2EOP
cR7re6TgrQelxQw9i5eqW6p2+zF1kLOj3pJVGDa0l6LSp6NcRdUpiuxg56xvRZd/l1rsm7Qb0qAU
ClNjO4tPeWw3p4Hb48+kRXgOVaH/9lErCGhcBf82/2Zyxe2zaVJTlVGOC0GnDH8ivfcf0ibaA2tx
z/DPLO6G+aJju9Aaohe3iNAIoUSMGQBN+WVo6B8zypupcGHLS/ByO1U+pVPUWK7vq0nrIaZjdF6I
gj/lMsQSrFfyPPMspZPGs1nZZumNgSG/w+VG+2I1WWC5MGviGj+BTBgHWU8b82WckvpPAkUpdm27
dj4GiZHnd46J3MRZsyslODZhXjSuhED3NVUUXN2dLPFlL8zF8MeUcxsHlsKWvypm7qiHAJTku74f
/PdJb07NccjUvDyYqkDA3YmD/kESTtOeKifWvtq5JPqDnnRB5eWpNmWHlDGNc2iMqu9cTHQlCaPR
aXoSqlaal3LowLoPEpB7z4Hm+stoKCzf+3TaiBm+mShntawb6I/jRJ+2R3LOG6MiSb3WlyzhjkbL
SH4Ctogn4pjlzROEI5yGq9ROS7KLQvzMEBxE4ZreEsiUPBCfRSCST0Qpa3puHIu5lAvWPzV+IzYp
kIJolPBbE1fRcMlK3TlnPZyRi6QOTXAkm1diT0tkOz36cpqYRzkLdFwk9EDViGuRJnmFFkdPE3iB
9IDXU/M/oocw79VUROoxkKQaXNQQ5/2neKTIOUy2nuUvU1E1H8q4Mh+R1wsydzIHUb+MZhmWblqb
01fbSJxfgzmNJ0fgYeV2EUI/d5Ji1tY5l6sMhcOh75+6JFeTx6EZ+sGFfxrYB+rKgfQ+M5LgMGU9
3NHEGfTpTsYbL3ADmVvviEy/lR6UsdNrrxxMnA1LelPNXSL3SuYGaVnph7p1ovt8HJoO4+/E+YoG
2WB7rciNT5VjNLlrAdaxH1VpGK5GqQwpysJwfj2Zi0bc9WExVsg+2JkeYW/SZIrbOjCnIPqUQ3tI
wUdVFyUJTby3uCwq1+6D9nelI/Pn+qlkVtjVMXH2Glzk5fuynYzPneSHAMCMOPfSLkdU0UyYUbsj
KLfgpaeYbNzMNivpcy5q1fQC6NVXqWymD1qMyP1Ljs3u5JKzxT2b0hn7i4iq+lM/Nkbr6mWrfSkr
dVJOCK2axR8sKdXMUzHT2GsgbdyV1IX0/5jkkXcsK+MyEQGMP4gYRpdpLwBx/Y9O5di/MmrzD1Wj
/K5FOe5cJ6uQPhMwkIDigiTZWSmlN4k9WBUMAux0xshrZqxdGUnxcZSMn69fXKuWER1+1JopSdHG
ZK3FhSxo68vGYGVXs1HTb7ZwsneB1ppgjpy4/Vqiz3nukqbg5I3iM3jduDy+/gNWj8rIiTqK9iPp
KqPERYQXsWimdKjQja6c4p0IxYhDoz9QttXJ6b8shXYG0G6ulCVKIu7zPHBkiID+AF8zy4MJekJp
nFTJ37Opmn/18kIhm2N0iILNmqMQhRNgRztn3lsN1e/ZreuX0jEpe/sDzdq43JCzZtCyqxhEaLsB
5qd60nqObT2J2PFsOzZ+zPKx086m3LokKXgxPgVyN4OLb+9ivS210ckpoBKY+g9OpA3nngGxOJua
IG2tnEhc9D5XjoWsiL1TuLVNcL6mLca0GRDKouOXV4DvaBFxChusI7NWr2VXZd1LLrXt29VwAdGA
C0CXF+jaCk6Tm5HchhN9VFWB85+ohCi7FecGM5Kdd/oXeXqzUWboIlclbxTf2lVdo5qSWSDJykA7
TuPhMDdM78faaX5Oem7/zwx17is5sxPVzeo6f0zMOrQfR73UpEMbSnZ68kUafZP9XGZkO1DYvr7D
Vt98/nnYrcFEYDa62mFYdo46dqXZNfTr3MNTnXukmQbtkJbOjz6wtKNti9Tz/XyPQLVKNVmZSgF0
+QwhRabzdrcVShQOQdVllCG+OEpanh3TsuzPRmJND2pkjHv9ldUOmxek4pvpu1QNy0iI9HDlVyEL
5rgaX4tRFhyr8j2UlHSnSfU30Cw/OixaChMGkbQE57f+T/mF680IQtdiEqlOfu+qQwBiW6iDERx0
ra25F/3KLlwylplVWeUVkrZjXH9Xk7h4J2Pi9FE1In08TCOM+Lu+QyzbzSOjCe80p7I+ZU1jDhhB
lMl34ALpt1T1wS6Ngsc79mqhTMeh0qZfuZAQ+yx7H3ADgqtKinVeXauf2fNd68bNJPp3dUin7mg1
kEqZssGwd0l7TJpqoPS+VUFgCJdywIo8HEZjx+Uq7Fs3KHB/eSJsJR9qZKB8Vxnt4cvrG3MVYPla
8AbpWaOABz9SvX2FeR6aIsyRtY941qM5+e0nI5KSt+Lq5lXogjHOhIGzCgSyFeN+JafZVU5blTgX
SY91Vu2pWq4hYCzDfIr4RRGyng5FcZyaKZjS62T50TlN/eFIviMfRBR3fH/F98JU1Z/DqI1wmTOm
72Ftac8Dc+vD6291levMP4QxIJkfJEJYULdv1Rx8mU4Wc/8o0ccjZkQEe6lhNi1r4pDYEnuS4Lhz
HLZiDMtxFHT8R1fUOk6aM83AE3ogQf6/wMj6SywFtuVSX1onXy/07/DD4kcfUe49wt3WoUfPZ0Z2
gz8gA759YLZWySEr86vZjcN9Lac9eDMfa7Te2ZP/3VwKkWNaqqy2UreJpZJyb4YuIUZt0+CUApgq
iAWIZLJ3Ep2Nz2jLDFhRZaUpR7//9qmoIgJtRK/nOjZOcR71pLyWiWUeFUYNXlmFxb1s+fnOohvP
R0MJdRhwk0yQlslIrVUmmfmUXZHabr9rOFKeo7prOzdSJ2sPWadsXA/0y5AKoh2+YXpJ44wKomfT
1JSNbt0bysWs68wtmhRxwmiUXeD68bFOOvvPwKjwUEZg7hJTbu5iSDRnKZ+MC12wdlarnFy/kvfU
jDYya8a9dIMQapLBGi4usFk5SBGC+yQyLOBTCDxmBEtE6k5YOxQfMQNqvk7gh08iQSMKtY10vHv9
NG++o3lMypGdJ06LGFnZwF1qSu3rpCbmvdwZLxhUoMw5ZDClcDjZyWW2lmOuQzOYseVa2rA0q3xi
4pRdS1uRPtlFg/CAkaE8WvbpcbLGVuwsuEbZ0IaE3oLZJBil9dCy6cvcSbMWzKpvlk/giIJj1pYh
uktGEn/Dm2g4pVVbWp6WO+NHv437C1ynYidH2tr4tNyh6FNFrf1BVSGldaYDssnMJrrPYD+h29tX
bitl0U583nzFOGdRp5GLAR67PdhZKk+VnQzZ1U7N9mgFkXNGLyW9c8rAum+n2vr2+g7aejR6+zrA
OBApPOPtemooymEwO/iwQdh8ZyVj8lBe1j8ZfV/rO59z6+HYPhw6Jk7orS4OTIfZdICFVYLWEu7a
iZJMZ6VSq3OBMInXWSL8Dw9HlY0jJi1Ndu388P9kYamSJ5Y/4ZRQclLOk5+/7x0hjhGWqJ/f/hr/
XWl+8n9WAlWiBBPp0LVlyHwAFpbQ96Lvhn/sXsN064tRT2CNNBMijeWZVxtcYByFknBsysItwPE9
pk2LqxTst0//4almzCjdUPhty2RhhPeKGS/oqFjO22tkcdgPhU18G7Bhk3ZK3XmnLVLmGbKtMTX4
q3e2eIUJrTKZLlF87cKg8wZbG+/D0p52UpGttzcLa5KaGxuF39CYkd4Ch0WnetI+xVOYHEVrTKdy
avZaPFsPRIFDuUFlNc8Gb/dEnzr0kyoGdU2QokpEO/kKeGcPwbaRW7ERSF65Bph2L4cgGHCbsahw
G4OwiS6q3ISubo/NxejN8BjatGejqm/OJIR7oWrrVZKhQ+EAB7jmk2dmCqqASw1ZrjiCryGPd3Sh
Ei8VSXF6fSNuvkpuOFAiDGxX1IXGFJhMhWZ6Jb2G7Ty2aGr21h64cfO2IZuC8UVNzHxwcZ2irx2K
xppLDt/pjnETTzRK5fDDqE3xieQyjV30kdqjlkx06oauwbDYKna4KWvUMHfezEqBvsDFt8pY/Q49
T4qfFC/xVg2Oseqbgl56rJ/6GCkCQCV2BitYgmjvFrlTd+eiyFA0ThIcW6m2s8wFStBdyLn3ml5b
m42Ywy+jZ7IGa9d9EOe+yhAgBy59P5gVQwzTkl6yqPg5+EL+4SDW9r1n5LBzc2xtAEIDxQN12pre
q/q2KWlOmV6F3JuPVjtEX5Aq2ZOm2sqqueUB78BXw8hj8f0xo1DzpMyyqxVZwa+sE8FXR2pHVxGQ
3IEQCdcRyZ67+9Yx4pFmTZ4ZELoMsq2OhY7dIudkZIb8mCljVrq+Y7W6CyRL/fn6Qdr6gLMCHM4g
Nv3uJULarBt7kjMW48dAqdWioTyjF+GTH9ehfkYTKHwSlTwc6E43O6X2HMAXAX7GKlNfQnKn4zMr
V/9zR4ZlGiDKSTxkoKS/rxTpdyJS5w9WXCE1cNfXO6PMjT1zs97ia9ahr/bOPAJvU6VP3Vxtx5/O
pMaH11/p5jJwoeGRkNKscnDCP/TGUEvg7xfSo1TBV2aIu5PJbIUmBBhmJiXQD32llc7XlJlbYmPW
h2rf3yE0RCsJu3bzYEapqRwk04wU18g7U3XDuq1zF5edKD1k+I29eRyNYBXyrQB8KT85KIubWraS
muBHzlgV2XfNSHARtjvTA3VavP22xtoECwRiMq4gy9GB7Ou1FrcITXZdVnxuC5uuVV7ADkxH8z9k
BvNHRNByHlSsALw9w32tS2nE2ehMfCitxHgO49I/WKK3dsq2rXbQ3BQk1NCU4OQvUgNsQHLJbFBV
Mxq9g3syqt2fLCmLn7VclQ8iVvyTkjYVJH481I5QKPuLquWd4uJlp+3s3434w47CrRfkGSoUjnN7
LMemLm1JIUlWzTD40tWj4hlDUV/TNBiPrx+V15cCKHW7VIHNcT85wKTC0Y+8ouuqA6JV2ZOkUTi/
vtRGKIc3gJIhfRhnxt/cLtVomAE3c0IeJgqYJQt+ggjj6OKINjlXKKPfjeEedmIdCUAuARdkv1LA
cYPfrinUqGrjvKaVLnwc2PzA+EjdKO9pAq/jKMuwGWkAzXn5smTTwsAyJodeYt/b4zEKIu2xGaT8
4Eu5+RA1zZ6QwNZ6KtKGUILZtHRkbx9LTapCmxTaPlFYKm5TKv6jOoTJk6r1JvgljHNe/3RbrxHG
J0ANhrJzD/h2vdwUTttU8FQbv7c+dJKSPLWyUu2sst6LmERhPMFIUiOjWZZRkU4tbyKKcB1I/X+h
meufki4Uj5qc7AjFre9cVqIAndnbVDfLOiDRmWeNIfA5KCXlr8nBNcmzWtk4275gKIBu6cUwmL1G
NoaRO8dg612y5kz9oOLBl+L2XYLjgG2sAaorsFW6NEIoD5Eo95CkWzvkn1XUxRfT/TDMRjVnRxqt
/BKoY3Iqw3E8mUr3TQL4fH59g2wth7/ibF5ARrhCQMYdiTkseaSOx7L18kGyYhcDi+A+Mrvm3PB3
dvTLtr4gc1EyXgW42WqCbTaa4g+wEq+1UgnXDC0gNmgoIPUn/A8S2G2akn38DWN3Zy+O/bX8u82a
6DmBi2L/zEX/qr4Dz99RUGXXIR5bsCEWGZTb4gaueD3zkY9llShEURkkiuZ310R00gOofYysMIP8
Qj5n/kBiNaldW2RxhlCV3+/s7zWzAFIuw1ROLCnlbEFwu8lsNTEGhg0Q/MCCvA+SIjkNde9/RMOo
f8AzeroD4oWJdYqlSJXZsotms+YFfWM/poUV7hzsv3t6+cYA9PCLKIqJxoufY8igoaK2h20LoT93
OzPzay9ONP06ZINdu11o5NEB88NsPElDURYHW6AA6kaKltoesCY9c22/Nm0PMC/O04HShtFLHNeN
5bV9jB+ZlU1gr6LQpsMv2lqVdx5hPpXLJ+BOJgchJAAbnQ/Av5lyZYdF5JjZ1aH2O+o0kU4dCkNw
Qu36UfVR93FShOLGcsjRYK33tGw3zpeBwSb6/DNAdlWRYMLr4Jeu5le7r6XnQe7bk2KkxrkuRsej
J7Qn97iR3HKYNdQXKUzopC8jJIdLyoMAg5cqduTLiE+fVxnaF104ReUZ4zRhk1QWIBAga/dPVWVk
n+FBibe+dRC6nLJZpAcFjNW9WuQmPvFMMy84yX6taj17gf5uzmNX464u6+xZm2pQYPKUzngs4/J6
UFslLMynZoowlNxZI345XOHBTKxChHlxJLggBbixZ2ZH/SOjB3HKVCxOaZ7uka//Ro+bnYZg9gyg
5YKyoCIai5pM2M5kx3LsXBwd2cEHTTUhqTRDoif3uiGcz8hN24g8pV3kmrVdvfRdKZsurvVxeEiQ
9XqmlydLd74zMjmc/CT4kLN5n2QTXdRJb6Z7sgd1r/5Y7U9+NKIEiC3T2UV0aw7X/xwPGtVCpIVk
X/oq/BJjMHfWrSA5NVD9vbbRq52sdWM58mITwing9zWnB1PAxp8NUy+oNYr3vtU0HhNi/L/HQPpp
V/XHt24EyKiAE2iqzcKdy41gW4Hc6/i/Xgot1xhoJX73oPXqVyn19ZcM0co7kKDtzpW6yoZw5MB3
Fs9XOrc6PcvbVyqysuqpjZwLYKPxYuuV7ekj6oLDgLjh68+3SklYijYdLDuGiQCNFsGt7woR+I1g
y5no+B1s1OWCOx0MyO/X11l/NqgK0IRmMggvdKkI1xucJnpV1qUaUvsQ66l0sTrgPf4URae2rJSd
bbIK2uhT8dkQVGKmTDt1sStbdbCrTG3si9EF9TsnKdq7CkDFXWCUxVURTu9KVlE82QKt81HL9trn
6/iBTAfFDlp09LVX4JZKTx15ahXrkmmy/4y0Q/qNsWXHqkZufEfYkEvZsarg8PpbXm8clkWOi8uC
BGmVrHd1i2o8HItLaEnTOQFf7CEv6pzQEo93Ns7GB4WgSRJG84jRx3LjBFmA6qDWSxx7+RMAbfUy
RLJ1wo47P/SlSD+//mQby83mH8j1ABfn5C/SCNQKs2LWRb/EZj1kLnSv5ttgJ9GTKDKE+IfxzXgo
0BEw5/iIjPXnie7tGRwbCHR0ApyLPeT2B6kqZTdG8/ErsHOmO0r95/Xn29gws+DkXPoT1tg3t8t1
+P1RqyrOxZ8rugGu7dOYdMqzJlmVWztKd5lkrTu9vugqk56fEaECJj0zW3uZKkJDAZ4y1c6lzXQn
OAc4nZWuk82wjwmUUXJBxFH6bqS58qPI6nbPqXgde1geeMas6jaHocU3RYu1G0yTUF7z0KfR1pI7
n4fc6VptrcK/jjwr9ziHcd5Z/9xPdqxpnd/azqWqK/1LhYbotYiCN/cdDTYLAx8DUAvc/mU7NQsa
ETgS5FkrymnDS4167MpkL5veON83qyzemF3rekCfH1G10WmOlVOCG/Y12aXrsHetb7w2cMLsSe4E
vs4yYAcF214PUNS12qk6KN2oXrTO9ncC1uYqfBqg3ir97yX3S4SlM0hk9Mxns+miiASsfDC92beQ
j8O0ymKOA7GCC+F2CyiBomRVjdijFuefp9ZPz1mtRF5lmcNO1koFyr91m8ORp8+YDLTviItLyICa
VYMqIiyTm8G2nq2iCr726Fc8K5Mcxm6nJUgMRXmkC3coMkTWwIWo6ee8N6DU+31ngoQMQ3C9+hDd
IeiB44JOU/I5lNL4T6IGcEA40sB9ZyZZ8hiZqIcdwriTf8lFaHYuVA31vdVagERz2no4S8a9/hja
WTq6mU7/2U1IaTFxlvD3sEDdRp7TRr16SpW2Uj+SlGeya6DB0x+RH7dINNNMjg9FhUugh/Ers67R
KswXc0pymZpHstKjNOjcbE6n2L91O5FL2AsB901SC/3FHjtqoyaYnMkNh2oan0hyjXujqVGM7IUt
/yiEE/8JQ816B8U38A+DhN68a+J88j+9TvP3aYrk3Dkn+j+jkeQXh8G0wF/KnZRoXo/ry5dYyovv
Td9ljjcYRmYf0r70BxwwrfBjYsOsObTQ746abw/dnd8J87HqJdFeiy6q04PU+NrXuIWDQatemzE7
YSIdh04TgWuiwyidEiWqHjIxNJE3JFLyPUKwKrrLkf0SrtUotXPCFzvMPduRKvCjEWIP8F8EcmOd
alTP+Jsp1cEXrVp6eppV+mVqEHVCzyn+UqALX+HAGEJxkaKpq1yjaW3TNZOwlw4wyqzOiwv+c23J
KJ8RLZaSQ+VDFj6YpG0yH8mU6EC0XMBPYw0GilnRqN1bmSXqR0nNxuZdE2jy//JiUjQvqVBdcPuq
mqoX1U+Sc2wWuGsE9KwkF6xL/avkO/feMCV+7FVNDmdEt0XxbrLEYLlG7FT1naSq1R+UCNLwUrMk
n0KFTOMakR07L2ZcqvJz35u0ZihMmgdiLRIKIOFK0FhWav3AHCVMIEn1Wfzeh1da7GhVrEPKPOWf
SYhE5LUihm+DidIRUb5wsRvf+sBvP3Or9G8NXPAOAV3hrUTqvEbqlOEkMQTHLQ1noOQpRkDquxUZ
zk4Wu3qWeRViF5kcIx7A/beBK+sTybckM7n2hF6QMnV3Bc2T3r2eBqxWITzSWmDWDhCIqeci1TGj
SpGh40XXsQ2Ge0Vr/KNh5vVOSb11d9lcxFSJpKYrXs/IvSXwdUEXphuiA3yoicl993+cndeO3Mba
rq+IAHM4JdndMz0a5WSdENKSzMxiTlf/P6UNbGjYRBMyDCwYXraqq1jhC2/IwjaajkyG9oaiYkCp
Roq80SB/uWyYGqI8mhaowa8K/knkasBK0vxC3tgdsNx3hiIohf5NbWuns6HqnZisrFEeo6w3gqxp
y3Pd2PErox+9I6yR/NqbpwWeEm4BvMZ4nW6flt6y8ZEDBI4nhjmc7EXNT5awiu9KGRevJnwQ24MY
f2dj8PgToyE4L3tSm6C0gCqsi7GKHlenm8MSh4qw4WI6qljuDiO7QlLB/1a8qwddXWAXS4RG7BkW
zeAFXot7u4s4iG9Puvk/a2zzB3spjbC0Y/E0NssPDmcRxqtdPUy1PgR9K8aDY7ETklO3RqGObAMQ
wjZwpKeEhc0au4+dXWNdEHsJyP5GPfWOK76Zi21diGCPsDU7+4lBwYRL29xbZmzEFb4WALEfB6rM
YYR2yHlcY2ABg+IcXJS324kitmyEEMRI8XL5Wf4IjJfVRVbQqvVHLY6LwU/iOUo/tyrU6alKuvS7
mKIjTYjb2bGd6MrTK6DdSm3v5ZBxBRd37kbtMZ0nN2zRzTxFOnj3rGqOLmgA7dvjwiAkU/wlJ3mD
H6mRc17chp5SZo5uc8Ix2j7rahzZQZ8g2uAvc+38m1eYsZ/zos9cXzVLxz0bIqqzADV/55NOOy8O
Kf6lUThPMZxSsEIz76xwhJ8beteEyYCNOU60Qn+TQq+f8VUWRHjIA5v5Wekm663XYjh8Kaql/1YA
2f6lZXn52fKWWL94VOe9RzXGTeCVwZVlBiXNaB5Ub9Z/2n1rdWccNKavDuKAy0ONKpBziqgE/lNh
/pPCWy669dwbRXFetWmkG9gKy3mUrPH6rHnZ4ob2iBjIkzJ0hCoxYjtmaJlF6gWqMg0IVeACE50S
MQMV1ogOv5WQhgUuGWWT+TrkAStMXaXX/db02g9dB+GZUMMFzoC4n6MFIhooLiALbziof49t4hNW
ichXPHvRfbOIc+2fuRS2AATfFRBVciP7YaVtGgVEAfn/Yrph5rlKPe+rUrtwWLy4Kp46zYvaS0uk
I4LCtLvkPMC3/5GXWlScB2vu32t5PWT4HqRi9itIaYUvjMF4Na3rtD4ZtZfEz16uuGMQgef6ak2p
TRybOMhPl16+PiXqMhWhi5xLH4xqi3e5OUTiZ48fLXZ+AonAUEujXIGnbdSvXK/IxwCBmcX0szk2
fq1FWX7L+954wltFTCe9iOfOd5wsbh6yvFMfMN1Ue3/wSjAgU6X81G2kD12ttb4tk6c85KNe/Bja
rvnaVrgzwH14j3aOGKLUfCgiw/uw5MaSnbqY+PQkb0OYy3aZVX6yZuMvPnrznBnDqr1F5N+2T64+
DsU73K8wMR1hP7ZhoyvLxzGdYRuVxThelGxJjZMZlT26DHXqvUHmSWngn08pPRR77U+lq2fJYzUY
kQgIeepvRQEp2jfT1urPnbeq+YNjR+YvMddeE5I1KqDaEiKfsBhWGKxzbkXnRo3rKtB7c0jDqhti
toCqzO3iT9rcvY+g8Uvvb2E0r9SYxMHvq85ywkmNjNzHbhDS+bwq/YM9Fqv3QGsC4cYZA9g3jZKY
nAZ7er+KyHvuhKl+WBJ6mw913BepX4528YkeXLHwNc24PTW968aXzjG6b9BaIHbV0BnH77G+TlpY
eo1G5pEvVnNJUogBZdq1ub/2jUiCRHPrKXTrsXyYU61uQy5h/X2vJdb62lPm7p9W2N4PBz8C5Qk3
eLV/SpKY9EKJU/E0JXbinuI+m4D7zEah+ZAh+jdtbhRwGaGRK5dFQVELfnHkfcJ0bZ4+ICfFUuoZ
O5zzySX/RhBC9B8QA027d6tedXEwFOS2V76KDqR+7b9EKJVZF7Na64+1aJs1vB8N3jx7xJwSTUSr
DvjNTTTolih1wzCj4d+kwQzdETHWwTwVaQs3f+3s0yj+mj8jh+Q2AWksZbq25DJH0BsEwwDMvpym
c59ik1F3bRJSn2gfndVJw9HMloNU/SbqkIOCLpSCnTT2tkFiVYvfotSQAucu+jzoufmO5O5Ig+zm
xfs9irTnBapBeW/z4o2akWJtHEOZmJsyoBmqBVDwm/eDKY4Ev2RU+yI8/D0UBVap+YXC0+Y9J92h
Do6M8pVnZUz9aagxO2lzoIuILER+jy8Q2CZRnHMjjb/+h03zu2VFX5zqx2ZskVLG6wYgVJhnOUFX
9w71dXM+FU6PqMKc5krAQ6B+uz/qzuKCXaRDSbuEessWuFWWCXobk1TBqFP3VYFJtt84SvYNAdSj
gv7eUPRI+IDYEfExN5U3qL99NcvFXVczD8YFpW3NKKtwwJLibwuWlIFRQUX/gJjztuVkuFFnzgUm
F3qlvUmJfJ9ahBcOgu6b4I/gCDiPPHQeUp+3OR+Y5EoKt6G3BlErVrPx5Fr0YtKmMn2PVP4gl7hd
QArMqpQ+oJNONXaTS0xqgtN8D0M/ztgRvaIaTwivrkEM0/lgAXfmJnNlFo/Q9lZN2RkjBUYs/nZl
3JQPTV7lp7bo+0sj1DpAnOSwb3tT85PFcy4uMmiSTeDKL8Na0BWW3adTfjX7tFjCBm1HBadqo3hX
Ktna/tK1nNgoMfSJtmyeLG+rGdenMVk0zV+WDOkbi831MDjSpfn+Ebm95bjCIWtxNqUw8vZSiMyk
HBMTK2GlcDuMrLToXRcNw/v/MgoIeT4wjbetno9ntJRDcpei56DXoYLO9msilvHn/VFutxAHQ+K2
pFQYrafNJWP1EN14PRB56JII18Qo9tH0Tj72w9wewP73hsIfkYuUkj6yXZuhohy/ghzqxDXq9ex5
mQvrXVSu0+z3+TylB0fj9htJm1RqPHSYAaBuASawYA0vnlA61e1cDSYjSc+G1h5RU3amxPsjVc94
idAd3hRFFjtfBVX8DEdd5VveVWU4K6X+iAbpdLAbbkfCmVQiImm/orSwLeqPQ2MNdYVinGmJ9VXU
LD8LZ8GwPTX+2ihb7jgYvvL9pn217c6b2bR2SJTmSLVDIh4rKrRw2RRfT+ojWMxNQ1kOxWQoxoFI
vsGj9GC6VOSgeV0F+ozx0Dr/eDBOzwUqm1+EsO1PTHl8rNMY8q0CDO0gW78losgfAGCRWh0NbSx8
X14y4+hYQtS8QEvvNPOlrFLb841G9eqTU0dV5Bv06Zx3LW6Lv9y+1vKw9+g2YO0ZIVFQ5C6aNn1i
O36sKdZf87r5cfRWwOtwAdyaYCB25RmdRaHSjDPtWq+2eaEgr1wEBp8HN9pefEp5RKcpiwgbG/rl
OqDstBDW8SFw3oXbW2rFa7uyc3+agID4SUQXQHTrESRj7/MDGAV5IvulN+ziHrcA5NaRzccn3Toh
s8BNPjX2xSAfv/R05T6heb0G+ZRctOTItun2QSOkw2GEEhkw45tL3DEmPP9q4pxGscQnPNMUP0bK
0o9KI8993HPUg6rm3hqDZobbBfyE+p9cjT9KQ/gWqpHSw2+YLSv6PCaxEuCYE/l5P5XPQ52tsu5R
HwTkt9cGs/z/gxLQvRwUcj5XZJYSYiFVfrHQB3+aGskkbw6V0XduXCAPwCPlxQuHeLOHwAA3gwuz
9zrOOsUQartv1Cg/ekTkn7INyKWXhhTrlDqa8rP+sYpGMsCTjpgQDTL9PUa35bkbrSpAO8vUfDGX
9iVLpq+K1h31DXZ2KzpF4Gx4JYHI3iRUDUjKZlnia5Pr448Y5auV8VqNvr4OXtdHM8xr3tWV4/zP
WCq1fULCNDsCBu8ssg4zhdq4NJ+9EbfQRqOBOl3FeIDbC7jNJD6bijjiPe6MAhVFAou4gLSbuLJf
xUykS60/Q6HgyZvmxAqcrHaPdufuOJQR0Q3ypFfAZsuAyJh7G2072NKphp1uEb8pYAQenIGdLQPg
EVMiavy27Mm83DKam9v6VCrKoz6UVUCP1sPWW1upGTX6a7fO9CBBU/5tDHLs7yMeskP7N+MGKMb2
0datRB1TxI2vaRwhVWcp0Qlldjcc4jU5uF12lpKSLIcd8RGcXbewk9gYJ53LG8tchAvetpOjfYcc
lx2MsnOHUcXgJzLUb3L2y6Vc0yYdlCGKr8LFT/KkNbH+y8ptD7WfuWjdM4SVen4UMbnOQW61c5H9
PzYWfS4gUlvsWVGNrXB1UBr9RLXMS/I2TJe1DudKSR7/OiQmDna5XNCVBT+0uWImrUsLcGzIyNcp
dqfkDxUYxTg942+k/4dp8SDIphqwr5t6ej7mSJ1HToyaYTzgrFIk9sMCB5W2clpNRwade4tI04V0
CgwypHe5if64PKfW8lol7dJr3vC4O+gzhVMTWaGbKkeNnr39KJNSsHoOEeu2RuPqWu8W+kouXEXx
M+XF5aIY07/3v9QtrBoHeIDMRCyAamgebSYkvNaabKK2K9lRfcqMvH2HYhTW6+1knOasb0J6vbiQ
Zop9itLJQplz+WsgDL9BCiOg54b8Drfzy0VNUmfI1IjIfFLL5rEwGu1iTKipN3G3HOyWvUXldEst
Po0H4GZnKqmnZhViqnmR9A/unC2XOXfTA1bp7qrCQwY9Ri8L9ZbNjCgo0gGFQXBVa00PE6E7Z7GW
q+9Agw8GdSjCCUGxQCBC47fLUL5rIvOvyUtyVWGDALZHtu0GCpkuy1jEap1CpRXinFIAAXApJh/Q
S3GwqnungjyeuxM+PMDrzXlPcMGuh67Fz32OsQsbFsdv57n9tnSHCIfdoWB5A5kjt7qJXhrHSEwL
jvkV0n120lFFC405hQedGn8NW0VdBZAlh4PiAdyUTf1EiosZXqGVcOyH9gPAGeczwiSIJXh2Yh8k
p3KFNkGZhFMwHD10dDQ2L6zC6XbMCkkXpejHs6qqg79KCrbeZspFrWr3x/1zv7OMjMdwvzFoN8de
VYYs1lU0c4Z6LRPEh/X+lUE69ha4VnSwO3aePMRj5FASOH5D0B3NeoKzICmPtMmz0CLWC1FI8CqE
E/KSf2Dm2QWBW+fD/TnuRC3wU3gRwMNAXN3Wv1RLGDXisUTuulhPrV6n3G9q8cYYOxWN26yjMTWo
b6qinP4+aqGQiXgrhBVZqdmch7ksFU6JhQRCP82hFSdJiDdicZrLQ3/gvauGPYoNohRnJHvYXDWd
vaDkVeAqTofXbHwntedTrWvzOatsG/a+oTfnwRbOVVcAXoVibgb7qfGM4ctfr7YMDSk5UlC9fa5q
xUrjQlewN4iG9jlR8i6g9kavN49+5TpuvirONeE8wzK7P/DOlc7ANsQYqXt+s5VxpjeW2iZrSkrd
e4Yqbj73dZae7o+yc2AofnOjo/HE0+HKTf7Hw1/FRcMbRfVWpzHzUVOH6azHi9TSOBQ53Z3QH0Nt
7gK8Qkdnpv147efaDj1tLUJHHY4qRzunQzoTm2RkUl/4N6fwjwmBcE3qTibT+TSV36Htxp906DuX
mpjj0cyqNINBaFX0be2h+nR/MXduuxdjb86Hbixjq5LaXs28rE7Icjm0nyiecntofsraHmyRWy69
5OtTnqE4I0P7LWJNNFm3dAqiUgA/4wQQQVw8Zn3ufqF4hQvgNCBn5XdAfkJ1iWJm7hXGKysW6zOq
geURCGRvL0nJAkrzaBAjlPJyL2XmytfHku/K049Wv0NX9dkGy1D7pjENH/9+raG4w3E3LEBDv++P
P74zhcDZ8IA1oCtUf6vosZ2TDGFlSI5pWGjzXyOFWGmUSuS7wlV/07/0UDACnbpQDU+9+pqYZhdk
jqmESWxbB7XHvR1MRkrUSILt3Nhr60kTTYmBm67Rgq4ALhol7yZFoJmeDEBeJiemhdGmdjSHII3y
v9/DRB+y6Mq1cBvzgEdYZgs5wauarjZQneaXuiB1Y+n18C5zsuJgC+/sGQRZsHPhDeUO2j4p2mS4
SwHy+Dq2Y/8W1Sjz3yaemn/qURmObtTdsSSzlIKyfQsxcy26QYONkE7vWPOrKrKtRw0o2uNgQa+8
vzv3hoLrQUBu0QC4eSmrSKX3oHGtJv2YvF6VaT3bcTl+zJRGv9wfaudaJcbl5obHQsV8G87l1WSr
IqJPU8xW9nYGGPwA4OM/fCfCUlZOhzm1850ims6Nq8qeU5P8s3R9E/QAdp7HoTMOJqTvHAAafDy3
pDNQYrZHW0FCLotQebhO7uoogJdrpz3hiW565xmITRoYbZkNAVwzcFZ65dg/ospE4DdrDfVbv2LM
TGoiFvCalpZ/7MqZ/yTpJxtzFGXs0PEtYv6+txYLOudEIOyUpYuo1YB2GP71SzYGXuIpaYjbEBs+
FqXxCz/rKTurVoQBQdq7IHfuf8WdDUNjRcb+kKBk2+3l3Qmaa/DmEiIDMqrNCUbXcvIQnHyTdNPb
+yPtrS6GkcABUdIgkZL//x8Xp+LmUdciZ47+io6yMXjMizvb+QWPBoFHW1kGxhDPePFhgXd/5J3n
EZgwH5W+vuRAbuY4OH0blbrAU2zMylPGevhNnk+XrI97v6zU8WCmOycDhCvtdpMX6RZzQq97wbQJ
DPRgm/FJiGj9CrLeOwjH977cb764LODvwCL0JFnBMKbXaIWfl4369F6ZECZDePco8t8biuY3/kUg
SMnzt5+OOqEVxyoFhdYWYZPG7RmOSOHnkPUPvpWM+zaJG11FiYKHZ8VjLtf2z12yQLpX9Qh3FjNT
povdG81XXUHEKvBElJ7LOSvfQTOt4/9wDiSWAD0wArib3nYzac4aZy7jJgAD4UvN/5TR/HqInOb9
/d24u5i8OsCSiCBu6gj0ZQHEWlZ6dZQ4Q2kuNgPURs1g0cRRkL238eUWpJZNxeLmkeun3+2PJUX7
ZykDG67s9yIq1MDy4uWV01BAuT+136ZI26+Htj+BEXxqtsvmpOElZoPtRAHImRLrK00H/UsDcvad
Cqr1i1WXyce5aDDnSZ02GVFij/R/BdiJDy7EGjVQB0dZAuIdPDqdsake0SIYFt/t8MubMEDtz0Pm
jN9Hq3Nr2p7NDM1ptpoybHVhPZlrZR4Z6e10WKgdMBH0jPifbXmSt2I0UYzJrtXgjjS6lfJnTd77
QzhZOwbmarrUf1p9Dlc6RJ+Mye3Wg0dp7y5BBkiWnSRzdHseOsudnbZxYPavlvhi2CDLRB7PB1ia
vVMH6oneNl9OKkC/PHWQhPrRksgOpV0qgIppd5nT8pPnzc0DYOE28LBLfri/WfbOAUVXiROng3WT
aK9knl1kAr4YHeUHlCPtuc6z5EEv+uGgYLJ3DFzJJyYEo/i0zQ/WmAIFARfomFVVvrmKqX03uiKP
0TVbxaupq460xvaeOg84zm/AIQzBzXImHn4dtiUdu5O2fsORWAIvxWuqVlzTV+up/2x0ynIqCvbu
/UW9/ZAGxSyIlkD+d0BRnQFRRQhu6t6bihMOzBOgaXc+uVjLBvOAn2VTWsnB7rmdLoOSx0OHRMnt
BqC3NkQwWYZnpxL11YOumD8mOzeDYo11jI4K600XCSvUsb48qAvtoCUYmZMpxarpWWxPh7tYRptO
WIqYos6/0nAtLH9K1xUWIrYCJyjJ8J2zNkd8oPeUiXvH8j5HXSdeN3g66X5HCKsH3VgkR1fvrUAP
fS/oCJIJYexAstA/13WSQvIZK3M+g+WowDEhox6FljZWvzAYExbsAiV70y199aOMVwIis9eNf3JA
o6tP57AsDh6528uE34S+DWRfskoqai+PuSZmoRQDwbRaDv2DMSJvardwEu/vwduDTVkB9BbyBHvi
jE6V0foWhFteVFrXUcndJKiLVNH9wfTKI1eZvc1HCgcij2KEVN16OadBK1N3ULii8yRVnsrCUn1P
LeYTyaR6KVVjOQ+xMJ9M5H0OQpXdeZJMgU9GuPTGPAfaCczHAagVmBToACPI6bbhGVM0NJfuL+ne
JKWeNpRH0H039ZbG6LISJiWxXpyUjwkEkDSoIk8xQ7dQKtzglsj93ERd/ZStSLYebJvb+5PWC+EK
qn4Sj7ONn+MstjOTL3htjKULliLN3zmxk/irmLKLqefJwZvn7N1idFWpbiOOIpV5Xn5TIE9L2gjp
UT0a2XOq95OAA1xXPUSLFvl3bBnLlo8LsyJYhQs5taBj+d3Jvc49Oe4wi0coGkv7HnE3GCOr4cKe
TaZ0ej0aa+9+GdNJ6U/UzLLyeXV0wa04gLIJye8s5aG18zm64Dyc5n4XLZoXJib2d+e58TrjVI5g
XJFyjarOp1QxGJAKxuZ5ssesxysqslH90rXoqcxHqAbCXe0vdKPd2FeTppJ0GWE+R/WQqAG42LGG
1N+L94WToio6zYohTugvlempXeFH+E7RUjOLeRdxtDCLUYKQDHTGRhp/CpNOBaQbQPRYbg2LMaPb
ZI8/LFC3ejhZs0OHsx0LDnnqLk5QdStWsrrVt/DcOqWawlXtelgZ85jbfr1aox4WXWS7Z31IE80v
arWcOb+JWV+VDDf484AYfvNAHGd8KqtaHZ5L6B512Myj+lalw5/6Q2SPSbj2k2a8v38EdjYhaQHq
nbIMwJ6Qe+aPxGCu8UjRa97UHEszv6TXEizNZL7O+N0/7dgZP94fb2cPYoJgyRKnpyPHsAFHlZpY
e6VJs2shBl0JTO9ViaJl4UdqbPwcK7V7X45uffCS7l0pUppUCrrRqd5u/AEBC55nMAVLFhshtSus
F4mBL83U9weRwu5Q0puFSxNdp+2h7unIN6ldgCnw1vLMLd0GiMpETx0G6fdXcufLIR5DEoIwg3wZ
5Kv0x5ezYOivZTrSvEXJwvCH1s7ek2nZl352+x9Wox6h+OUf+DILQW2EcjCFTEo5N5Fl76wjwKgG
pnPpVJavRHGDbaXCfXFwLe/NDO45hXBJ4rwRxVLtwaZXgnn4qmZtMNFzDget6X3KjiMZzHKklrb3
zei/wWWhyE1ssbkX58hELN3FKshQ1/qCZ1QTinzs3g80cE/3P9ruUCh+kTrii0Fp6OVHi3lNR7VK
squtDuNTjAb6VauN7rQstvkfdiJZAEmOARlW2zpGVAtQyiKbWcWqMk9Kl5t+EyftKTGhLPz9rGSl
i/6rLUsMm1n1tj0bSY1a9FLOaA0q05w9oJUWRSSZqLnfH2znBoFzi8QeNaDfqlsvlzA1tQVVDens
Z7h5YKyeO/jAlgcfGYr60qOS/Zo6xhH44zZlpWcIE8kAPEvWur236kIgq6oSD5Wzmf6gLdWcclNr
XL+1ZvzD6V5E9GNsqFbQXD37U6wM3mHwe0vKBZPFf45KMl0L9ClfTt1RW94d3s8rLDOHklTVKK8V
b0JqtU6a4hViM275Poaw3CLuDzo/wMan/lSqakl8kSJKc/Apdg4qqHhpEiULvDSxX/6eWSv10U4F
KuGzQO0PhUm/zYTuW0mbn+w+OuJj7DTIpC0EtHI2GbUXdbMAHi8TODxCpkTPdL9fvPmhGVbXz+rE
CXOryR9sR9RnM17jU76uGcXmIbquLoao9zfhzl2Icz3FT8D6kgi3+SHaaKlp6fJsZkUxPDiRlb7z
SjM63x9ld76UkWke0TZHTXFzsFranSg/Y5CSuRJv4ZbeGeNqE4d3ZGC60a0eHa+Gv08eFLQW+ilx
B5DHpMB+uf9Ldu4tAFiU1eiA8FO280WvTwgHrYbrvMxxiJwhl4mVrwEu4kfVrt1JA1lheemCyJ7v
y11VdmmUltDsrmbUGKOvis61YLrq7U9ixPoNDMrsk0gH68FKllcTyvikepX+2CXdkcz/zlUj24RM
m7sa4Pp2f+s2wclaM2urU+DWJsX4RHdreGsP6XAhGW8/U3WYj27unWERMIBbxnMEp3NbHov7ngod
FdVHrZoxJBSrm2iBgYrpuYWuVAUw2ZEP6moX+cb7n3lnZPhzdAtlbYw/a4PSqJ24s8c+9x5Nq3fO
el1Vj97kzBfFhKKbofWDuUx1pMu1c5aAzErbFckMuakGGuiNOEnFoCk+DmcwMsXJHqlx3J/azg7G
7YuWDNUJao9blhUAdZc+IcrRGdDVUGmyOGxN49xBof77uwGXPsrQ3EUUx7bhRLyuCVBFLsQa1IU/
G63+to8z/WCUHUQNksDMRoIRGWiboWPBavWYqqDxilnZFEx9o7zPNLcjYpriVPHXobbNZxXkvGRE
1Q3Cs0kn4lcNhZ3s78MaPh03lIdYBJt2s2/Qlo2cSO3ja0SyeBaoFnyacsfyE2c9khbcmbdkHYNK
5gGQgYBM6v+Ie4l6CzBvoLztCnPVyovWhXdO0350erk2QaZ5TX+q6zX6kEptiKDKuvGN17fGz/sb
av+HEC3yIMEuuelrus2YjAM39BWNhggzKZEGuN4aqU+hLILB2GnnLqmXQE/1JSzTWff1yLR/3f8V
t9ua1UCp4zdjE7Ujebj+XI1GWDXG18rjoNboO/N7EIpybUSHrfLgBO1OmI3GDcELzJbTX45Vi9JM
xthSHnNpVBYYcZMZfioMXGEL0BMPyAro/UUkqpL5TjRaybm04vaKBjK8xvvT3nkkADsyXwqjEP/Q
RH35WxjOy3vLiumddQmwbVHbHzJ03l6XcT3+L1OMFAen1Xy/FO3yOAhkrk+Yg5qGX60JGl33f81t
cPjyx2wXRlNJnlcYI3qlVu8Ty0HRa9IW51WT1VNQLJqL4BAUMs+N39bogv39VUAoBLCVE4h+IuJG
Lxej6WpjGFG+u6LojQKDSYT/Gxn9A/MGQr8ir73XyyiiM1p+UuBO8a6shVId3AK3F7mEmhMNQSt0
pNfay5+RmWzG2B7ia245/UNp2YsSrEXaDQfj3Iad/Nmk8RK3SGtl++1F73iJMmmwScwZMpeTgcu0
xHBeLTvxEUVT3t3/vHtnTPqJUFr2TF7lTc0iQSltNb2Z262slbCb6/nSruPgIzXiHfAu9oaSvDzA
M0yP/P7lElbuGFfuxJ2SWUrqxzT1wthdEeirEOc4iN53xwKTCVJQ+rf8FmP84+pwMqsqqyqPr32W
dJCBAUVanTqDLbOO2m27Q0l6gEtGShNlc0tVOQCCObHRuy3U5B1iMuan0p7G15h9eV/vf6y9TSjx
0I7E69iU41+uYBcpuK/bGewtc5xOZh0pZycvyoPI3N0bRrJjgJISTFATeTmMUcaWiKYlevTSYU7P
Tmqq/fMCKT1+21va8CVt80ILSmel+zzWTf89hbmTXVDUq/IgEZ6wAh6IJQXD52Ufy2XusnM8Uiv2
m35Rf84tT6dfR7PoEAdq0xzfl74wLy2RxRqO60Llskvs+N/UzNra5y3ChSYx0jkLRFs4Y9h3ChzH
1bHSJNAptvxbQbQnNbCs+S32RHPkUyEq5jdNJNjOKnqYfTB5ekXOmLWO8xC7amMGY5LYFU9qYZzR
3CgbpO0Guw3Hfp69Ezl/PuLFAJboWdVX91Om5XP5ChvfHqFqFDFPi5lhs9jhkfVQOFUJPsSpk+xh
zW3jm11gBuBH1RBHp3wey/XiFJPSnbReoNhZq3XhviLcXx7iGK1OX2q/vDYUASZ6mZThc+sWZfSY
GG37k/TWS06KWufPetM3qCxNJcI50CH74dSDIUf3KUpRh2yRNBB+p3bxBxIm9CeSGM9Zv9OxevOr
SlsQj+pa6mapYorv1P7T7OCh2DkHoIFk01TVLCqgm9glSmkH6+jfPGbmVDzxruPmW8RAPlaqzcnB
+b7tbpALS2MYnmpkNzz5Y/4431HbCiOu2vTq2XF6op8w++iFr2G5qv0JhYGwKgu0BJ3kaODbLALk
DBUIWUuzIFBu3oFBF4PROm5yNdU8/5zhvPBl0qYMHXbd7R9xFeYt7uvYPpjvziuMG5tFkUbqsUPV
eTlf10iioclNqryJ6N64LMoDqvNvJtNdnzLP/B9tTeXSziOFeDE0Bxf3Ts+Uch7lZYhBwArQBXk5
umetmln2Q3pFRrTy0Nca6wu+TNSlhh4OYteao7iiDql3PoIk5TdwRsPbwfBIJpFrzf1Za41LmgzT
w/37cGfLUamQjSaX9+sGQO2UcbmmrQpqSuCiydNJ/pgNczjTFDvY3XvfHVdDLl2yAJ6VzYZLkV/T
16xNUCJKbSil6xAUXvlLNWLhZ4PnnegZH3Xm96bHFWxqMFIkvGnzYCbZUhaTC1ER5r5+5gLRHiNE
yV5linYk+L03FHKiJJFk51Iz4eUXznvgZwRYbGuNdqtF7yccW23EErtaLvc/2k6EQz5MJ1nKl0rr
l5dDRZPnAk4xecSyJTJ8UXjxq2kQY0/bPesvKdQw9eD07AxJO1L2I6UvJQXjl0PGuLTguOfGuIzV
yQmPAesj/af47CWIouXWrBwcmJ3NIpu8NC8gZN2WtkRmTFQwkMhOPZ0nepg/VG0hvoHLtoOVa9K3
pmX5DzcT4GRWVpKloJlubqYCOLhjzx65Y9oMQTvq9htlqUie564I0F3ug7mu/9q8ka+o2dSq0bBC
Kd7eDGojYeiONjHdbAmEEmNKkk4QcSCc//AJZTRCjEpOCgzu5SfU4k6g9LYqjwam1D4NjSQwMuGG
UkfuItJCOd3fpTsxEEVxKD0SSUwdeDNelEdl5vSz8tjmbf3NcashcHPraKPIP+Vl20kykam8002j
KrY9dko6rpmTu8pj0VX6ZVqGKhBr5QadaK2/P3Z0COHn2GxKUvrNCV/mxRsKj6FMPRbPkwLhozS8
r1nWuCe8PY9UnfaO3B/DbQmlGRhmm/4wuXvipX6SWNplMao+tJJCP4FOOyrX760kYDQeR4viv7PV
GeuNpFucaPYeF3OdfITpxBXdUjMYRqU/wOruDSXZx5CdpQ7+tji11NA4NIQvH7sll3MR9YNZz6zi
AJv8/i783cjabBB2iASg0d+9rcN0LWcrdxI84Sq9erCRGh8AFWTTo0vz/nlWI+K6KW+9/ISNdfaz
NYd28idKzwCVhoUTaRqLuz70lYGad0HybH9QU2/tP6Lba/YnEx8ZNUCaPmrCUqyq9RbTNP3iVrn1
JTN7MQUW2JynpKjsD45YrS+ooRK72/ZaGK8pyjnRmWde/KwLo0RUc3T754hcKP7hEnguPrwPnL3S
GWBZMOtakoYOGHbVn5TI9fzaBCLvI/Pfuz+6dezVEyzW+FuKWcniF9akmo9uW6lTEKXq+DXXs2m4
IIRjfaYexyNFhoJKvpEgXmcqWpz7o9MtYA8WJ/u3pHRO5+j+x9iJOSlD8JfMX3lI5L74I+ZcbTuz
0xpF50TP7adiyqNw0VBalw0ikg+SZgWQyK8Ciu/B2d3ZcRRdYQ5BsEdqZntNdBoBlIoTL34YljhP
/BthkXTUexZrfn9/knuFMAkjIMRFSZPx5Nv2xyz7WunBmRnKo4J538NCbgtFTMkX4mt2oFIsis/j
NQVtYptvzMr4jvZN8+7+j7idL2Yu4NNpT5g0ZbaFvxInxMGqgCSWfe0FNjDeIGqd9aPR5+vBU317
z0vxHtnkQ1wZstTmWiz/j7PzaG4bScPwL0IVcrgCICUo2JIcxxeU7Bkj5+5G+PX7wKcRyRJrdqf2
tDtqdqPDF97Q2K2XubSqZxpDt0S32m1dDfL3+xO6NIqPOJPPEBeqLM4GhqdvCd8xdTQeunW2E1Rs
zWuYL+P81kVuCWUewCfuDpA9CXTEMqBFBM4KtJ4vnw0gLq+VWjY3QkauVhEQa0roKGOIj2Sz4gvu
AtvNWkCLLTbDfYW8Wvwq5zEArKznn1dsBG5ntvOX9xfjD3rj7aVGmZWWEyp8BLdn9U3KNbXpt3N+
h4D1dNdRq1lDXebNb6X52S1pBUKDJtTAh7XNFHlvs31utmo+9KXmxY7y9KPypPtR5e6WvP/TLmw8
ujVIc9CuocfhnOyGXG7Fgi8MQur+pG5wGBxvnRR7m9Y16vi/DwVrAMivSb6MUNnbc+ZrPm2wGlkV
oUk91muJ50I7pIfaqq7KyF3YfsDRYWLwjIDlPG3wt4QFIOKIRzNI36+KEmoTdpQZq5vUkvOri/5i
H0mS1ywcnFR+BP6iVAjaR7y6lDXEg8iQvljsSdlAwqj2xMsWmD97IF64L/uQZUJkWLflmGe6oLSn
dUMVDsqaPuPeWHzzx2bOQ4s27+1qLmUdl1lq7KWXbvkROIBxY92R8qnfsdix5W6Iqk+agSpq0yzo
lBmZ0zuQp3TrVdCDofxbd84YKt6Q38vc5X4oENZ3aUis5RCZeIekVKO74tOQb8E1/M6FHbJDKsmw
qUbTEtr/939djxodr2rK0VVp/EJF5rK1BxPY9vNiddegO/tmOzkmexMeVwQ6DliDnGxGGdSOlQak
f1tb/jCkld9smiMiv7HG2PQn/SmADRHjRq+HRSvWK/vzPIeBD0jBgXYfYjw0MN9O1ABx4MuawvBo
VXrcjIGIoSEPURYEGAvDCwHWOFyT5rk0ZYsIf3dvRfjw9FBks9dUGvLgd4te+oeR/ksi3GnH0sk5
fWnTdAWUkjbpTd531BUGOQIRfv9cXrpDd9LSHifTb6AG+nbiSOXMa5CaKarXomLfBXWT0AZKg98r
zg3Gr4BCkwwVjY9EgJosbjF34lHcaKNrh7G1zae5Kv2v5tY6v+25m5FT9BTF+23WriEXLi0XzQig
+9SGLtRlBhsUlzemSeNu/gByAjwZItUFMWBP8coNRVGYHtydbRlvezfL9S9GMdn+lSW7cL2ApWan
ApcBV62fhAxtoZMZVSPhiRWs0Wy69ZPdiv4/UzJIkNiOMAZ2puppRiaqypvQa9eStS/0OXa0IH9Z
MhRBo27tRvOIvnb/+f29cOE5ZfN7kJMg05xXRbKaGLOaRJpYFa6f8aj17s3UqDU4gNMJPvk097+8
P+KF6wW4Kvt/R99AizrZfJORAj2fsjQZuRAHguqDsKgXLHXVXKmd/anHnlwvxPIoiiFjujebTh4g
pxrSqliFlsyLqz3aeVB7IcnopkdFvyw/2XAbxgFgkUAg922zJlVpFD9najdtrLX9+IpGvzWEsO2C
f1IX/ejQ1lzj0alm5wl/kGUOJ2MojWgz9AXhy0bTp+OotNa5W82eqpk3UUH/x5jQc4nMbF6IAdI+
C3AzWMYXORd4mZrrkgJ7q8z+i1NMFFVJkvIGMxVSyYNSgwKCkErxk3YLUknmotmflbHRXBr7oH3S
6JQmAfUsEhah2cELUYl+j3mZYcS2st3uket7Ec90qkBZ+7Jstjg1anDfyh62Z5uQW4v8Nqig4Tat
Nt4WVYuOvd8ORh5r5mhjr4ar4k0AHbV+JvQH0GN2K1oRox8sToRHgCeiQpq6xP26lx8HXYwN1VOP
5mle618kXJJPElmnMdRyTT0W9dBniM5wJUfbArqxawL/k2WRUAHcVt4HCyzYV9+YOh/gDKLTcdF5
g33M6ZqCc9/KZYvbbVuGsBkVzS7MLbMxEqyLCrcMR6ZwaNPcj/3c9bmPmrSWMXY0pYxhQ+g1gixb
AMFk6Wp4J2am6aFX9e1fMCXwZUJStfz6/mY/f2Lw/ITi7sN0Qz71NGdXo3B8en9OolNMPgjNLL7X
qDMf9UahKLk4yxF7gmtx14UEZ3caZdeTx8EpPn1jckEy4zijm6yoi6GSZA82Old2tzr0JAH4h641
Zv/Uo4XXGdVJn09i5uNa30NYqqYrS3B+3t/+mP1q/Vc4gQwRH0fzYPdXTRa32BEeOncwD4t+1VHv
wmqDcYauTV2LFvMp0dJzGw7WbNqJwc0ZAe/X76TT5Q3ulVtw3Dgoj8JCXez9b3xhguBKCWK4ZPaG
yX7F/muCMPNEIRtlJYpr8yZ19SFG2gBuxnxNaf7CSCTmQAX4D7M8lX8thItKeYmFjAS7HQ/CKV+E
nuv3g3Ty7+9P6uxd+KOqB1DH2WFsvA8nk5q1oldmFiS9qb1sLOudMU+fg6lAQ3CzsmuPwqXhTBpr
PAjM8Kzta7R2ByypxOIUj5rDlgs7IpgwoqBMrchutmv2m2cruXfW9syEuBNE5KnIK04huZPqGxi9
1Gu+pEqk4Ks0LE77dtOuyU+cxTD7YBTskETgNTortGIQmDk1soKJUxVFetuCI3KiujWbw2C6k4y2
dcBvT+HOkXFL5vXHSW7tFbG4SwtMvPeHBenw8J58z82kHYGtqZf4tK0fs9X26hsF2nQgtq/b+54r
9Epk8Ufb583ry7QJZyw09sk4z1Iym9u7AdgTJHnlu9PtYEz1Flv00CAGQ1NQgKrwDGmNwoEDF8jW
ig2h0r+ndjYT4UnIy7lfZV/6Ip/BN/RTNUGtr8W1mtdZaMfPpABDWxeELLX+k+Or+RvPj4YR7ACM
8bOJavM/nrL+swL5PgrSh1DFgH4Sdb89T4EJWw2fDfxe22H50TerC8ZqpcefoZD05f2ze2lGO00M
SB/lh7PD1FnBnG70MxLUTpYDMbG8L/rCjN8f5dIRQugkgG+zywydHiGiu6YhWWFXl3MVVXjh3FBf
7cM0oKb6/lCXDhBJPbgQaCu8pCdxnDtPOC4CYE8mo9Wz0HOU9b3n3X6Wskm/1aAScuyOspHQNV1A
8Lm0TdYrGcClAwRQD+WxncbPpN9+QANTK4yyVj9ZwQfudqCUDSCDTaqkkNtqeoIZ6bV5X/iQlNI4
taQE9q74/XbMFVFzQnPTTUhp/Lhtm+HWQvQ/eX91/0AuTw4qGRZxCpcTF+JpW80eDV8rdczeMghW
/RR32zSPB+KL8lODoIA4lCSyfmxMwySwjnKR8MRzqx6fUDAFQrMVTjdEOKBozo8RY6QnmWKEEgIR
z7JINzaxfgiQxck/pF7efRedI7T7TSKMFa2Bl/2tbLshxtba7YjcbjBFuoM9mJ1qmGxJ/Cswu5oM
q076uUu/itYr//ZlVX3CBdvyY5R9Vv/WtPEJiuZxUD90bwVjstjz/GsWdncN3X5h0+8CyEA/dkEH
agZvv4g+K9+rZozLPH8cbww9m46tsrRjJ6r2+P5nOQtmqIfQmuOVR9WQh/FkqLZe89HVMOFeibUj
wCBBONl5GUMK2W4csyFlQkbs8P6g54XLfVQqlvQ66cefoTAo4Va9g2xigkSPdiQvb0kH6N986gzD
uCsIJbOopaf3uKjB+bhNVfOoUdD4KNyqTFwVwCERtun+CJDjza/kcxeOg8Oqo1cDjZ9fd3IN8HA5
W9lTCzA1t/uVas72vGbL8P+sO+kEHBWThPg0eC6tyRPF4AeJ1qFRVyIQ1EVpndvjgwehQSalNnW/
hrJCUPz9tb9wyxGK7A8ECcFOnn67t0azHvuxVGkCMJlWTyCCeFuCNFrdsj3MZaffiaUODsLIlheM
ev8zCpYvT/mB4JINbp/tN3x51wpl/YDg0pFJL4Ii0sq6ua1H2aNmZdQPY9DIwyRn89jXjnmlS3Fp
9gDy6McEhGQQIt/OfjXcsjaGggjQ98evu5zDR8fqdJbeQ63PmNp4MOopJIGco8XTr6KjL9zvWELy
nO2iMPyC/eT/K4pnvquftnWa2Dt7F7m8qX0q/bo0YiE382nZTK0lQxyHf8ptztl4lffX4OT2PYiO
2UA0ebOWW0Ej80ea2gQprV1kTwvs6P7KNrl0BQVwznde/x9RoLc/dB0rDK4VoWtbjMOPxSw9wALl
Sh4+W9l85ZG/cOTAukFup+u457AnR87LlkUbM9IAE1QrnVLh/HYXXf71/s6/sPbkTwAEgOlSrDld
+zY3al3TOh6ganNvUd4yvuSrEEc9tTU9EsN/pn9B7KUftiM6UNw9i/4rS4z9POZBMldtejMhJF4e
vEaOzZXM8FzugoHAmFom4C1aE39sOv+1qTYTKY60JHBpDYFrRm2srk8NQlo/8NTSuk9Buqqfk2kj
jstDIF7NurBxcAlsas9eW/R3pdcX6r9voDc/yny7gfD19HC6HHzMMsf1iFZ8+mxiGHwY9HS7Erid
VyL2BQCtwEsGGorg4u1Yg9V6Y9frfrLYqbyZc3BPBeTc0OuC/rbhtokgWlghR6bAmXShSCXburqy
iS+cGC42myr/XhXhYXv7I/py2Cqtn4jweW4fbVeDjzZ26R2qvdfc/C4NtbPN6FCiQ3wW5rdyG1en
YWd1tsh+T0LJA1bl4qvndp/fPzMXTiYbF6z+TiDnxj4JDwyHSloBdi6ZnMk+NGnWvWxT7l3Rkrlw
MhljB0SCXT4vD28+jUtnJOpFimr7queivJ3xa3oqWOosqgLp/nx/WheegZ2CtPP8eQopSb/9VqJs
hJfprZ90EzDl0JuH4ke9eOXyPTcaIFd2F+Sv21jLl6WGohspNFSvHZBLu3YnxeLogxAAunwnPwLR
Zm8a2tlLUP6cf9CbS29GzImn0FdWW4YpKUAeQuZrNxoS43gPRmC7W32sTq6cnzM8BonGXlriPd67
VKfX77qlaF9J3UmCnPJnJn0rNJy5OpQGKsdNX4vnVW5a5CAldOU5/vPeniQFsCU4s7u+CQqBJ4fG
w3LHm7PBTXyv97aDvUz2ccAj1Q9NZVrqAZHLfgwtxCBuu8BKP+fCSz+Xgbd9WKcqvXaELwTDeNXs
iGQukZ3c+HZbpKRYeV2nTmI244TREd8nnCE+xC6yKEejH/uD34zb6/ub8cIZQyLRQ0kQYPA5QZoL
HZD80LhJI90fwza093AR8iuVmQtXBorSYJ7hRGM5dNoDJa2sIXgzNVFgcd/oy4Bu+CrXn/jVucPh
/RldHAyQBt0XAN4YrZysY5ntDtsr9eiy6ZIW6Za73SA2DqbZ/u/ROhVocJq0tPd+z8knG/XGTWt3
cRKqOKAzml4cV92prpyQi/uUoBU2Oc8iIoUnUfOiN9acrqWTbPYyVAdfbxuUf5q6fEkHoxTRsBnl
gyy6sopwhMw/yB5oU9guM47Ird6gyPzfVxi69+43Svf8rKUdeN001WvFTjW7/F5RWOrCGd5dFevK
t+WVp+3SDoW9ArwCwNt5aZFapb1s/uQmGu29SNBLivABrq+kRJd2DaRbALcQi3lKTz6ljcuQajtG
oY0PWc9y5qiyh/UI+kb+H8sHQZ33bMdFIXX5doMiZdg7fctQ8AGqsA7mJQnKJYjTbDSuDHVp7dia
3KB/QNOnUWdejNrWQxBNdE9r7hTjgXRcrlm2XXhM0FvZi3/0B3BoPC0ZBJRKfPjgHLmiCf4WWGmn
UboJMYebuyJ1bABN/ZsYyUXjqNlqzLq7toote6ao9f7WPH/M+SU7uG+XkSXaPlnbKaNj7heGk3iA
qB5VVSmQlcLNFCbRXvNgrsK8lj9cGnKHP+0nYa8vnewcF8RqkREiJiZMtVt4S7siDJSrY4YF2N1i
yWvV3POtSnkAWDof9Y8tw8nTTRFdNZZfeAkEAhWXzZgdqSc5h3YEUfj+cl4cioIEwnF78fi0u2wt
ugVC0nGTWnMbWNM6nm1Ilh6HqdSvUET3ZXr7GDMrej5E0x4x7KmQBBEYjWYM1RKrH72Dni7quAr1
ahSLfahKj5Jo7qdIZw0YNKzlddDdToc7G5/8b+f3uy5o7renUi8tLQf+4yULzkRgILLxE45Zxr2u
UryAB2O+2ayxk2GF81IRWm0+f0C25hpW4dKCc9dRDQOycp4mKqhypWNnXqJPRnM0IVdEtrXWt4ZJ
v/79b3uhDraDC/m6vC07R3X/Lf/O3DoQxnC+3QTQNQKqCICZv+oyX0lafO1zDYLhRnOa4NM4Lm6y
LC129xKa5sNW6/P96FvDjSxU+eLJavn9/k+zPfP8a7C9EZBBThDh4dNzbJc+UwfzmaRVFqhXwq/e
fp6d2tAiS7O84WhvLgpmHqJl5gOsHgFSetXWNdwV1ozjkmPg2YetMyDXVVSgAd3nvtfaqX9wKtup
noj4p+IwNPz5UI1LV4TKq4bfYNn87p+1dUV2HAwQrA9Cb0vzYQjo7n52CjKCUGLs7t+ZncqAC616
t/2V18HURu5koxunOcGKnY5rZeUroJ9hjpW1SutG86zGuBW+Iawo6FPXjtD3lulvD5utBsTBghhb
RCc7Kx8nNY9IlEJPX2KFZjzPkd3J19rNy+oIIh8MV94gTBdlGvoiUevLRsTEt/QkJuR11495aSoK
91ow1eE0lsOdXIs5DQs4CUuIjD8CdsghmU9+0dFBGacB8ZmqWo0mMq1iIvYEHu2DNFrUz9HplBsV
Zi7zWB8k/+ZYpPkT0nmDvKuKwUhvs3TQzQMuduC2pyyYp6+VtBrTjT2K497rNo9GdmztyUsPvQWw
+7D4xYo1BBjarf4GPMPvH5ayMNr7uXTW7jjWpAQ/565Z9Ah4u6uidjHt7lC0EoGoDtnP8Vmve61G
Z3Rbf4yD09oxTI/6k0CFXvuJb3f3IesqS49h1bfOnEzbZPQilG6m24/1ildNNNjW8rBzo0BTKOH8
9KTppE+GO1HtRuFu+Oa4g6pi5IUBjxkiB4UFs9rUQ5TSUP1Fd0RXGF6l5ldo/fk/hiUDIi5zWR6a
AbLmjduzfV4g4DavtDi8IaRaX+Uh8jDG9zU1tekjZK3FCEcDl+4H+jzWB0e524xalF3+LZEv7b/m
WV2vN9Sb5wd0o7rmaeNJyA9F5phlWKpqnULhuMsdJjkqPc5bp74iBWMG8Wpq84uROs69rlfa12Dl
HzSL15U3uPCaSK55+ldHWueE+phWKp7FuqGIEBitF4Sy8PItgmbSvTb0crPItnvraaTIoe5d5PcQ
NFyZY2g10lqj3hqw3sq5X754cytexeRLMw6aks6FDl5H3lfp2Fg3lVZY8rZQsv0HqlU/xy1m4T+b
QFZDWAXOaIU96ehxE27xWiAb8qPx8LENXb1GQivT5uBLMeW6Qd+rMmSYKbk8a71GLFiWfTGFgUNz
LpSDWxhHG2BncETmEM8XjTQ8XtKUHmuuPIMcr2jaROBRvt5WVtOn/Ei7eCxxfP1bzL4xxIbRL19k
trp5jEOP/+SiH9eq2B0Xy3tejLSxI6tIpXOkuw5dYbT7XJCdSUP/Zk0I6yV17Wbd/QgjItWi0RXe
GlvQpgH25Q5Iq7bf8Yij7ZFfz1MepEhizA6Rn7Qs7cWz+8a7p94mvjSCPt+rv1Y1hp6TTPNHYywN
9+tSrtUtwSpw+qLLJ5C6Q73M4n6pMiv96JlFMT6WTu91EQqTwT2dclEeMi1YH/tAX36qcqMGBnEA
04HSGOznPq+E/rQh0xRwFaINw01a278MWiBVBF81WO4sf7LVDY3I6WGhEOCGNU5aWdih+4KKJFBu
8VSUC0jKVA04Im6QRMLUMhTIs7Fsv814NUJ4sOU2Qy+nNvck+6n+oKHrnt6qtK/UQVJRyth0zeog
/1Z0L33XGuCOV1ZscLbh0zRU3fzVyGVaHzKul4+bFKUH3UXTf7i9P3xEUFfYyFtOugG3uxOwWilL
rSHq1psX+kJ4Tx7CaDZ8H5TJHowelY1nGHzi+zZqnA8r88fH0WVvH3PeA8CiY+VHugtPJ0INfFgj
18J9K26RNVy/YX9VrcfMAs52321GgQ9MthTdt1ybhHFjw1D/lMu19Y58Wz/4wGO/ygi3M/WxT7ts
icAEzvNjv3pA0VCF8URsFeNWIRWBAmBYF+vUhPag53XkdbUajnVlutmxbwmneeIMWR8sE0F8AhKj
OzoN7mZRkSnQX6oynV/SXoQRttKsEYAniwsp5LF5V2zDQm+tu5cF5MtPQ5PFP543Wk91g3YMdMa2
/LuYxvlvvfLcMu5VNnnhDLNAj2e52p+olJcgU41NhyTD/vvGgzw1cSC79a/AGNJPyl2m+25p19+L
7y50jetVflHk3dwT7SJEiPvh8G02txrT3FrbxmPdGO0Xz5r6v/rUKD5RS84xvKnq/oDypYEhRqH8
H05FzRiD27ao4hbpnt+uT1/gLtVz1SWGbLs8nlWuf+x8rRoS9J2LD5v0ZzeqQJSnoVD4zEUISuVf
EN7uPZISdnVU6l7TJwL4ZxnT93bXB9G5zrccSFCKOYT09BAR7+X37NOxQUkL4ygfMuHjiACyHTqj
g8pw7TrZg123fRXCasnRaV/FGKdq4j5zKm+jFCzExCcDHvjc0G+hyymyZYu0tix+bX262QeSCryE
bGFPP1TWGf23ZfGbr/QWZw0qUocoT+vk3LQ4K2leItc+T3ycJjruDSv4Mau1/2XjYmMfuIoa/a9V
LYNzTMfUwKshX3X7IIa+/WB6zfiXhfoej/xsikepjeZ36gliixxrkktoKfKXsDP5ezd9txZuPEwL
sJdQ1Fvv33lwpS24YZMaw2qsC2QhkH1D1Nzt2ud5yxaH0ndTyyid9DQhlPS+uyR7VUSJLf3stwjZ
Rv46TOMTIaTJ+1IXPazdoAy6eNW07VfrKd0JO4nJSjwCUSB39NzVuluE6ZcxXP3VOCxaveg3pnLG
28kQnhNrXanyh9r0tpdRdYN9g4ckexzY0/J1rMFTRlKYnoxyP6hqvshAwl2NQHOBIjmY5REv9B8w
ctvWWwf1UHL+LN2+iCxnlgG42pemK2Yjst0Z7cRltRoth5Obbu7frZiG8dv7Ye95KRSsyV4fQ+Zz
12c9SV6V4jTYeWUkjdfYSaWVco6FXgFmtFZSoDDT0+x+QhL6oZSeMVxJwC6kHshEIZBFlAlC7TSJ
hy2u17xoRhLUwR6kZcUTbOAm7N3ymjbJhaEAL1LrRSGdbthprseF3NSa4C5GuHqOM+KoyEvT6XYV
/X9W/GFCCOJT1LENqsunGWxn6VmXz4OTtJPlHFK01Y/Z3GTP73+5CzWAXVCNwq1Jleqss9uJRuqy
m50EDLG2hRBh+q8Ld9InK53Ho4t08K/3B7y0ggBbSd8gikOoPslWlT12zVwHADKJKw+GEubD3Hoo
edXVNV3RC7tyF3SHz4F1AS5WJ/XURUEUxHbQ5urpjOGwoSl9SPs1bW9Fqk03qPH5+ByJueVt7I38
mhPH+dLu7Yl9R1IZQLvhZKZNNRVt1nUAQkVmHz29SO/NGmytHSg9RkxvvVLTJf29kHtigkw1ECUU
QHMnx7AhzN+Ub5pIDObaa4/AYYp3A78idLfRqqNxlHoViVYpFbmNr29hNU3Tw5BaOrisFhfAw5pB
u8XFBHNofnfpv5oTHkhhSY+jDO1MV0M86rypPBVWhxXRoAevqzVu6LPtElVx7VUZhra2Kb7ZmdKW
b3M7mFXU263zXemVzUWlFRXA5q13EW5OCdp0VMVLHNgbGDXbKHriJoWoDMlAX2iHygxEesdfSbf7
3t5veiJ7Y4zzns5MhQju7H9MwZ2sL9Pg+cVBU03v3yxDnT+Nvb7aP0bDWiyMrEx00gkojSzqKfih
CJPzwGVx3QdaE+oQ1NIbNxtnkqPUmF6CYOp2fendLetD2RhyuQVqYSLwUbQLbZah0dxI10UqY7uw
ENT0S10zbigjL1WstMxxj0WwGG1MENRKhFrcobsdFo+QOzPNsv+gXAMhD9gMQ/nFQ2dOC300Vot7
eMtDf/B6u0d0CJtwrLks6B9fbFL4j9sCxj4qXWHJqJfltkWZhYJ86E7gG6j5rPrT0viqfgTO7Xza
nKDsojyAtXpQeWY0ByPIOuy+EX4HVE5zwL7tVbe9LstmfE1R9uEpbvo+e9AMb2pD+lu8PXbTNeiq
FE0x3oDjG55ksEO3UCRpAuIkc9n/jygxHkyscOB4UuzOwzXVNp8uYNZrB6HGQkQeklHUKqRTTlHb
B9OzZvkNLwPvmDhqYmANoqpbrc9t79YyC5vAnUUoKlkPH5q0GMbf5Ta231y9cEkfHHv17wvDzx6Q
EcU2klyqkhHInfRuGCtsXoNW81Gg1Otuemhmc3JuV80lcYGq3XwN2npwoXGYDucAEMA3NUv3ru8X
M7iZVqOEXN1k652onbEL+8JJ1c3clMYWC9evv8sC1h9ChMrOw3qprE/S6YO/SHPKT0swmPcZjUgt
krnT1A+9D0o2HLtWC25hyMvH2l6hW87V5pW3yOVPaTRVNAqOoi4JHBrAyF2M56bsQ46qjt7SYPof
qhxNI0DJLVpi05C1feSqpnu1bdzyOIJ18MvOmnzm3Gy9fSDY0ulHZhn0FHQJjC0yIcI4qCZ26kXq
rV096DUSDfAY1/Sb3TRbgwq/X3wnRvTqyK2d7XNAWfy32gZ9OwxZvXyutqWXNxp0c4EsubX/zXIp
qmM1Kvcl28TO2NA9QSGoddoPvaqHjsanY/1NCrBpj+scyE9zi7JrqKA464faL4YKGs/qeTepLwvK
PQ3WFMcOrMY/Wu32KwwXgIKhshqrwVTAWV+QvBvaKKfGaIYWNgZNEvTteFNMTRBEAkXuLtLXINMj
QvimvV8KgGrobukFH0sKiMdbIK0uzDUrPRRVnwahrrlDdSSjs8jucJPmo2rO0ZpzSXfDSJd7aSpZ
RjQelgZGcE9L2+vE/FkVo0+LMzCnz+XYeWYMrMB1I8Mh+6LzVOPcjGnU92zKbPPGGbIlTkvVIz9G
FyePRDbpSTVaizo046jJqFpBNyWLmeFGYKi0fCLndn80pszHK0/EeVcFUT+49VSqgXLxSrwtnNYG
LHOEWaxk20sotIKn2FRZcK0+u/+ZtxVphgGwxaNH7f1MCsbwWpKSobQTkLGyDGdnmj4GbdmOnOe5
/YeuevtxnVrnpsoRFw0Dt+zdnUNqIp1olX+9H3CcRwGAZxEz1ZH8IzQ9nbO/YTDtUQNJsDjqHoKU
/FQzTXlH3c97psRXoqMYyNC3m+rm/ZEvBQBA5v4gTi505kQ9TKY3TVYyjab/vMjFIMdYm6Mt/fbD
bKTalZ7ZxZnuHtDAtFARPQ2t7Bx1w7kfrGQP9cIuEF3sD1ZxrNPuRxo07ndSpIZa5aiO70/0PKZD
Op2AbgeaQ7U5DcC1UkFKtFwzcetsQwLLkfFiVj5VLX29MtR5iMNQlK8QQIO3gV3h2x1MaaMqSyez
EuAOW1w3U/YouMw+Is5dHiuLlqdyPTd6f34Xjs1uNUm0Sl0fyP6+8P/qNyh3nTq5lXoi7GFIApn+
clb9mn3Bhd0CDYXlw4YR96XTPm6v8q5AYF9PFkO4Q+TLufmJza54ROs9GA6TXzhXGK0XPhu7BeoO
/wVDdIppLVyJAHpmbclacYPqTl4go9QWR6n5zRXEynmPbDduBqkREAdT7D35bFgvmqpzpJHgDbId
ttE1f+7SYjdw2uy7EUWGiPxuRHxAkuUjn3rlRrqwtshEuahfoPoAvuJk+CKvaq+mXZMoVOAOowLC
W7llSli6lZGc7f/jQIBL2cPwP4Ibp/icpqIT1gh9S5Q56lG/VR0ykIVKHEfVV0Bg5+J4gAfYnDv0
hgXmWn+7OUfHnVtHunrSpB0nW9e86XWXrx9CY87HX0GNVw7CWFbbh2UZaGVEyrcImKKj8UGKoYLq
6OkKm+QlaP9zcslPI6tEOHBvsZ8ugz2IyZXEXkiTFs7LaFnrT0MtZRXPfm//6g0KJ1dO6oXrgZse
XBTCZzicnHYGhxqWn+tVkDJAWyRKn5Z43SwMGZ1e3u3mh5GEtvr+7XB+jKhs7iSyPc9zUMp7+wG6
oF0MZ9usxEk7cTDmlp7STJshQBTwvw/FSCCLqbbgZHx6w4OjdIu05kUxWieluzbL+ga1GHc9VBKh
gCuLeX7tceVBfSNb52KCl/Z2YuiqYwSn+WayKfD01A7dx03YzpWr4fyTgWIDgwoHDaAVYLa3o5SY
cg71kOnIGunF4+gQ4xZm4z44K3Ripet9tFq18fr+N7s0NQh/YAgx7UJr9mRQdCRTzy50PcEgsLmf
7KFKukBeE427NDVOJxhFKiw7sOvt1HxoNKaNa2QCicj/aAJzoMkmpqeqyuzPwxDoabjmIFWvxAGX
huWSA6DDDvGw9Hg7rODqKbZC6olh9fqzVpQI1tROcVQ0wezIqKAnEB2Uargy7gU0DaQUFpTDgDgZ
m+btwGwk01bwmBLK195OgRnpzNajv31DUR9MzTCPThpPhKDHvliQBTNE08RVO3nX7FzOzyS/BHIO
/fndi/70vdEE/BOjGYhA1606phS0E1OfnIMxTNcwRBeGQqiEKt0eGZw/ba0nRNHs7Rl76D+kxf9I
O6/muJF0Tf+Vib7HHHizcWYuAFQVixQpSqLsDYKiKHiPBBL49fuA3bvDAhms7bNz0TEKSkwgkeYz
r3GHm1wbUCypFH33dxft05Vig8DCPJCr5XR6oZv1dY+RyVGnL9CGSmTRD7PqUjuzI19uDki3q4Xs
CmrhsNksW10mRVpi7HK0ZFa/A+tfhfOoq2fOsleiVYIBiJCQ2kCwbt+GWmalWI2pHm3JRQCbBnrN
Xs5Zpu/drG3GwBpE9nOmgkYrua/yc5vzCU65yVKw1lmrgzrnwIs1AjnDFLE9a0R1lCH9Hrlk2Ct5
Rc5P57FoyGjnSfWBpOsfEbCgTQ5P1HxAI8775tmN8aDmcvoWYYuONQ+91hvRUrIPZLLKiU90L3/k
xqSP97omqCd1tO99VQCjPRoIHLw3SIju88S1vjd6mrQhRutKHzi9I350VrZcGX0+KGjXwfEIm5mK
zZnN+kpIBGh3vbBWIeMX9jdW5tZ9DtjvaGBsQK1NIk6uxPR9SbUDeGbi4u3Fu90mUMLctUGg8tFX
+Nf682cxdF8aeuXakPPEmHQ0zujUm0rRBEqZNMczQ+n8rudf9olfCzQYACEodQ6d07EQFCtdipKS
cyij49dT0LspFEfqN0sOkD7wOjlcobiAWYESp8l30JOTuIQ7hpreQMtbD7Kp7upvmRnNzk0LBDjo
wCLfywgz+F+dVXjv1GnoVem7bWLbFIomCwHD0dLyEOEKK3nfJ9KiS941og7k6qkVxIUdxdDLHfX7
MnsL7oWohg57Wagoo+pN28lQ6e2iD5SVbeXjLwalWl26Nr4QUpVfLUVPQMmWNi80lK4bh0k2NdXt
NE393pLDON+YUUnhokfa1bswJy81bls9zrhO4zFH44SgtDlS0kvjQ009xL4AlzPj1udS5v389hfY
3kB8AO4BjV4M7rQv6ZFIqhQK+0AcU7dxEXxAXe1gRJEorka67eMFVUb9m1cnMj7HBH5xBzH0ikRf
qe1ESIDDTr89Zim6qSj2eDTcLs4DN2lwUUqmOv6h1rkzBgmOIcqlPaAofdQGRfvC7kTRvCwW0PF/
exYI1NhaKq0coKzrFny25B2RgYKn2n7s+2gMayQU/EzL7AfPBMFgN2UTmE4fnzm8n15ws/hp54CM
AyMHtnuLnMUogEJfU4vjBC5uJCW3vfdaSR0OkbcJUbPMlFR/kzmq1etSxhAn2rgd7FDJmh6MjhZn
52QBt1vfQU9ovU/oZxEE8d/TeUiqNEtRq5yPZlV772OhZEdXnYxwafv8zKm2vboYitleFwAZgP4C
z1vAGiXZnRZaPiK7MIeyuGyA2x3e/rCvjYJeDLB29LmQ/97UA8rcWyJFH9XjUogyTJYctnFXnOOX
vLKUDepWT148TN4LkL6FyNPk5hzRKQboq7K4ii6g2++cVmihnq/W9NBr6rS98pTWvtGqajpzaL/c
xzwBNTOqhehj0OE9/XL11IPTMWf1KKYiugBhl160EHD3qRM5x9zo5qC24+VMYPAio10/InUWdjBq
p6SPmzjHGBG4KybEFbGxBI+jRw62tAqc5mQvKqkexyZvTXoUlHc1fe6R4jPV9gp8XTKg8kcvJnFi
xQEXiU7KmWd7Qcd/ejaUFSA1cLe8uMaK2EOrIxmWY6EV+lWdTfbaPHLbn86CSw0glrGUqMPRqAn7
tUkBBshbqqM6dmYSALGOqwAUKJJQczNVqQ+XqdQvuoHoIlAGrDJ9G5GvLjAG8pIgSib7q2H0tvS7
BumZUOhtf2uTVMtABbTxHU/hvkFXux1pmFDJv5/Y/e9lmWSdH63hi98NbVn5aqxOv7GxSKl9Dk6W
+tZAe8AvwNXfmqjYf1fF0JwzrtoGeOtUwRNAMYbP9FIM1LSbKPWGfjl2lhbdqFblvCuzGBcNc8m9
XxUovN94GItu79Sdfff2Dn3lFKTsTA0GOQBKry9iZRhkes/+WY6AddN658y69TuP0abwzbx05Aqu
it63mciKoOdwrMI1aPhaDBLvBs0cqI6//UBrrnx6Khs6ChXUZtcAiNzsdCcpEAlMbxjUY1PWdbpv
UXMYkcPCj00zEI72hySnF6SB8CrD2TRS0LosojNZ7ysHMfrzBNwcXtTlt1eDNJUqjuZuOjZ1lwFh
UOedquTRJwK/5swR+crJgeIn8RfFfILjLa3T7KOI4H6Rx4WezPt2yGktl20TTHGjXlac/GGZZ8Wf
k/xfD/J/xY/17Z/z2f/7v/nzQ93MXcpO2/zx3+/Hx24Q3eM/ru+b/h8cCL/uh7Su/nv9Jf/3H53+
in9fpw9AZ+rfw/ZvnfwjRvrrScL74f7kD7tqSIf5g3js5o+PvSiGpwF45vVv/r/+8B+PT7/lbm4e
//XHQy2qYf1tMQ//x18/Ov761x+r5d1/Pf/1f/3s5r7kn+0exP2vutv+g8f7fvjXHyC9/wlIxoPL
ZiIgDqpE/+Mf0+PTjzz9n4Tmq8wndax1x/Kjqu6G5F9/aP/E45ZlQ1RhQjHw+NSUu9efKNY/VdYS
/EfqNmu6/3+e6+RT/efT/aMS5W1NI6fnt54eF+sW5aSneka/iOzzRdyiSPTLc31RdlRL98LJ74wB
lefyd0WXupCQdquDKO6r6kvhvHOdcafZtJOwTceelna/fkj0bqfK+UwucZomrU8F3mdlNKy1BKiG
m6u+qGXkgqH3dkJ1oW+RHgZTP3i7PjHEDnrj2R7Oi2kg54LJhaMI9TQ+xSZ+BVeXjeRrNpLIRa/4
rV1Z5Q3OA5hVjthHGH5smF2Hqzx13oBkIMOWK6+UT/Q/QDtqUT9WvkSB7AZoWNr5ZYwKC3mn1dOH
U3vlg9Ymw9cWu/huh3yLC/wPjQGw5NLUvzVyITSMx2T5mmSD9QN7HxkfIm+em3B03Sn7VPVQpnal
bi1gQog8ov36JvauL0SvIbwL8ORgT2pX+I3Xpe4lGGu+ZpFVOXq+iz58jNYCBoqZxbJvpIY7fLq4
8UGxIQmGhSJwfi+A7O+TMlZtv24MIBJ1UU2HtLVay5eiyr7GVmkYwBcSDdxOVmXY/NC//96SqEM+
6IkSGtqtgHw1vejBiUDvDtPcXKUPLenhIexFwxB4MVGvD28ZwclsrKsB9DU0n4CUb3lwo1YmPr3C
1rvMYWY1QVrSsfHRH6lBcsbT/L43XNHs0J1kes1VGNFflKK2fTRoymEXg6KOfKwUrSQQimLZvqoW
1mextMRMsnYBQ9PMpj1dTNpwEeMkeaMRUZ5TxDm9dVi9tKxoVxk05oh7CYs3t47I0kKWs7EDo9If
gaR7N3bRqo1fK5qpIN8hwZEqmYc2fyH0JoA3hPb9swPor43+fGO/XNB0QTAGQRuKUJZw7vQZej1u
3ILq8q7uHLDIRTrgB7LClLLLxakAmDTKVFp+JNUWOU3Kmf3+7QfYxJMYJQBlocrxpLnIIWZtngB6
h9KJJVd3UzoZd+D2+1tc2aZwFmX3TgDsBzgYV3tgvF6wUMF7h8n2BEOnrGgNJyTa4+D8rdI6j7RK
2+s8EfTtteW3TQ0Vu0lnFf2SRIuKa8/sxHtget2ZNPw0T/lrFKqSxBz4kCErfjr1sYz1LBMpyYIh
q6s5rYpdES3G7sz8nhLQ1mGgwbPMSK5WVWpnkyVQY0E/I+Jlmjp3b73RtT6KbjAfNTMOcZA2b2Bx
fONoNsPGjHskQ/JzKlmbNfbiCTYv6mq1ivporoWT1H47ZtWEdQ8YJSP1R87SIeqIZh/Z1upM822z
v16Mu8lsoTbXJkG1Fo6YS10uja1cZq35o01aEEwg2Zp9k8XzL2hZ+MWUaj3fvj31m9vpaXzCSoTA
UdXEqmkz80pF0h4jwxKyqON9ZJZRgNWJgC/QF5cOLfmfb4+3Cav//NRrVO3Bb1ut7TZhbForZaQv
thrqHjbkios1eK82+ueksPHxcGR2tIrc+4Bp6nizaJZ8nO3S+WQVMR3Htx/l5dpGowy48VpoIqTZ
KgPWKofzDOYTaM0c+ewx/SOs5/zD26OchrFP78sOpT68JjMkwesCeFbCmdxaM+pm1ELaVNkdMkTL
scqlc2ch7e6DKqXSGydFdKYx//LdSBTol+K4QomW0Ot0VAHlBSIBy9lqkLbPgCPtlhG597ff7TQb
WN+N1hozRNt4FSkxN6FNXcfWzOdUQ6pQyV6Wsj3UIydiqWXF97eHerlOSXlAbawXkbqWE05fCJNt
YiyqVeGSjNN15U31F0VWUFIbxdzVTXxOx/21V4OLS1txvQERSDkdT5HgGKrRVcM6rduDNSoFUeWU
hXgMJOfqbZt341jm0NPXpO4psDY3t0vi2OBM89iGrdCPyy7WKlv4VmPVP405akcqJHre+Ro2ktDV
wPFd0Iiq6ajEbTO/K50GRN0Qt/J2igGT7vJmgOonUxJW1CcV7uS3v8RmZnhaImsSMpqRa3XW2EQE
Ih5M+HCZvksLpD6NYa7DfMjkXjVACb89lL65F/4cy3WMVeiSFGELm9EWsYgqn/WdsIX6Y6ImAqU9
svrPXSW8LsBZ3tV91HiB39HnMJCsiV3zUnOyaQ5gO6vYR6K6LpERWbz7MuNy2Zt5RLm8lIZ5h5KD
Wvl2jUJTiBcn7fBImwvt+PZLvDJfhE0mougW00UucLqS8hwQL5gYY6fNhvtOLwz3ctG7+coZc/Hx
7aE2Z806XZxmxPZPxS+Y5KdDVW3S553N9WwOiXbA8nD5YC1RT2CZdXh3Vmp0Z1GxOHPC6esX/09l
ggoWwxr0v7i4wSYSiJ0OWwtXZSmWxq6s0v5j1rZRFeTgEvdaF4HVGTptTAJAbvI45FKbgI8AJw2y
KEEBKDf6yr4Ylk5DUhJyyWVqZ0t9ECJND1YHojMYey+tkCfWC+tKxjiVHnDZaLMQMw5Mm3Mtc6fw
7WncHJ5P7wMIHtkIzk/0tTcrvHKHqZ9UshS9i4drTzRe6MjlHBJjPUG2s4aZCVVKCqMcaJtdHzXl
VDbS1XZo3hbv7FHYv2r8meJdOmDOaURlu8+tCQ91YXp3govpzBXxyvj0Vix8dkx0kKiunX61kku3
x7mG0zOu3nWdcdXoJnXP9gYi6WMpTOFXrvPFNJqHt2f35WlHbgo5gaI38sHQbk7Hbelqp9WkWrsS
SvQuX7r+iJ3sBCC5TXeD4jhnvubL93Q5rFAWoo1E62CLZUA1wfbwc9HxsRXdO682ik8IslXHtXUJ
0TBNjJ2n6MrBhGwc4BSM0cXbL7wNeVhPpP7sDXqXhFpoT56+MUVToPdOyxsnU/TJcUq3C2bYl3Tw
vAGT4ZruNVUIug6FX+O+mwVqnQrPt42x+gytFj2Wt5/o5QKnduOw5KgCMDkvtHsSonClM8wdP7UC
t61+w447h/15eq3/LHB0LjUGALxFe1xdJc03r+1YytCD01d3ap5Fi6/HtvVAg0iTIUqMjrkvOdxv
00qzyB0HEDZYEdNJOExqlaBC2BTf6YnVhe8IuazuC9h++rXq9FcJ/iX93shSYFKaXQMQMel1fu3z
fCkv4tylOA0FXk38FBq1sn976rbKEetb2ZSq0OMB7ecBmjv9mF6MJXOVmvoOxtq+jwE16Jk9+Zoo
7YcFNwYg4Dgw/Ehn6WCKMLbiMNQo3Pgaxky7Ho56YKaV9cGEr/n57Uc7vWiYb/g6IJLQ7+Dh0Lre
HCiewsee884JkbZoQ6hJhvR1Sjgf3FizvvzNsQDI0QbDLmUtuoEePJ0FIaa2R1bOCR1uZtwi4jIU
w9IG0qGl/XeHIllA248knH48v/R0KC8xYejPwg2pJyEXICdnR+VmPNDccm7fHmqT5zOFa2JCBZN6
P4AOZ62UPg/WC4jQ6tIwFhzvm4Wn4kASYyBKzXlABa3bofwBUXNcxF4Vnn6ZQMn3vTaHpSiyZt+C
yjqTH774qGv4zqXOzbpmTe4mxNaHrjK0HnnmTDHnPcxPi4LehH5SN5/TxTs31HqQPstUHOxC9Kpg
qDSpu91MVQMwScFBOSCI/fZEnwYq6zxToERRGJmiFRz41CN7NhSs1tKLhGuHC1oSt6PazV9qOm4f
Fzm7H8Y+1sK8qIwzF97LrbuOyo3LylWRQN7eeN1cgWsYYc7P2DR9ytVM8T1pZkdv6fULrHLcAOUA
YIrJXO9sJBfecabXt4mddr9GrdMtf/Ss8eMCA+/vf2TSmlWdnjKxiZrS6cwv1ZihhD044eRKb9+0
wxLKTkx79EbU3dsz/8pHphTPxBvYAoFb3BzKoBhqcypt1AOWWr3AIcS+1j09v1kBF5/fHur0lnn6
yAy11vvXe4ZTc/NWWtOisbIO1UMVsgpOZDWezx0Pp4Wbv0aheEQctXpnbEdB7bNrTCNywkQ6RbbX
M836jjQB7B1YBIs/6p54D097uXIRMzqzjDc3+5+DI9PDZK7yo2ATTl+xR9DWTGLhhIttiEsq6WIf
01l+b5dRA7Ug8Q4xNNYvlDWKfem0xZHIP72Pnak9h5w8jXL+ehJ0SelOO1TTto05lbZc48nKoU49
F9f9EuUPvd3Km1K6/YVRwaJwar357EyquGt6cc5/4pUNjQEOe4oz/+nKP52IHJ0EoKoKqiOWIq9w
SjK+SFQD9pkY7oj8xd7KxTkPk1dfGfNBGzzoE3z9dEwbQQjFlaUTYvezIFaqU7Mj+T02iav85Hqd
rxa8wL9M/SwPWWmfM8B4bSdROkIcjHRrXX6nw4tcyzNPtk4YIZ2yT1xDwJzMo+sBatCvt3eStt5x
J6EUWNjnY22OZrWpp84FXxSOVtn5pOAWppO9ccBpsr1CrqW7cHIHiYJiGT9YiA7cqBDLv1dGbV+L
fE7+B2cIdRH2Nr0BDNA3gcZszrFIoVyHCIbA0m85R2Ga/yYYkv+fI20PRiWuqlxhpApefhBRaFsN
RTTaNbjwnJnj9Xe9nOP/vNUmzihULRqLondCrbGn94tdxjtUQ/T3SLL4jd1mO7ervaBonYiGf2qM
19007RG8OZcXvrqu1oyB2iR1fX39+bO7UVCoNLkOHJRz5i5cVoSuPg3GXmqpe+adXxsKoDWHM0wA
KqGbZZXAJUN0nePLSKR5KLrBQnZNGmFBeefi7ek9zfr+PJ9YLyvKGf0++hanb+UVjavYkuB0qmgv
mold/fDUTlwBASgRqXaGM4oO68m7/ZrcPRyIoBRgem1WTjwLEgQ0sELk6xw8tOEP17r+Nw0u18sN
SCqvRC0JNdRt5QOpilJvNUZZFq2/bKdFuUFnkrhfRQSlQxMx8IbUuC5No7oxgFmeCY1fO3WfD79Z
shIvA6cb10Pfom5f9ImLWI5dHpLJUoOceBlCqZ4d3v6Sr84sdAP6/C41121B2xpjtVbYBnxJMwsL
sypgf1XnAHKvLk3LJN3CF0an4nu6XpS0KBvT4dUy4K3YeaOxosbCd5zoHK7m1cOVPUWBgGo5xc3N
UHlHfJKT56DIAhc9UFrqIHY6SGyUBYZmKYIgUM/2i4n+v2i+tZaz3NNMB/rSUM89E1K8uk9AFK0v
zVtvd39jdnjRokMQZiM5porpybWJy/11nxltKKZBHP8HX/PZeJuMR03mStLs5+UTrwladCZ8nfHO
LNTX1gylQaDULtwDLvzTrxmVo4IaCWdrXyjlR7S84lCZEvV/8C7PR9mcnEM1lVq6NOx5ePoHbCid
fd8s54gh60m1PVkI1JFwoXpGGrx5l15SvawU9jxeFd3l7MSp4oMSn76PM+0zvzbSluodObPvdK2m
HQoY4Lu3P9orm2NlA+Fewpfj6N6EHoWXYedaVm4op1hcCUyf9xHyPsghauaXt4d65YjxiLEon9Hr
oVu3uettNepUiXdDCLm8+j4WncQfzgr6vm5+dFxh+6KO1P3bY76yWhjTWll/pGnk/KerBeUyBZd2
xoxTtKuTLNMuEZ8917x6dRSd5UiHDDDb9kbC0RYJxa5wQ9FXVejq9W+jNf7Ck53AyZ5DF16dPpSr
+R8ACu7Y01eBaCdmW+NLpUYJRk9R3XxncOJ9X1BdfE99Of8wZZrx97cb5Yu1rcsRDcVuM4FE4oad
jIzaUpu4pt5qXuXJ2U7uertsNgIqrYBYqc2s0tGbo6PXYYiV6HyE+STzQy6c7uuADtzeTcrlXaMM
w122GMuhrdQuUNRJP+SNPh97ZHosX2nbcyWpV6caISLQZ+p6xmymesRkpMbBhHQzqbzZn1BZQYhB
bw9FMw8c3eV0DSwSgM/bi/WV44BZ+M+w6yw9C9eSNHEUgiZs3eep3+nNGD0uSuPscqy1wjJGytV3
jM7zJxdWzID+55nxX6lZQUKkPIRBJQ1SdurpA6S9jIeijt2wq2T+hQsOArTWWYPhF27v3LujNf1a
ehtocTyo2l2tV+a9UtBGhQSylPWuWSwULwQ6fOdS8yd654sVQmWDEo9GiLS9zAZ7SAyJwBEimwbA
ESjGOSIYhXJDtuzepIWifZPCPGT9UASZHqEUYonZ72Cj3i2TaT72XfTdcYoIpyLYca0XZ3s1dbP3
mCijBIMm8nimRPTamUCLjr4ER9cKUTidyxkFK7dE8T4E7WIEduwkRzWKzokBvLZSkZQGDc/KAQm+
+WJtUrV0PDO+GPBp1GEmRfqeE017zYjlwatmPQ7iWvm7rphEq+iCQ/4FQkUhkcj49O2qKs4yxyOL
cDXcfhLAPbvOSYp9NjRx+PaueFmVYSjIWmiC2WQY2y8/ZY0iPABvoTpV5W0/CZSZsmmEIpaAQSl3
KNQi2z8gQ/jDyUekKt8efsvMe3pVwESsdl4UnMm6a5/tyqkRc1m6cRTm4MPNALXe/DFXBDEUaEPz
Jit0L/YhuEISziq57Oxh+qTg05D4vdE3qW9WyYJiuypKNzS7JZt8XVlB370NqDiIrCGLD2o7mvcp
sjZjIJcoGvbckPqNi3VU5usOFua72FG7j4Tm+oe1MHnfI2e1BCj/1vW+rPoOXceyle8rJFnrMxHC
y4UMbJ5iEMCt1aDhRS+ALrNeZaRbuZVOu752so8dVc6/XbdcqXEcO+wVLq1tHNIIK4XKmFN76wRd
nQoXXmsZH3O9lGcwEq+tJ/QLOd/stS+7Ld26wAy9XjASmNXm6GSG/lkVi7E3ms5afEWK9jf69rtJ
sYxzPYFXp9KlpIbwAyv6qar8bCnpQw4twqJqTFKnYfYgm37HvZoeDHV2vkWYqBwcu2n82HX6/Zhy
FXb0qq841LRdVgIaAx//AY+Z6cPba/yVvGVNb8kSVuQW/2cTBQ69xR1XjBSg5t4yaDv1+icbOOgd
fSDzRlpNXIKN0IqHOTbwz+4GF/Dk4rIJAyihcRuUtpjPuJ28PNp4JijTpMIUrOgtn+67NLITz/Zm
J2RV1jdFNkS+EOPySzPrOpTtggFCW8bnEDQv42EWIeBUmpo0wAh8TkftYL00I04vUDDKKYh1q9qT
R/3SpOaeSc+09QVOrjREqOCGsRQIikGFbl4QadHeQw5NCVvVLS5d8Mp+Y8j4I8eNeJe6aYY8bDLp
P4qhL/cCHZtDjV87teA2+6gvZfPgtmbyq5G6emsr+DT4BdLpZw7fFyHJ+owsDOBQ7BWoc6fTEcWx
kjQA6MLWKuStsDrlAU3U6L7P7WVlKaeJekC5W/4WPNq3WV/6w9tL88WW2TzAJhTrpspNLLNSQiEK
4OaJ93kZk3NVyBdHwjoICRiBtYb7mLYuxWf7MkMDNRu4Z0IU+9/RyrvMC6MKpGK866zxajCtj1bf
nYkPXv36oGBX4QyaSdtmw9SieG0rqRKiD5ZU/hRjeY5jakc22x5QSVS+vT2RWwIf5w0v6WKLC81a
I3vefEpLAcGIHl4UOqpY1bJjK8x6Txb+nJndbzmW7U8YkRbgPoT0Zzwkrm009d5+iBe7a30GAoYV
rwEVapvDSNZZgqicEqagZCHCxi0dUNXCakc0n94e6tWF82yoTfxFjzMGMMPCqSpp4o6XfFxKrbh4
e5DXPiJcUgRRkXhZdUNOF86MjqCMlUwJdb1Iol21NIsLDdtVD1HZq18RyjZ+vz0ireNXjg1w9Hjr
uID9XoDmJq2cAbGP8S4xBvcqXnE/QSzrRexwxFFV8iPuh9pprPdZrEmcBqxBAqZPp0Ll0XTo3LGr
dMgPW61tHRD3Sw2oBGrxlfMw+UqL6raODDTIGsrj5i7pE+hnSW7g7upFdUvjrVbmdBeltfktEcJL
DqvdB63ruu9uMQY0TL9StOmDaY3qe2F0eepnatkhLEeCV/ter+Da1/buaPs0FkCUitIAttFAW1b9
shuNXw7V3d8V+OR33pL33i53uuyrHCwU2yr6YFQi5WJ+Mpq5/tIBEuB9mrn9YiEcdB2NDgqQaBBW
nt8aFv+t0KuaAyTEVxMnIMEPyyCRhLTsAUdtmBJ2ChWgNuWlo47oLgxRNycY7UyNpFyYDhdeWbRW
4KD4TJZgNwI5SkufAfqqXfsTaZw4Du12QbiAfAPJ6Upku6ExUiO0G7dOPiioPQalm+XuXW5gyDki
yN12VUC27aJ7arnKhdrGHl3qSnRoOjZL2Tn6Z41qOqGjw/uVbejSUMXLFGOs6HMaGxSBU1et77Qk
dl3tIJyhKGmdYFToV5iQJbBGELXdaUnuGYEaIUAUWrbQOuQtE2rJSqs694NM8h/IJZoZAt5eWwRG
gT0UNAPXIi4ROWqXJQYdKaFAmveBhsPJ42gZ6oeGlt1jMuXO4KsouOAeocRxH7pgvJcvvVvG095G
HjW/6G2zHdEwVIfGl5LSedhoio0yq3C52Nq5Hz9h1UqyqxWk+2HTo1fg63mLnmJhINu9c2DxLJdE
F+5ArdYsEqwuZh1ThMSIlV0aa+AlhkUqv+eWNSCtUSMBNePully0o6yUO1Hvw4hNlH1WRANLHTGF
GxdxJDMohNrpQVJbhd81VLnrwsbko0mU+RcFUycLZ8OJP7YGAb2voc5zOwL4wicC8fSWGMkAmYKn
S/5trmIO0BFD3vdcwO6HAbnUT7RtG1QeW6wh4MhW2u3ctFBge112qM4Y1jQicovKw35y0LD0Ndqt
o9+rKGD4fDk72XmWVL/rbLbP5MLjtLN0ct5gie3umHZoJvqZVZtdyA0if9KSG+8Nr+cX0S+BhYXH
8mJAVhqXTzgrqJ9oDek/LConyWp2Uc8+PoDdXVX0ltxRZhpNcJORbYe6SFdXlmZGl5SEMn0cjGi+
RJcHre++SJPbyNTlcGng5X65emRWh55z0fVrK5FdqCbKBLJqajMaiTEw2ZY+SvwOwwP5UekU58cy
5tat1TtDcmFnCRSvIsqtsIxcPfcxzouvTSVbpI/Jh/MwCS82WH8TpHbUE/TFBz2VlaE7Q+fAuyix
FyqHiVkjS2r0Ipwrw3yE1bkUt6NixGkQJ5kyXWBCoGECQNRr+KuPaXpMurz63uI68l2LYuNLryA5
4atthyaZg/rcDzeLEVOd9aghuWuQGg3KcoqobqR5NQTUYuLJrweLW6szksOUGdOdLXP9okfhGKKb
Zyx+s1wKdPZ/ShTsK1/DdeJbYqnpjBtM3nEAW1b3E2HV5i4GTKwFg2sP39B3sbUL3NRmZz0YBIr7
Ik8+q7Ftf9Yzkfd7081kH6LIX8rv1BUMHG0k/ju7OU30DzKNRnlgU0Q8dWqo4gFZ/0IPyhnMqV9m
ae9cpfGsDMfIRB1qX3Tk7r7WS9qBaL4Ota/PkaMEjQKEA83lIkedKRF1EaiDVC9RMMQQwabAqFCZ
y9UfjZkv4mI261Lzx1WAnCIAcaCf2aM6hw4U/SKUoqlxGUl1cOYVXn627zaD82OUffzFtPBE8rEg
jdC8GwUknFmqSh/mmY3gYI2mKqrISCdYF5CjJ1T57MwNAMzn4kIrbOOLrowiQlzf7spj74yo06oA
QhBQNdRVRnXCLmcv1KhEvtiWyiFJevW3jiuEujOlmot3hVVOHUbIxByB6M0p+oy4TV/dGjqV4gM6
/QOus0AM+SksPBx2sJuZQwxUpm8C6aDKn6009wLNaHvtApMbPhVKqqL8NeTZNIWNK9PKL+2+udIE
HjYxxpOf1dZbvpkyBrvNCWqiWGxE6Vfb6OA8ZhPg8Zt8gNyxy82qyn6i31OgmKdDOKVn69E6UkVB
NctAU9nPl0Z4geMgqj0qvVeSqZK8hUWeodqy6En6A0SUvFnKbMo/srSnOkziRrvItFR56ExTiKMh
ovpepZqcB3Axl8ofkIPh7PAGbzEuU1FwCaASjPkF0dxk7icgENYOmBr9VtDYAzLQsz1/TctB+4KA
LfYxcZpzTijEIff4PGDmkOYdjgsIP6NIYA7mXYwBzLcW/xOSGkMSMSn9aIzIz2KKHWRdnnw1Kgc5
7Drvq88lQAs9bOtR+6204/A4Gcv8HUbpxMZrzezKiTqsrBsEe0ffWxAvR0dXba6QFZfVvorQ0jkU
TlocLau3Z19WlXlLqln80J1Ev+ksDIbCea7r4bPRZen1UGFJFiIF2d70/K3Ip33V2DsViZufiaFh
rpdmVWkF8zwuEDbdbHzUNXSWQowE7HdZozY/RN0JBYkxLR924zxA0XRraV0N2GYOxzRd2uFgNrni
BlpR6XTiBYjOwBwTzk9vWaxuDzXB/GAmlfwUVe7cHTBzdpHlXszJDe2JQhFhnMDUFloGgQgg+brl
JgX4iy4UhqfhDKkmCmxlnO/zAT81QpsSBaeReblWnBrQqFPDqoWMW9Rj0GbyMtK7CR/w8tEYE5kG
TWsq14WBN1a4UNi2Jhv+Z8oS4rYhyx4PyVDnV4XbtO5e9absOzaZYghGoRRpWHWNWIJiMJVvbq+x
Ca0h6e+7eZZWMJLjWDuEJNzLql5V2jtFhX+mATC6R7z8gDUe+tAjz+uXpa4fsrpT+5+lxNt3l5aF
ngamW0ZUdqW3cvao0llB2fYRzhmI5FwaiCOpYYb29BXqxckN6Bo8EdXBMT8W+IhRiEGJ2bZM3hqO
P+Gx2eL4Ek56U8CZGmuub3Tf6wGUoDLhMCIxOd0ZeMtcuZmrRodMobW6w98WuyROfvTUV4PNXVvW
7YATTdr+MkspfrtqS0RUxXZ57UFGsPx49bfwizmzVYgjrlIGY+p1RtDpSxcREEFRXb2s69rXWisW
eBApOfpTNgen79HehAFsWVW/Q5kBrXu4Xvq5ut7LXAweLHIUJBLANUjxT3MXR3pTN8rCC83/Td15
LceNbOn6VeYF0AFvLg8KZelEI0rdNwjKED4BJEwCePrzgVV7pkV1t86OiTkRc7N3UM1iAWlWrlzr
N2aJI7yeDw9sCvJGMbfHf760/Hy//vGr3pVQNRTV2zpvg6gTWnrAmqN71JLS2Amy3X05g3lemvYJ
o5780z9/8c+XQL7YhxaBzmoAT+Ddxd6tbKloYQUkwNLclkXRbjVY87+okP7lSIJMpKkJkAmxwx9H
ctFF4ZfImUaQPapPFSqI+D9DRtlzgf4l4P6vv4x7H5d5JD7fV/wDjh5bZpJpy6c6kjX9DlKkh2Am
wf/nwfv5osngYWXyr296N3h1JbG08pg1atvTIfXi+uCvMpiL4wHCSxqFrHyRPv3zl/58o17FbGgE
vgklglr4cSydQcVpg183SqnSQAnOK6JMv02bayOOf8Wm+Lm4xXfBJqAia7jwAd+9oMQQo++8CsvY
1rS/q6BzVGQ5vf1YT2gmlmMmnlJhlZ/NYTH2U+2Yz//8rn8xwHDQkbLgKVAof1+J1hBHg1HFAAtc
W64Mv5xvkNwr70vyBG5eyMGwQ5wq+u996zoDfyp2FXGfjOXMAhqDANMryEKvZpskmJEGY0S8aK61
uYt/Ufr+i40IyMGC24nzMnyHd9PaFsviTqkZs2oz78rWhXttGEn578cZrhzWWb4VoPu7V1OUCv3F
HOOoDIw5DFJCLhL9oK8zhcYdQbRK9hUC92TxXO5/UQv6uXvqUA33XWj04OBWwdN3A6txWyxrNEXn
wMxvu7VluhlF3z65VneNR4eBx0HbHOcu9R69tgheaLfqOxdc/mn2kdG1Wxxg/nmu/yLw0lFZ1Zhh
9hOe3gVe3CIyKWQbR7kMfCJ7XRwmz3KfY2n08cbGl/EG2R9VRcIktfnn735rzP1Y34aKxsnC/65l
/Pf48EqCpy7nVItghaWQ9Pj2Joxl3VzN1HHD2MWWysJhgF4lOlG+16sPzuK30VRm8WPm1tpR67zl
EAyJ91AtgUNrCNcaIUcndMbRQjew7PdIdpsbJbCMQfUD+sii/DAvugWrjPbjP7/QX1RQYXgjKwDD
TUce5r2ARbuMi4p7PY5W5szecAdkVo3F2DSN7dy4AeYM+DTktxRwUnszQZ687QY3/XfRiHQmEK9e
GwY4/dKr+XGVKTfmUmlSN7ZM5T23JbRGD3u3czvuIhn04TxN79SK3v3490JEP4gX/T9KHK3f/PVP
MkmXJ/n/Il6EkpFAzujPOkS0uVaQyd9rFz2uokL/8X+q7zL7+vIXn7yIGFn2b/SJIC+jXwR+6o3D
dREx8o3fUBpckTNI/1FjWAUv/iViZP6GphEEQsDeiNDTZvqTihGySOaZFwapBWKY+98QMqK/sJow
r373YCx5wvfIGo5ZrGDywj3oaVwsCmfHNuP/Wg2oACYojS6oT2qQFovLv+lZQkFun2YQKYMw1Wu3
uMn9XHTZPq4n6Lsb7Gsz39toHfFGgvZInbaH9OzGxFUzwz6z3OajTH3xq4bZu/MSTktAq2RlmUIU
A8j5bukXc18V4ODy0xyPKqZHPuExjXyPySOKpPA66m0zid6dTkE4f5WBiJ3PRWfY4wP2w+3QbdEx
FbO9ic3Rd0+LQij1S50aeu8fU71M251c4mT6GPhVXsy/ePo38MyfwiGoULIZHxwD+R86ij9FjzJt
5DzM5Ymqa8KfX0Tp2odOjOhfhSkSR5D8Uttf6oRrmUdGcuPmfcpc9Z4n8lcn6Hhmm2t1cWPqIzXT
kLsNyK+uARZykkGNey12PHX+SoHLK24MLKPMu0HggmlvZBLQC9loo48WcIi3cjA+mPOg8jwsUqvC
pFWCraJgJRjVX8XNd4c/b77q/ayKVXS+EZF6d/jn5jy2qA+mp8KfUvdzkC7k0Fw7JrP9AgFAg6kt
gCce2lTlvO+ULjYA2bfXMjCvsg/ntyZzGHneBvHueOeWOIhrv5gjth/R88dJslY9YI9up2P//Khu
AdjDDxD4ktKy2i94z9Us9XzsEcJlcOayEVFnovCCluLbFkKjrxJyJynpaeneoNGhPTp5nfOpASJn
SukmGYSx08YRDbq9PdWiExGmxVrVfFvdIBOTUhrOq33k9nNnjad5mj2WNTsIb+29KmbgcHs7oJGA
LUaVd1p3krGTUjjKGNPRu5s9MBli68QGJPBNPlSqaHciBbNq7IyRblRwrVFhktUOa0JPOTemLNpx
/oDOAA43G33pqPRsKpT6qq+206MMfyBiDMG01zU7bxMcYxxui1cGRDYEOvKYosZdo9xMizfnQRC8
VaXdaIPSdXz6pBjbZGtM6El318HYZ4F+n/Sqsby9B+S1/eJiaMow2YMgxJT4M/GiQQ6k5VEVSHXZ
mLAullEcMnOa53bfTeOcxztYdkqZbGXoC2hTiEbjlWJwVj25wGyiKh8OIJ1EfXS0WfnVTQFerVJb
FMNcmRyTZHA0/VbYcyrUNostxGq++Ild1MnOquhWfNHRaeXBm04x9b0q1h9QrBz9LrKqrI/LIYqR
YubgRxzCntLqQ1FZU+BjMJrCkjGvWpHpQwJXCFoxavqlkZLn0oXpW3s3BgnU7W+ozDp9tgdqM5bp
JpgGQzMOiUJd7VHSOMrnYwnYidWA1bAj5fOiWaMHtyGu3XG8TnoxM1a2gQ5cT7e67pP5yun1AHLy
+R0KUxp4dw1GognztS/GpcyvkWhubX87KZzGyrsRJdo0b8My9TCIa0KWmd2NIfSNtKw+cz0gT74P
zK4cjdsMOa+mvhn9Xisot7u4Bep76SSGMWypKPc4wpJy07oAMEx09nc5dW3WflyXkrWceiwTrKQ1
q2nuB4PF57yWjd0M4p56Z8bsW5RP2AJ2oRf85GtzKhFwG2jXk1dVKSQaqruD0qwopWlTFkClZlvl
G+zO7eJmzqz1UDMVRQ4KaoonL8NU+LJEPEuatV1+qypbtO1dAJWr7sDOeguWbb6GTm5MRQjd2uG7
3Zds7dvMcrlz3pqYERrNycSPpk0/4wVBY+ro1CjEy+/BMOoausSKpnK+cxoqZ9nHuOv0rHptS783
22+VLoy6/kDLD62g66YIjLKl2qU1VXZYHHy44S8umWyajajyqsE6b6LOVFehD/xZytsBPlAnnzH7
Rc6bdtEcz5jSABqlCzV0FqhUBNPggssKDHCD63RzW7qLo4lvQ0JrrLo34zxo8aAOMgMJZWDjyN38
bg8Gjndbs8uy3ttWbsuXoxTeFSAhMSI3FK9qJS1cfoBpmB9q2o2etXqjHilpZsa0a2trSJatSqGs
o8pWjRglFDcTXlKu2C6UIh0Co6eYk9zA/ZpTS4Oe30Dl1jS/fO79caC/JSDBLHmU5SYnb+aOgBZ2
jdNLY/69nlJHupBOoCSWNyxbcL5H36ErZN4B8VXsjJjKLluya7whtqKqT7JJOxRAUUbzVsOnCKNt
LgyddPcU320xRX1dOeO8o4pJjWk7cehXzU5z7DGz7lobNbocdX+vSrrQybx57P4Yeh/Iz6e0RoHb
/IDDMvbpEZVrazJPXovf4W3VUJapT7PmFVPzMEnfY/VWNm7vw1W8qsWM18WMEjKSf+eIlslJDTUw
wKAISJ76miRNEm3fNnlbOgaf54mIWIjkYpK4OsNxRpHXVPP631peSOOw53K9/k4BEW9d6n68/o5m
4hVIX+P8t+dRvsUvSQc22doKMLXcjgN9baS/ul6zTACILvyzDQrtHQ9ci1bxm0ZTTUFxqBX75UMf
eJO9vAq/zca2CRcxFDK/RawQUa+t5gU1z6SaknDZtqUYpjtU/bAL2JLM1oQmTRbGHD+Z/qKbxJSU
dkp1nSWDRUIiFj6FNfL6AmBROjabO8Fjnm66oln3cT2AtvxqtXFrzBGvVufBVjVmrz0GhqrYOZeg
4RQO5wee5S3PNNRt7LYgT9/iyYK0If/4r+c9j4+qRo5uNtOA2sumENSe2eejXdjGJtcEPaCdPib0
qLd1GashvecAcen/xFOLyMe9NiJ8mVxjyWI5rMnZxXcPAcnGcZJt0vWTbe3GCea3fXDdLGmQcyyb
3GwfgqyvdPN2SPJ1rgBLrAFPoMxIR32kimaau8mppv61WmJhun+AgQyk2qmCr9C3Ve1P3nidIxyh
xA4l6WUuwllzlPlq9Tz6Vxr7uuT47M0KweXaByuajuWSZRuLszHfLb1tSjdsA2kehciUfMysZVZX
BXi0ky/I2r+z0RPvRAVCK68sV1nWcVi63PTCQiuSAsiMKBho6xxXM9dShFfR0x3Rt5e8Pz+vxy6Q
1XqWL23utbsl4era7siGXCb3vA/AKYvO3Aa5GhzrrtLGhF8UNtBC1v+sGayMpRv5w8i8xCOKJdm4
JlEKAJqkOq8qz2x3WTPbk3HrVzOSb0Bl6zXeZ6lyxm5nCCWtZfUeMnESXGZbY7vVFiSbEiHOROf/
2gksrgrzLCD8dPOyfl0Sy6X9kuaC7EOfKZi3u8mdEa/ZtS1UHOoUo07K0pjL+ocqGwlLWgZvKUJb
s6DJ27JKs+zrKR3bro7G2l4/VTf4+PSoc8qOL7mMYFH6CS9juAANVNiNtmJ46i5lgVsQjMlAqqBm
9aLkDqb3GZGpNQLoFIskaBDHq620B/VsgMG86inp6D5pkDcVzi7AwN4ft0ZAQ7Z8UcLq+WDdWilD
SHUCwDFfB4LTPXjeIufpWImksaES1Ph9J1taI+soX75+zLkFEHngo6/vjx9rr+1QCC9t+ZgIN/Fn
JEGCLtNDmXQG2AFtobHmPecV5pfiKCryWmRMFlus00ne1LoIX1jVGh/GIJaEcjfH+rTEtVJJJU+p
HYAF29X9NDr27rKWYBQEndwOLO8OjYwJoFizD9xaNsujP84+E1UWoz1MO7PGYaygUKRXsbdeWY3m
Qxt7a3AYG74c2RgBGnjPt3HptZK04kGcqZX/NUaSCwErSu9RaVSh5gqdySvPa/uycWdqe/zjZQ3J
8+Lo6nK9C58XMMoi6/LK6Nh7xVYuYBfqU99M63pYEeZ8GvgbkXBoGp+mB7eepPzSaNO6RGI/Xpd9
WheCM8Q759C9k73dDM6jpb8F0C6117laqmrNmOgmx6zzy5iJrlW4iop2VmqkB0UDG1wCIBl+JZtV
wpF1CZCmE0vGh1bp+sikfGgmbtMgqfgpdYf19c97Yk7mxR82rhWjnQpMCNNMVrdDqzEItYGwQmvR
bNbgfFnkFvg+Vvd0udSwrplvL6uAqNzIuFyrBNM5bSN30Sf8c5uhNZoN7LQ6pzV2/tw5aDT08Hig
xrElh0XdMsMgdmh6cFM4r1zagXRXo6TP1qV+mYHG4QW+oOSjrWCLjt7cPoU/xARfwsJ5JNWITysL
9Tw1iIetO1Yvq8oLdjnXWWoil4/J2F7niMPBzMz1lj4jGyv0cg0gdH+IkZdtT6Bp/zPkDXHDekvm
uZsaku/FRN+9PseMy3kWv116zpcoV5MlT9MDQZndOxRK15RWiXzdJ1QCNNb7JeZeRj8NlNZ2O6ZX
9o/m0ONEvZ1rws6XUp/XFCwx/GwNsufn9N8OzcsELm8bInbVGtExc7D4rktsW9DxZFJtOa1b4fKP
ksIPg1Mo3WQ2KTitU3wpKaFho/NxFNXXR51jtZ525WT0kkTDpGrBIeVLKylDy+qc4uayQC4bA6fb
9dVcewkYuKUZ11tvY2EhHLl2tmY3dUYxj5Tn7Y52WUFekw+Ae6BJkl8xIem6e1ecBk/Q+XUg2w0W
mdUoI8cS6yBc4jdnxVrWgrSCDiKS1amTVtPuT4XCS+n0z0S991IeSPStInZo+3qrmgNc1R9LtLad
0RhGrWY/k1KQ5y4J9eJtkGXrVydvJ815MkoWL8PZcSgSinB/XfcpvjnrISGSdg2Uv3g066f6BjVK
CNeQaVYyx3uZzd5A2kP6U3x0QBXkr4VmeuNDjhitVhELzAQXaWMQqG2gc81Updxzi5u20Ty6/rXh
gP8ou4raEYJra/HGdPtfEUHeJPF+LMHQreUJIfdT3f7pETsrKApkZ7TjeaRodpbMXwZYnzGCwSAo
h0wT1yT3qQZgq6pDaWiokh5xIEuXaQjtEksj8xDbWj+4e5+rRGDd0vSvaO91OaQ183WxmslxWMdv
gas9n+3mW/EG+huZgFbBwcQByye7nA+A8qjZIi1WdxrA0vMW5uRbUwFqWWzyohDrGj1HrXwo1wT8
XJi8BJn+vDYvP122QHa+KpUlwgIUlPREa6zD+SwhnQzYcJSp1ltD4WCIjn7Z+Xldn7cuw8vTy3Me
oy1qDXC6m6xFFTfLNH5iSeXk+a2m1rU0+ssafRE0Q85n4yHsyj9eoraDqzUfKBNr/RwEiH6Nd0Jf
T3JW7/rT0MbURQwxVtzsL5v+F8tz3Rl/nnvELYFPBIi8oWMIenatJP6pN8nIO4gnNeKQdlXfxHvM
GCtZ77rSXu8pQWrmBPnLSdmcrzmLDrj0y+V2hE4Dk4eDx9v4n+8H51wtLpHUhG51PmXtrAJ99IvO
zPv+EPt+bePS6FqNNVb2+I9Pjyql3QaoiB8uZYnzUqIZugbLcyX9UuyyhiWY8AlmuHmoeXYKeJMm
+pp1cS5p/g80cvbf69W2oftfYDuxNnb/vnWzk9/F1/Q/9kP2In5o3awfu/RtHHwk6ErqHr4GLPa3
5sylb+PYv7mEEZ8q/crFtVYL1UvfxvmNupNH5wgbR8h9+urkeHGfMOna6P6q32QQvOgCG/9O2+as
uf5fOwGPGljHcArYCqs7hvNTw7w3wEILhURbEo/FkcKm2W9m229yMJukvaBUwUltUDKdyo3KWvW7
JVN72Ku+wGg7Bny0qScAoxFSejWuv7VeTbg1JMne8WfD3tGlKHZZ3vfVtncWdaipXdlbzMf8IMwK
V1MbsO7uSzoDIw97mSZ3stPwikGDDfgrl1ys4mOzAfZpGSiW0HhZtCPSQt1r4HfV80i5qw7zuOmd
w+LF9kQ9G8jUFmpTrO/tudOavczRwd90cRpPjwPc3pPqxm7aMPjy9z7r036DIKt739aTde8meBkd
qrnOvxXa3D4UelD8HhjJSJYzprjbmz1u2xSKc+3WE2o6KN1qV7Xqdv5embVuRgIU/dehNtPPPTLw
DxSZqjmqam8xr+3Y0KxNtogl3tSdY3+EQEAtyS60HHye0qpvhhm71bOe9K7/DNDdAASuoe659Y3R
ehpFBc4t8TwYBfriDGj/VmMJttedsiEcZo0ECIMwN/ugV0mC2XMAgTycK2tgFtNxssCiDlp7U3Rp
VTHWxSL3g5AZpr1p0p4wNW6/wczXs40+WzlNKm/2cRvJ4SiFRSzNVTxkqW+rYWUAGHnXDSeEANE4
HxqKL6fMgFgYusvQklxWiJzhoeEUd6IZO6aTamcT4cqUp5slFf23NJhMfAgK0MRH1Dvk51nX/Bdh
Kvubmwrs6oEDz892riWfSh1Mblj4omq3ZmO7Qzihpp+EVkWlBAiv6rCDgpFi3thea39PBEXHuwIM
qLFLMw26aYg9Vf6x76zOjvpJOCCZKgsQuDkwtiEy9dSMkEUUYQa03eIUaAb3wfMaCeJXw2MaTdqV
ODFB64hcyBlVRKaQpE9ISgPSDDNjVlPYNuyzzeggt0KLq7K5FSXTF7OG8g3+b8q6CFkW+Rn2rAGr
UMJcl5Xr39cpiLydRfJQ3RuQmuGpBLXSjjZH0avs4yA7lV2epi+9nHufTRBb3hWcH0kpZgZcEdEC
xOVkKYUb70RVaUBXO7zCNtUyCReAZAkLwijTnkqtJ+J+03YtBpRFniT5fknq7DMYmfR7Cx6e2rrr
NUaIAAW4XPpSqmKurPowOYm4R+/YRp0AZAmrqWC9R5lnLz32BzYl/2YSvkW9lUZWxI3NfqWuA8HU
WO8TUZD7ZodccCpePAOrklDZlnwslGVrYWpJ5L4xxfSXDQLZdnszpNzPtyYkFCPSEj2twrE2h5OS
U90A3XSTnWE2enaYNFHtp9xpJCV7fbxfqM99btJErnaevX9b6V0MYSAw+qdSVmkV4fRWPCWQf4tw
NCfvU0Lu9dD0pflBxyvjJrcWi7zEHeqIx0mHyLMpkkQSaL67acGpD2za1v2DCJl9wuJreomd2feP
PsCRckOkbqvQmjKsTmJahndgmcd063KRG8JE5OoDPT1UMypjiG0g8yRyIdwQQCWL5gTY3FTKN5D0
KHA5AwbsHZLFLcAbz/hznsp4mMbIV0PMqqdHUm5lNoJGfju9/geO8P8FWIy/MZJau+V/f6KHVFHG
7IezfP3Av85y7zeb5A055hWvuCIt/tNIyg1+c+E0AJUEnkHrfW09X85yjf+EISaCFyuvfUVH8Rcv
h7lmmr+h8IyHMuRcVE/Wz/0bblImNesfE1uogUANkUkAHcbGN9+rFvkKjhBdfZ1yvEQrIXaXunIR
qpDDCHQhM9WTZhazfvJKWl1crGt3Adtp2PMXZ+7tL0nSxN4fOFTntD9o9vUbjM7mPARBkFi0kPCV
dmAnaeKhr4M02+lNg0giZ0TgJGv9B/+gepmFcbc2qWiNTY1aQkdaTnut6zVZxQbUaqqehNE4NypX
rTjEo3RqawttZ5nszQKCt9v2I9rhz2Xd4lButzXtV7jR6hXx8f6PPJGmt/MRIKcv7blboYo8Ikze
TpxFT3LAvyZOa2+b5fWdNtjdtuDA4lezZ3cY6q8Q5ZyoG2Udecn8BWkO64qy1SnRE1xEvFEPU9gV
dCOKFpWLRoRNZdj7JdeudMNvrorC4bKWFP3OwOjvOI/BldM55Z1VAMmOUvQMSQHvqfhmEaXUNlpr
Yagu9/iCFAj16Db6sbWX3kOcg6mSy1tnmNJjn87ycRjhAkC39I8kjebGmJ1+B0j0u6hQnzZa7y5x
HXlsR+0E4e/V0OZ7yylWJ+xE21FC+VgOI1nZmCw7D4OWe4wavwSA1jYyKO3IjkGpkSrJLUIHYpvr
xRf4bn/QT7dC1mW9d/XlKwI82p1uYfBkZrRt0ZCYosLHg9mss/GxCIbPM5vgoWl4VelrAySqBE6L
ORd/ZKyAQ9a4zRY732nTS19tjGQll/ieGqYnOnup/k0tbfFsjnqWh63yBveRPjYl2qCKrVNH98j6
hpwhomayrjVt01lcpM3bPKNLhXO60wPC4zS+psLCgYN5UZue0sH3HrWpFwbg/lkby9XHsM0M8LWj
4c/Djd9TsvngzX3g11s4A8LxXxvyq3m+TryhC8wP0IA0qDyh6nUjOwFBAHlhL97Y7lsst9KtnSzD
Q6I39Xzl17ohaZhL41E1jvniLZ6PgeUyHZBRbe/R3cIERnUSPIHj0YtdBWzGPk43SLO5n1m2FsF+
gMpmuQ45kl71YNRlS7Uyb16txFqB/QLCBVBLklSRzLR0QBt1mIXEpdY9dxnX6o2X01EuRmFukkRl
t8ZkfUio2Ec0VSt4XtqYhQGFBDsq4pxVzKnRjFcAxDFxMI1ybrx912r40Hezx8GbTNqVQofo4Aek
JHbsWBzG2rzegZswzeK2u+6aNpGHrpG5DrAeDzVIO8UcfAnSNj6UzkhvWaW4i4UQquLDEEPrmNvu
YyprzNRUnYZ+BbwlpEapdvPQYL5Zu/Pe0zQDFXsj2NW+0Hc2KRFlekq/fuxjOk49kBp19pnulxbG
vWiPhnK0SObtApIIakMgsuI+y5fl1NmVbxdhgiGZf9dlZnYludofyaXYsA5lO1+n2wUCQ36m16ld
1T02vKru/Rt/UflLkkCjQmi/2VKBZjCshKKks/4KiWqolF3uoWT5+66DCAstycuufDlCKKklKn+m
1h1LMibwMKh6dFkTXBdL4N/WtKCjOsj1g25n+ZVKlXaFqpf9MXP0ftMlaRd2nSy385If8c1uH3X2
Sfj2lQXszkd7jv1Qx8iBpwqeYXkw6opeuxsxHXxv1svPbzNYd41+qKfFInlY/4Lmqu9ykuLgVOlL
UWvZ1aRs7STrVB0TiD9P/syQEHvju76n9GQgmL1J6fscxdj3u852eb8WnVCl18HeGQrYuk1gwQjF
R1VNs3nXenBF/ZLVkzU4vTWT+7uPKdTL2/fXgZt+Up5b7mlOQAeHdHz7NoaoOE9P+lT16IDb6XST
lE76SWfrfUs6x7+BUWx9m/Jev+9KL38Bnk6fHxWbl2LgciCgV3+ZqrGKKi8ZzJC+DKGPfsbvhaHh
0ZFowZPHrexRUlV+zpoU1EkRwAg3MFuhfexfK8MlJzZ99QogMeEO5HtXgbFAr5MiaPxP6K0FmnfE
RA/u3jrG2BSy1Ze6HE/W5DbcWwpHN5I6RNgXxlbIJaE/2brRybDxnOKoATt+6jLHOk0e6r29cu8w
m37kpvIwu+KAONMS1b7apo7am2V3FJAbzGE+DJb1pfH9eqPniR35SSdONOJY/I1/Bz6Ihe4bH/xk
+QTIvN5YRSs3jWsXu6Uyuv2i9VoE143FhOD8LpPw3IOkK3b24DTbuPYtOI+rVICW0UIGHxVWfmpf
dVbd7fVU0G4BorBxaVOHXuIkB+myxDvlgiGfu/7Faw1zAyN5DGM1PyMIlDH+9VNhxn8MMv7q0LWO
EBZ8NKRqbzlLgg1UMXFA96va5rgnb2ePUDwsabAdcWs4oELifoTgMEVmunSf57Rvtt7oaVeks9oe
2+V0K6Qx7d0uPRpBOxO4bf910rvdMnsH3Ri585SKIytbHjqMg640Oe07MBqjcq2omY3iziw076Zx
ppR0uU/AaWT+1Ux9cVNAmeP2QCerST/G6ErBIsYfTbWIoPb5JwTM941rYkVMs2WPEcEStkbxFRsM
xNCQw9uUtSlfe5T5Qs3u9AhCK/o0GRYwpTEfFu7V28Hxqq2OojXshmCjQanbJXZ9tOfRjOBnlddJ
2ThtqKopqoXyt6JMCYOOp51Gndso0rJH9mu+16bZ3Q4GJoXBGquxgQZ9JV7yOZs4FHvrXgGE3Cdq
jDdO3AYfKqdvH4zOVRvLK3UKEKVPadIz94mYLbit8VSHsOemKKEfiXOZ4S1cYG1xGNEov4egfCQb
9EHLgP07Ftw7KSI2aXa74BF8F5RGtSNWjxTsZ02/l34sP8mZtnsox2w40vkJIhJSH3mEmmPEnc3+
5AXxt2z059sYAuONLuAO1WAgIr9pqvtMb+vNQtP0aHBIb+OKVgtHnttHsT1Ye+kVrFc4i7exLihC
6Ll8qprCxv1TQ5BnQAXhDxEIbe8Njowmh+7KsiTqOI6Ve6JuMe6yqdWussoHTSU6A7xB7h0U8erb
NNQNSzLX7iD/jSzTpLg2ArnsiIvGEbjsnIbupKYNBP2gihabIEPDxwIj0s9my3HowRHP+2ZG5hG7
RG7KaXCdLV4SeQ1lIVyOmxvMt2SUF0W5oy6vhVh3y0ehsmIzW2SM2F1QsSi8+Y/RpIyDqFeGcJpE
BIDbgYo8BzMtMan0e+7UzlYh87BvW3zmuCdjODqs5Ku+avA2JVOP4kXNHxplBvdN3K0p9LRDFla7
VbWKv/KHiw+B4q4IKnBdYv3yEdWyvRvbPWV77OgXFZwsBdmRi+b8PTEr95vfePpeQ/q+bRIIUYVl
H7IceQMnjtV+MnLFgeh6WZTWcU9+zJnk5/FrUFXZ1i09L+RM/kzjtrsxZFbf24UI6CzWz22Gbx41
vOkkYOA+BaSMEUXu7OjWKAxaPQloPw/uNp/5Q74nXjnRH9Cdp8LFUQZP0b8dg+EBhVJqBzQG2UTK
HA5ScprEQVrdA2LLAMpORDV0DT+VAUKOpPanxOm+ecHwVYfPvQG8ZkWiaJBlUAaHWYKnX0+4BFY7
mvkXV8GsA0Pz4tEe3Sl0BmlRtXeSPUbxyabqQbf3UDdYmpNqdJvEd83QLZCm0GN92Y69d1MJYV5z
F6n2CLTRlATr/azDr0CNOyjRUEH6coPxW0+qbG4Csu+QYofaTYI4Krnb4SUrml2mmy9+XvJ+uS5e
+nVFkMSf5iZNAYDWAR2nrLkHWwQxDtDfVZUWgmmC9AQccTwN+rRsMn1+xGnMPdhtq0MCR+1i7FQZ
xaUNxsp98cvuYy5sc6d7xbKd+wG1E6qxuw6ME0C9smDTL82D5pFT+om/Tup3CwRCmLXu8CGp1bTt
i/a76jQS3RaXWdkI9Btw/3k0U2+4HzWx8v0z1zwtq5+b0/o5i22Inzu6fA1aWwpdCrIlLOGX9lhk
0t4HXgrWpgy+joNZbAoXMw9anFXYSTM+jhx1h9LSnoraOlqa355iW+mH3srcu7FobzQYMnsNB90T
dhUJcuBosvg29J8ORPoOCK+JGEe37BXDGHJsWwKJuQG0roOWFflkHvUYAjzEqaV9Ur3IwzGe7mcx
vBhLU34E8hPCLm8eOs3KnxIQ3fvRlsAd44bGuK9/a8F1nAJ6XNTjWprq2t2iUyrF+Uv5ZFrILFGi
bHKcSdxqPhq1hVV9kH4ppuxaZ1w/xYbrwCdqmUcDxE6ZYcHrjojqYB28gQ88R07ZldsRJdI90GlT
D8F+2dfK7sWDsv1+12p5u5mBZoeFWeiggJf+UJRLvLVFElyNcUJ6pv3hiXS48YIREzyQUd/j3JfP
VmYgeVFlAfBZ5RyIX3jSFU38/H/ZO5PluJE2y75KvwDaMA9bRCACMVGcRJHawERRidnhGBzT09eJ
6u6Ski2JVr3uTf5m0p8ZJAJwfMO957J6FjdVrk/71XWSy2RovMIS8gWn2a+2Vk7Nk3AxXX1KbyfP
EmiheudT3iC32LhN02/IxJ4uzlAyYzUs58Lyod5ktRpuCg7nTYbaMVzZ5t/k5lLvOzmTbGfQxW8y
fX0TaJu3BVqnu3mptP187UMpVtxwsQeHxrtVr0ATZso3E2aC4S49XU8mgGkNr/jxqJQ8IDDY1c29
mzvq3PBgI/o2XlhC1GiJAfTmDnJp3VuodQaYYlOVXg3raN84s7+QNN3tJ9Q9j0iD9bt0HGwkcpLh
wjyRHRAE62ZMl/SUi/JubFcNxzzIC2FWX/w8c2Pfls5WjmwRq6EdDxPa7tDP2oljw81RISxzcstv
l0dIuW7stcaxpqzJeVgL+6VDoxDObpkx1Ec7dSuEWKM8MPvXBqPxRhQ+F702khJPPpWIUqKlPmMs
vk5pFTuDpp+EWyRbX9FDUW0Ed7ZVjQ+9b0Ijxz9sMrO1lvusQcdBL4wgUzgZ9V+hzrSoQ0SsjXcY
M6Pfqm4qH5ugbu4tgYU0tDlnLxCH17iuhu5kNU55oxJ/fFtmjCZW3ZqEOlTpQw3BB42eL6K5was/
WPh6m0CBd+2ERJNXti86VJljrqC+keRNFKPRcrhAQMue+qy4Y4l5sWn+00z/Wjmy/+wzztqUpleh
D6N2FUHS7tfZ+ZyjbI1KZ6mfW7NqzwydrzPyKf/SSq86K6K+D4axfuvMUUbQeZa9Ar54th3xQw9G
45RO2XpGbIM4B4FXbJXIhNZVIe7yeeTYsvexLYw0cjQw2TJJv7Mj6qOkSF7R4CniB+pLR/vVr33z
qQMJdcfSwv0ncUn5YwWmzgMV353WJfney9Wah6g/5VfBBuLMpcu3XuXbew+N4VbXs/7Ooxi/JbrP
in0I1SfJ0AETFKLx0GkV6jeXh+V6jZKQrSE6AZmswuOBCAy4OK5Dzmi75GDW4PZNWT/HGIs9FnUG
QlGnnqC0Al9BsaI9B5IZtO6QD8jMvH5YJwg0KfAOLkzWHiXl0A5hM7VyYU4DfY9jchNaswNnpmWo
jSpy3DdWkSGaS9qbslDJDcLefkNBi8VzFvbXZuGH6se0AGakt25syra+XymrI5EZ2md3oD3JunkA
XOSVe3GdEuBf0Xdawdt2Kdm5tPoQ83Nlh2BmmMSsobrYsLz3qT3k/6A+rb4JlhWIWIcq9pq6349t
vbz0ksNHTwOy2Dn47O+u2VosJVf/G8CpMiqkUKjjBz92e9HsFsY2zxV2jAhYb0r6mhqMN+R9Ah25
BNSE/yO4N6Svf2pR+XwXwZBEzkgU3jB49g/C38UWh1W6bQp/ZgFXCPSRTGhMRAAMUGb5xAgqeSW+
vblJWIFuxOA1Z3aa7SadxPQ9D9QXC+HLzQQ1PFZDT2HjBHPzdYHbcG/O+hTaaMFf/JyImGm0/dcx
X7OT1PQxRltR1pt5Wtz7HvH6w4iVeoK9ITdTfW20xaIdmxl4CPsW0BaSl1CT0TWHaS10K7Qbw7/g
oMhPCJzyV6ucKshRVZ6S5W7Wxe3QkdwC6reQoYsLj+Kh824s95pQg/wjl/sMs3GY126kQRvd2tLr
LVTYgMzKwhhPSgvag03KDL1a2gafcDF490zbWLTJMv1WmS06U7j6edhNK4KqzB+/1Eaqw7zi/d8x
c3u0IbmcAldp22rRzJ0ZpNOxyXNgOZbAr6Bp2g/YP3Vo6vlt36bjrQns9tiQQblxywYTodFeE6LX
CwKQdD8ybzwXHlhTja+NonQJbs2ZDOsSqgNyvkpeZKInR87W+gZwBMGgDpxbHg+gYEs6vAUUQrJJ
Xy0zeNUc/cFmuHrWhPiC1Omqd6YeGvVxqzvwgj1uEz8zsYQotSHK8KsLra2qQIl0Vo1txxurx4GA
IKogc6uX3mc0UvnG9xka6gvrLQMQ9gS0dGvwNEQWiBqHQhYXRgYCuTLJyMVQIMjYRrcycsRL+Gly
kcexSYeHTvO5bfBMjFlqctxV6w6d7bRBWWQeW8sct9WwPKVCPTcgYTcEZ0d4A3cN3WhoJPp4MQwm
iElSxzzgoFkMLbnIYTC3K0Puk6ezmpqNSnLhJ8o1y0+32EG8jQnY8gDwdIiXuV/2SwecSQ/KY9Ml
w4U2qUh5t9uvo1cUYIJ48+cKxHDTTnEbaDt7tPKNmVvpXnar/cPVZffglr1GgDFh0xPKFiqFqthY
HcriKZv9UBuK8iqrM8m3B5JEzVleJhEwe62HCt+pI+gii+JZ6WW99TJbvwUApF3yVjOKsFiVHfFK
CT65HiPeIB8f67wytkZ/Bd4vUx22A1a1luX9rnWT7G4cmB7ok6dtWSJfkJ1fbeCMb5XC8BX0bnMR
zJJ2XjfRR1k02V3Dtfd1Z4MyXTvC6eM343Z4nMVyHxAQFOZjaYfUnVR97VVAQGdlBhnYPkdHQuvA
zVHQg3qPUL+paA5mU3yRfXoZpfYmER9sNZBXETTfnNyk/k5fYKqN3rBsYAV5MSZ2d6unPtWf47/6
bt/RrYhnRjwt4kWXu8v0s8NCdOBGJte6vTZ3zcz8d1V1pGGvvBulxQ0w1YykLZ3sIH3ZwL5pofCN
REcEVuOH8+R/QjcQYO+XeUQcXH3wa+88DP2uN5vnadEdrGkebXALVsvOv/RF3kS0D0nosh7atfba
k7Hltmw3Vn3LcuJiF83j7CDO9TpmssJyzyIgmsbq2BiILJui1vLmaK3nPCp8iTeTxIo2kz1ondkM
sRtaj57Wv4B1o/fAHrtJNW/mjamfkqZUm2LxJ1D7fn+y/elzvwQ5w61G39VSfy58ophxj4yxq4LH
xqXkagdrvsC5wnRGL7oPLGkdUfzee65kOzJX403FZNxiCqDJKGjmfOeIZReY49cxC4DiMRLBoLnn
pFfETcOKR87iH9Rc6o+Uj8U+D76vIEOY3wkG0HrwSB35Ba/RJxqNBg1Nkz3kSrwt7HNuSsPTd0r3
BPw6481LPAZNcqvnIOuw8+2DdhXxZClCeH1w7NTnnGncEh5elf1ybQOCSuwqW76NQ33IGvNz0iY2
2WP6/Qoc6FikdXFmSb5JAeBtzUB8c7F8olCg7zHykdUWwuRDaTmUFwmvD0344rwWxZEuKT1OHop5
UzO+V8aVN5d/G/PcOGJUNWJwalVcBxWbJArWUzqkzt6iVDvrbtll9NVT3DfBGC3uGnxaLPPNQtJC
zqE5HxoN9rOTSXmHon0MfZE12zRT2YbmvbtLV3PZC6Fe8GbV+XlKJzIgHznSp0NVgwi0KrXsMazw
WLhN+lXOEu1QA2Zx1Xv4Cb59GK6m5CXRim3vjHtL1IdqWl9qZZz7VO1Wa0bTMasjiTqfGsUNmDtJ
uTOq4mVp7Duu92EmjfYKC4U9ymsOOmTE1HXfl/nD3Cdb1Php1CqR3OYZ/6dR1aeu7Rd4ZPKeTdu9
NUPjMrODBN0Pj6oMeddERj3yE7ZywIiJNFdltyoAfZbyqMv5UJZWxt+qt7KCD5Voxmtf6weHp2Hk
1thPqrhI3T9opv9guJAcR7s+AsI7OlYZeTa47aA0b+cCYB77NRUGTCi3hI0cq6ZHA4SB4SnrxDOI
YspfIV/aWbt1SjCfYJTsNls2/WocJjaRGd1ixJ5XPutrcYOsKtRqpPFOD1JDftYzldO4BDvhWjeW
AXrcWBbzoIJkuSGJFgVYnmw6H+ZrXuMtzBd2XaaWb3ENvK625R01YHXHUZsUZVby7FwrC0ejgnLx
xaLOQKYPyy+qlvmlznTsdmtyMWlbHCyjEQwSzgaeoyrw2OA2waeUBcLOb71j6mfBqe3hjIYLDLgv
DMTIRU2J3kUWM8EF0U/tSh3n0mriXBzyHaMG+Wyju7mdPbs4kuiQXwJtlUwSQHem9VVwbrl75iwg
H3vN3Q1mNfLkeko+2Xh6Xu2Wgr3HDrvlJhfVt9x16Napq+2EM19aixbpfYdmn1JOk+Wb645oQ/I0
YyGjqy1er3Sk/mKni5iFfR6jp2y0vcjimwE6X0QisHh7U5ogLdtidIscxSQ5ZZqBPuQBemsZj948
RnavvttlyeSBJRUzixCP2IFvcEM12DBUV2Lb4jjm0HCcozmRd1S7IysNbZcpVFiJOLZeidBL129d
xHSR6clqUyftEzqZ22k0P7MKLUNXsv/XYL1uWyPtDgIDEDxv/3uXtgaNua72Y+E2j6oZvaNvF/fD
SihsElg71VrJhtiNJVTkv5tylRGE3ubYjesWDzfiZ2G8jIPfb6YWYaLDcL639fLO4RtFt+SGdQ5t
AKfXfmExCgJyIR4uADgB/HM7+8lNWaf3nmBo0XsjG/5sCHn7xCO6oTBJEaEr52vvG18VnLJNx04x
GmVuhF0xPKWN+h7o2HGSgFWK60Sjnebcx9ZtpiaJfB23aVXp390yr2PN9Ynn9tjPeWXmUToQueyv
hGBV1akbRmDYxOBion/RGpYR4FUoFYebTpusvZ21xm7t23s/IfAkcO4H1+s+pWjOtl0yu2fYwbjC
B8bbY81bmePTwluHunpKmy076Ow4jLm9QzLYxEFJ2c76nGF6QhPquU0NmMF/MoKivxGydC7ZkJ96
0avIE2lsJJgrbW5D/fqiSWgwuqLEFthHbC7zcCytjgkQG9zSLD5Nukf6d6+bYeEtAkVoXu4UC/so
sykUSh/mMavy/FD5DK11l7hljbYgTKrx7FT2w4gXLpqd6a61UIzonv7U94UeQvmy+UeTHfLR/GbN
jDGa+jKkoo4WAn4vempXFKBBtTFsGhVvsehuas0TTHFp7HLGwgVzT+tpRHBf1bdNitbqx2pKUKUJ
1mq6GCIsxoPVKK88zfMKrlG2fWVd2Mka3QbHQdkdel8zjHMru0yTjCow2OyBkeJwdHr8Y1vm6N23
QmYVc/qhX79kjOrmu55RkgxzhpHTnr8EezDQfzZR5btLdsv7Pek+dVqz/LOWs99FrNol8/ra8/QY
p0CHODYRY2qGM6uSZkP6zhUz6HSacUb9QUHoLl720soptW4Gx/bkvclSjGqa+77Mz7OTN+p+7BIk
ZFpqtsVWoVESRwH5SO0C1t0M750A1Ku02lHfN1g52TWXa1Nqp5TZ63IzzQm/HJ5nRlqOZfdXv39B
txAG42jkyBSHabafcfCu+hH62womsJhtY4ioe1z/U454gvt4qjU3NDQse5NR5DhywVvcoqbwb2zP
eJ1b59YHiBna4+huKlfk+6Hsp3vfgnvaFrKN+yRJCm4nlX4FKCpvtVKDltuJYTXx8PIu3ejC8A8I
Pe7X0XMe67R8TjtvB+SXAThMSrNWI0m21q0/1W9WorYaCpw6LJbOvmNx3hxTzZf+htNQrU8Yfnz/
n7FDgMfnj+4pEP3nSQ4uB0y209LkOxpnY19XHryIbg+ZdcOy/gyQFSJ3YVxpt1itJzdbWcLkTB09
c8fyojr0I38pimE9GHVTbbs2QPbjDfNTuzqxRMJ4SgaT5o2y9zTVC/xWdLCn2smyrXe9SMIhxKd0
u32nWc2hh0W5nyz5KjT/JjODmh6pPU6QX/d0RzMH3NrOPJZOFmkp56hrSpwZGU/INHgGwACP83g2
3Utl6zakYbEgZSiSgzZ29pdlVik70PWLHMo3oKQSbWxHsNGaxJ7EvpwOgUCs7BRfhAzezMUvDmgg
bxqvK/fNOD3CJJhPI5Ovu/YKFHMmr9sVuf5VDAKSadbzlrEwX4bdKtNdQYMmsA0XzTcPuvYWGunO
ntmTz1l/SIZsjgTaNZoqIOhGuxxZ2lkxzC+1hUgpI9uYln2VVi5VgvessoJOWfTzXWokLniaOt3A
3UPAC245R9EQXHyvu7eFLx/JgoV8q1b3Dk1fEGPvIGy+qNrvyVSVJG4F2D1aZ2Y3A2S3H9F4dV1P
L1Gwqc06E70lv33Ie1YLVdeKA087c1ffP+WIad5aFgcM99fIEtO0fvLNRd+IMnCw2GtmOCXlS+nS
f/ZIhMPGLB7KYoT17M9+xBr2AacvGM8yYa0btFSDnhogSNbF/NTYVk0xg0bqyMJbLVfvYqOu3o7F
CT0/WL8hDzNfqwCC7t0Q0ByaTPUBXVYEiNz6yNf7HU4g/eiAfnhdx4B5IKSG1jnbFSnaG62yv5S5
kbNhbORnlG3OCdGj2mDdX0O43cf1emSFQ5+UF9uXgnWYOAM/bjatzsxFBrLfTtfixui1NabmKJ6K
Ul5pq9l0NPtkPnKAUVj7SVVuOsl9EImkmzJYsgZVVy8mqR8xOvD0WYOa/TeaPgBRo3KCCNeYOHdB
uW3sdjrOhH/fa47bH31Vm9s509zboJ6XHTuJ4maAsXKfSfEdarR54SEW4P8r7a4p4VN4vgSvo9kP
rEX2jI5/OB0BVlpXIEV2OApX276TwHPGLdJ1bbu6aZGgtsnW4eS76Veraj6zeQT7na+RanXtUCS0
yGae388lizx7YTbFezj2W0v7gehc3zQBDlnYzoUpmg3RMdOBE2LnOOiIfB6SqNaKBfdAVdrQXRPj
GgFSXlJPfxgDdnt6BWTfZBNg2tNJ2oN5MC3YugnwL6Cu0271S679NPX5rafbMO8DwT5yyDwo94R6
OAgEPpvQr29St/Z6GsOeANmi03GXmcMBf8US9pnZfV6L8umatbSZVPtGAzTcI8FD5dBMDxnH7oru
ap5/AEp6ZECU7xT7Fjb198ils03SAQeWanqkBC3CWuecaKH470gZ/bIGNeHhdjUdk17nqzGuVonJ
FdfuYuom8GHhMgdDcU4dxwlZoHufrdK1L9XkVIRBBvl+DsyoQAe0BPUaXUf5fDbzLb9YmYMrt4lq
9LXD2ctaYe9MQ3tVOGQi5kT+wZzBd/pqsXnquMNAZDSPU4ehGD0XZNzCcWMLdcAUusOC4QOL+g00
3q+EU0zkTRvlvir6hby3lNzBvOtvrLm1w1EXb4L7cStVXp7IU+BNj6H9B7ZLlEJtNA3zjon+eTF5
0oL2YRob5GwsLeK6Hc+EoGwxymdxbSHosIbVoBgXOawALBbsOHvqnwBphtvA0+rjHuUPq/cjFvtY
sZIjHKoih17haEER0RfGQ5AON14tz7WJ7nUtm3EnyUFYUWo6Jam2norSNZDnokACv2AaCB2USmTs
tWxT0wnASJY0YZv7Sdx3towVgzd+X4RfebA81cbQbCovY5zPVSr7PEXWCyxZzcW91mtP2lAu7LcC
sMHOnITDtKy86p3bBkTLCRMnOy025jl5JCetBCSBGDRmVXdNT6MkbxoGlVapj4gf/JcqI0nBnrXv
lrE8gBk3NwPj96jsxvM0FRoQK2jK4bLSHhJg/+M6fD5Mq/cDO4EN29odh6ikVAiBY68HwcW6JELB
Ivv/gvgfad6IXzGD15i5Pwvid9+qkkXK2/849Nf/6d//mz+V8RA4ifNCzGBfnWy/KOOhE+J/g+97
dSqylfrpctMwx+kGqljEE5DQPOTvP5Xxjvk/GcwbuF/5T/r4IP5byvh3GViaiQePn8J7D5/uYMwn
I51WXM7OJ4BvzASGMmfAmlu7eeisr3pfap89q5qfc9gwmwYvOvNAw2WXPi+8J5dgr6/X+aaeGE/c
oB9muPP7/2JF/fmTvYMCZ1qhjz26VUQNWX0y7UWeyxk7eYFh4GIKNL56R0oS9YoeGuNSPQwWAh5g
RztTT9EHLokzbuy1StkdVuYuoTLcIusz9h48lwgXqnX/yzf/O7v5FXv40yr48yfFv/CrWVZvlJsN
uGaQ9hJOZnWKsQeYqZA0ngxljZ2dXHBzKPyyskIphJ5iYKv9QZreO9Prz0+/cqp/sepafp9whnZl
rLcmh4wnJ2bfqRP5LXarLhtqBogMI7JpkltpTOPJZQT0Aa/v33jbn5/9zibcCISGRHCX8YpeEC8A
AoS7lFCJg4bqf+NMgX6fW/kShKATPwppvf5ev7vaV2f9L78vnYrOKNUsYpwV9W6qlRsikK4ubITf
PvhC//RrYVb59SN828V2vk7Mhow0O62yzZhAieaxdvMpLtYkiwq7HDdBSjXryVrE9ToOCKjXm5Le
N3C0eRuAvaJ07V9F69q7JjfVBsBc8sGXbv7bzvLzwl///JeLQJYy+EIEWbGJNmADB7SIXLBquwr8
emytujhSM5THNKAl8hI3e3Rp5KLUaIOoYe7Nwwtri6Rkb89KPzvqk2HeSNIQTlYrl4PeB5D1Wmok
Csnh5u9X9U/f2ztoaN1P+QBnQcRrMtcbDDEAhudi3AvpPfz9E6zfHxlucP3zX64KFPS0AvrTxNWo
VzDvLFoUQbKTU0k6MZyFrEDyZk9YR7NdxdId6Fjq41ijm9VnZdz5HcHwWZc5n5oSs5qWjeWXgS15
nMpMxV5BYTQSFL5J1rTdWwAPoxkazt7JDCr7XhlRWS2bFp5mVCeJuRuHVZwQH7eHWeKMBFOFW643
5pOd2ow9ywYqW4oZ2iULHumJv5vSzvpvxXn+nxvEDd4xsIsFoAU80CZGGE7dLXNvywqhC3W5eLu/
X+4/nDxYsf99udvOo6lcZi63RzuVV+yTR87qzSDUDUGVX6ake7GHTGwnNF+YHKzlgy/66hr7zRmA
9vXfnyy1RHl2Zzdxmbto+ul0bCYTEDewBmfjD0iRHh1FUXnu1veW0t4oaQT7PhiwTLfu7Ojxiuqj
+V/lEMDk9EfzuxfAn36cd0cw4EAUFI3DxZa1dZ7WkloOLFMdAxTwCHCxj8JPK1aXFsswBvSRZpTl
pupbJCg2w8oPvo/fHwqEM//7qozC4XHXjSYmxyyPhckQrBwX4BO4kFoLw0Z+dQgv+oCrdKLbWmGR
731/VR+8Da5X//8+mdH9/vvzHV23NVavVcykAtUjfuUtkuf2JIjVxHzhptHff9HfnyQEZP/7c5LF
58kakcuPxVzvewhxvOxJ5taN9vHvn/Bv0PHPp+fd8YpMNFgBtJRxOSjMc9D0USxrAd+goQ6kkZEC
S/bcl79/2J+eI+/dyagEMLS6XVM8EL21W5iI3EFf1HjxcOqACuu3pm9lB82W/yhF3pg7F+KDJ+k/
41R/8525745MDws7ZNdB2+ds4Y69xH+vN/76skB/vEjDAGdr4WrfaJnT7RMJlJjLPNYCV5zrvOpM
xFBcceHTrcWs6AYVHG6DzllUnMN83WmIjGKYrWClZjuQr6Xu1892nrGRVTpgAc2sKdVa0RJdltvL
zDhpksundnCDYf/3y3v1iv7+vnx3ffG2K8GyW8S+qy9vHqrNNCRcbjnCbdaCXe9w3WnoEGgzwmIT
UaU6av9BJTOSdTsglMUf3DkqXdm5Bw3lSOFO3HyAaBnVjj70zapzS7zci/7dMYfkW1snhkJyZhUv
5dKrlwxZG3v1gZQHOEoQCAn0oPl0eFddB5HIExeRBSXS89y7ZaICr6kJ0Ocgebk6LpfZvPRqXG6s
pDLVFUoXHKoFueIGf4W2RhW0NbxQKLfnrUsFvHdJETBArFrqFm0xm7TJE/gjHZ8phjVlxQlhFVyE
2a2FEwID1L4sdlcCjNBqZDoBarHz0s7pi0PZdspVMV/l5cKIHHe2rU3BOBGXiNWZQaiKqXARn3mt
GzFmAuA7o7HZm/hmHy11nQEvoln/0ZJC+z6B+4vMRPOduCUp7q71sdczKtPsc1e4wePSB44RGXaS
Sz50EWSjjrVph1Wjumcs4MhKEYBoxHmT4dVFtW91znlZ042lDfwhJAG8QtWx0lcNOOKcM1odXLxY
G8NUxbfi6n618rr8VGL/P7SCzAInvXoMhs7hm0fLxTxlrGS2IFiwpzzulx66Px09+Uz4b5z9Wgrj
2dVHAt4nuvSSRbtbfsI9EWjHbHD6H43rVP9MhQzYZHsSvSnpfBE1WBMZvjMSCYj/qN20YkhG8sZV
XaLOnf3H2l/5lg0kZvcChXwdOsDkGjwItfusrXnDmL+3SzQ7EJlk6I1G/TzVuQCbsOa2ERFoRc5U
ZqZaHQdzZj0XizvGll92KNiL4hu6dfd7TawfW820WcTndtDd7wFOCm3n2S4awwK7f3rn5paAkCs1
DDXllTRPCqTZ3Nt1XT+lZiPSzVohnY7LVqGis4xB3zG9FDae2x5fjJZqapdP3YqLqHcZ3BP0d+6d
JWD3z6qiC3OZkwji+qBFQYvr6g5tNiWZABE3bfy8Nx+UrZnpNh/g+GOmYR2Ji9Td1kFGgl0XYCXu
GrUFQ4AOAJbGEPodAjW/oDllS1msL8HitCi2gtUVaAzn4aGVDtIRx17YUekKIOiE5H1vA4JtN2jf
B+bj3NcbJLrc7NWQ/sMkUuLTdKYrSMQonKhrypSJslrbWAtw+szI81nyDYb7wFBePXe6JoeIERX3
IbcOU8bZohhydau467Msh4KGp+oVYD/DYK/qvIdESfGPZvXudz9lGbLNltH50S4WamwDmjCjzFaN
nwutNxF0E/v2CiJ2gO7cW+JHk9rF57zpK8xEMEgUQy2UkCFhSIsRtgDDvsGuUjfKsMzr+gIDndap
R7fL2TX0VyPTgHAW35ujJQYucPPG7/0IGCGUD8nG+585RXaK+NxBi+3IY4qGACFeDXRjLur2G/h7
QCNZzYosNpu62JVTZlV4CXzrZexxakck+Rwn5qCHlgBXhPmF0crYJ40F9epSzPFgV565SRhyv5ZB
JxHD9cWyRmZaaOekXydE4Gta3ydtNXNqDvJFN7ylPupoDy+5stZDq7LBCy3pNU92X/DFq2Dxzwik
0J+VXUtAI4gt7vME42/L48sX2cbMMGc3nNiDqk1QErBiVFi88NJUV4rqkscjonkWMXMQ/HAaPU+i
upr073VatQSl2DnuRQEh/LWlI4AAKzk88TTi3964kDAuS9AMRIy5HSjJcpAFWzkv42V5DUydNGm/
6MFQfxuridO26k2rRonf5qxcy5L7GWN3knCGc2ZuchixzLmzzDkHs81z+PdX4B8KpveBOKAolaNk
R30K2R4RlpUeKlJfQBFYyfbvH3GtMX9TR3jveoFZ1X1NFlsT45XCFzBgrEuLZYn//l9/F2XzXwXZ
FSD1a2eXrybbV8/EJsrWkPycEnZRwEpc4fyAD9T0D5VTsQEwySJl7EDqS2K5RwVkmTzkPNuVrBO2
vqOMsLAbYpR5C+7stcif5OgZeyS6NdKcPo8LxyPkDclvRPu/HoG19zd6V9j/jyW6965TQPM0Jvmw
VjHuz+IMpIjtc4G2pzBtfHnrYkR92lyftqA/tJSh+ypp57MhR/OD2vkPLfJ7/oVHGQcdvs2h2xX6
p2K0k8sMgPBZa9lrIOyEzJ5aaQxQNNsXa7p80Cuaf6iovXe9ARq9iihTO48TIIdvBLYOzi5H9mVk
3iTPMGmx9xC/h7gdmfr0mU1+/22gXWEeqRb28q4sretGp/fAnLIXjGZMDICYQIjzB8mI0sYu4BFh
ExqXiBDk9FGr6pTGPquaIHKz0X3Rhnk8VVcROE26lXCA2GL84Jv903V915MIWxYY5ilBMjWbVD3Z
dVBEQkak5ql3wrlNHPpUk6iDUOiJeMsAIKYfPHt/erzfdStr1wi8NfQPgXDrFzedlwheD7nZspCX
vz+Af2jt3udXwc/wutbvCyo3DM+FVu9rgSwk0/K32Vq8Dy7iH34R/93QIvXWXEtbSd7ECMc5xa8O
XeiaiehSZP79F3nHBv2vk8R/d1BhFXK16iqgsbB37Fi54nZEnk4J3hje1uP1s0Fhu+DnCFCgqSY4
TJDy93pqJj8++BGu9/xvzkr/3WHmSW1AOqJXPGVDw55sQYgZiOz2Svi/a1NAEYqB7mdhCMVoA2NY
0dbOHWwQDGxE1cXALuoPmqM/PJb+9Zv4ZWImujTnxhzKWKNsJvlAhwGgw95oqkbboNAoIi9Y/nem
1R/nJH/6eq/vjl8+jGmYVxZD2sQKVCd4OdTVBJFqkdUlzf3fr+2fPuLdMcNOtfHmzroOGQuTrSER
k4lTjttyMvQPbtI/vOn8d0+6hGk6lgy5mSqiqbZyUOM9OPwPGJZ/etDePct+guGq9uAhtK3TbbAx
PUL3CU59NWHFX9Lpg8fgD8eV/64lFuPkCxIp4HvOco30QZ9uqlS7pACMzjVqgs2Ek3rjKocSZ0zM
Dy7dfwY6/ubOv+7Wfr0DxFzPRoaxKK4TvX3CXcMv5GoFnQmCi/UZlCzp6AagB5pePD8IrKsEAg9O
HkwwSauVGMa6fsF9kZckIzQNQhAa4bB3x04jsRajKwXdtaHWFs5ikp048S2nbfaLrKdb4hXGZ4+Y
boQtMOgOpsmuYpt4dpaEVkK5uddLsAUQWVukPSYgkDujlBKSnN0Nzn+wdybLcSPZtv2VazW+SAMc
gAMY1ASIlj1FiqI4gZGihL6Ho/v6tyIyqx6TN4O0ynENsixLShKBJhx+ztl7bcIauuE2CVX2UM4F
UyerhED7yQ058UWU75Y+rx+ZZhEdvSPbK4LNsRyTIpYLk/TCIE2y9BGXe/TJQ3b4pX9xG+S7NVAa
SKYqt052mVh+mmZ/Cziyo3xJr7AvGNvOHfMnK/rXuPjk9/7UmivfLXi6TCEuuYyoEGxfGK5St4hk
YGEe0H+OSOqN6mJvk3vZc7g4uO/sTPcVb+ubv7UoyHeLHML6vEaBk+2sjk4WVvdiZWA2BKuYJ58M
ZE6sO/Ld0kbege5OQxnvGMWpfZgIPegBb55zrOWTt/ypJ+Td0oZZNCOlRouwdBemH40NXpjGzi7q
FhLG1AyKAtDSfvy9S/ZukSuBrlK5u9GO2rEL3FGXewhuwAom3Vl/fIgTK518t9LFDggAEH4Z7gen
usFFrmFhQIvW99myDXvEjR8f54jU/qun/d1a5/XI17SW7RFauPI8rWczwJAUrgzAjJtSM7VL5XbZ
Waera4Mv/o0ji2LtGFX9oEphPBM4BJgsNn6WlBh+WRkwHXr9PhpTACG+xOK9I7Gu8+Mo+0bmhyTu
I48ORTL6IY0UnxlG1UZr+y1hNnSk6gKJNLGW9D2G7Br/9Q9cNzMVLtbA1Na8HSY1wHNIeHxVsQGa
JPiGktu7Dsl/WTtk6JxnCsNS1wmJJit8cnoM0whl+k8etFNf1wN39+0qjSeXWDVdUAW4NeU+eaH4
QPpWBjKv5Aomq7tF+afv0GWHm6HJte9R1yjszeBNPr5nJ551+91qWA0ENi+mEe06cEakxS/l3SKa
PBBKNwgyzyjL0XsPPz8+mjh8hf7iCbHfrYdOM6A3n7Nol/eOfunIrlqbYbns6q5t9+Mk4m0v0TzG
Zocl0RkKP5noCRZisPwwkeS3TijhQKIEHbmIgbJbcF1ogtddYS1PklHLYUSYrmyBoJ0yHGAnofef
fI1OXap3a6s3eCAmUAXvnGnq1qYodZ+FaL5aCvtbn2TJ7ZLT4Pj4Qp18Mg7L35sd3DxjRS/wdO1E
QS1umTM8EdySL84wD+eQI4ezAd3teZzHMQlyBRibOO1WTYKv7eNPcGLzZb9bZ1OYVYmm95ztgZs6
Jwi5sIPon7yET01i7HdrbNO13iAiRhaRAQpgEUayq5axXTsLb2Fvmhy8xZNYiwIoWWs3Dq54XX5S
Yh2u4V89hO+WXN1Yknqo2cboNs6ASoFJ0rMU208p2k/O78SSa79bcmk6pdYyk/zuYDh6JEhkuoQB
+6Nzl3LAwod75uO7ZJx6KN8tue5cIieSTrwD5AOn35uAMQKMOR/bvl+JKhRb1871DUQJY7WkU3Jb
CqWtE2D5rKh1yhiD3j7GIDh7mFbMs9kWh1QzGf69a229W+FAD5j9jGFuB28hvQ0F7WBjETkjE9t4
+PganLid7wMeiISs4AqqZNfHmbeF0j2A7XDta0tZ9idvthPbuAME/e23EVyNToh0wiG6tDtzRoIa
Fy3zNsJGZ2rViUDVSDwgM6P6kyOeOql3iw1U6Gap3T7Zcfv6QE4CH1oNYMqC+fzJTso4dVaHY79Z
Y+BlR4OVe3SoHC2+pwVbbAeSs27ytq2DOQJRNDfVcMdxG5zFSbwTE6HWduQum9YpMYVZRrYmJxNW
qjflK7KPFD4nnruWALhPHvATXyTr3TKkvKZHZawllE823dzRhl6F3WdDNiT402Rpth8/RKeO8249
Ik6NXJCI9bs1ZpthejGfL5UHtpt2GqQYLOQfH+fUfX239nhFiUassRO6t2rZ58ME/C30tHU75sUn
l+zEym29W3sqpoE9Gd3VbiAyeL30nnXZN+W8/nsn8G7BQfEKtrzwSgB9IHAsUAHrUPCGcGem9n/r
EEfR0ZvnMmuq3lQ5+qUUCKlvC9e56mosDdIbP3m9nrgL5uEb8eYIZD8pFywAJxF77nWNfjnwqna5
gdz22V048UAdC/M3h9DiZPE8yyt2EeCGhzDUa8jkmbGXegdgJw/7/ccX68QLwHy3UPDR20llZgr+
VNwRAnkVpR32p0rLV0Md4ntDpvzxkU5dtMOfvzmjhSy8ZYQWDoeGeYAocXynTkNGsB57nxzilIDg
wLV+ewwi3Ep4J0NKHC86vlGbwjN9SjTiiEuxxW8ANP4wshG0F9ZJhsGpBV5x1haus84d99N9+amb
9241cGN4xjWAuF0MxgREqef24Eltw3gKmwqYvJjTdj+IUIF7aNVz0VXGk606IDmDsswf/ayNZ152
MJll1BxI43LKCDcyaKB8fC+OT+pf7GHeh2VUWmJT3qPZNRVMuHTR72ZLMbuHXwR8oF33E+1WpIeI
emXlAmuc4Yv2OkY8nJ/kBdn2CukWCbA5t3HMrZJpr9N8UwRobXsb6+QArHGN9nJZFYQprNMoBRGX
xeft2F00QwHooMPfq2Bi6EwLL4Y5kt8k8JRtQdwbYv72nDvYbIde81ZWEgmg2N3KaD9bI068uw56
7bcPCriDVNQGDwrzf7FPyV31Wy9Fd0uk925YxC/M0dTubet9snBjR+NX/9Ulf7fyodSMD2ne6Q7s
DO4BS1VYr5pCr6BPZ9OymnR1iBrJIW7WoVZcGkk1KBr39PfW4ApgLPUJkhRINGwzE960kE4n+LDB
mC6l39qmd8bwbQiErW2GNoroRpVc20CL8vGpyGfTIX5AC7Erut1eJNQFRGA602s84Gfysdq1N3aj
DdfImsy73DSmG9VI+xWHSgwASR/yLui7RF4eMvEAM/cdAIPUFOF14Wk2KY6aN36JGK1iDq5lpfAe
/mBKin2omENxVRI2ivajyJhBEBJ7RvxQnWKe65vIt03ESs5MluQ2YXw4rXG2wzCaXSc/OLKYCmqO
tuQY6IzMWQOIhNvgam7xU9LIWU2OjT0lmczuewuR+9ntSVINtKb1mEfotk70oraEz7qhcKPpBXZk
nF02EXObzvCu62gga2QhyAvzSazqYJilxmShc8RFNZY69C89xqJEhDfzeM4vecUDbVyQQxfaZPwp
/JmIZMjwBm/6LJy2Y64ZgmUJ7KTIY+x0lvFo9404y+OyWccwO5qtXpS0KgwYZYTJj2NrBC4mnJ2p
cToJIa5O4PLqim8KVgMjKEOVmgG98ulnpdc9/iVyM7+kTjowKne9PDyIXLwfTYgLGDSkl+8i3TKr
VWnIkMSGei7gWJtRO171npa/lnVrP+YzVSiGncwJA2ex0gcXwyM+UHjA38Ykht8DFAW7kFpG92tP
jEVK/mpUv6Rq5quywOOrUCvOw96YUlP5OtP0AE1CIzZIdBSP9CIkY0qm8LnPAzk+zoZRRWcJ6epf
axEmvwiMFMmWeJQCgGbRhTvQ56mNN7VkLG/NyDB8a4Tb49euHRLnF/XK2ubZPN5TcZRomFTSpBsq
EntBIVxY0zYbrcQ3zcEU6xoAsQVxw0kuR5ksBpXaqN+OBDeSbyoJH0kg1HyNTIP/wDVK7BFAKXQT
NOOiGz4crLxcV2SyePum08qXpAcSC2Cl955Ggg4BB6ZoSADg3LgkpRPoAqJhO+g8lkGEfTpIJcmh
8Iby7mLM6znb0NVqvs9DEj13+pJgCsrTQxcrTgMhO907GxinYUh0HT76yBj0bEwMMQQmnY5bgmFq
F34YBllkNJqTr1Vbc0NZva0XL43VVy3sSCriW+GcpcKYoMuVpY5l1dHTa7Ck6jFUzYAvWMIaF3iX
04BpkncXJZ2WobdlHspo22vTL3Saq22ZavaPQc41ZONMwzUVFgu9vqxJvoIAcV4hDGS8tNNi4pJ4
XRetkx7UO1ovJgWb3qsXGFV9WF9G44Sj3tTy7jayS7A7Ln0PO1gyL2S5clulsF6N9OyreIHapysI
fVozIQaje1N8RRKtWf6UxWB/jIpKE4Ndg68bpDMHsy37GhchIv4qG2S+SiFVbRHLtfiHPVKhNw3N
xKu8mLLBn1hBElA/i8FSUw8a7hLC45ndgeNaz6YGTyWHCFUBAgE/aelhfY9lBrn3oDsXmUm48Cb2
iv4VE7nt+QvQ4c0MgJoxjzEyBLEs+GqLJXIXry1Pg9cP9MlNgJGD1QFz5fe5gZjCaAcCMxVnSi21
tebUkQ3WcZu/et4AV6cYDQWrrrC/e1YLWB0cHA5LkIuDuzct9FF+0dmcAY/vcD4tWYSnEAfqta67
LsnZeNv3hTlBOXC9xL7lW98gIYw9bI1kzKp5NUfA5yrCqQHP0cV/se3h0i2ah0iXSbsyXNc7n4QW
/cTtnvAkIObxgUUn11bhmD/COMIqMaR1DeBJCnsfIa93NoTllriOF0KYGZbbzm09AY3ZVPqh6zlB
ZoaPxAsVCLMC8UwGK3ODrszgEULRYvZeGAacuMbRH4kDEPmuL8LrBsTrNXl5xn1SMW1cMry6fiNq
yaOYQoX1dZo/Idqr0roAJIoQyQQJdwOh1rYgm9bGdwdAY7W2O6RGaKma6y4U/eWUzF8RLB5kE9ir
77Vs0cDayrh7zSdZQYRB2AVqSWXFE15kPlyVZPA009Bqz+gwFktg8Miu5rrSDmmsrq6BUs7UFxRp
45c49aYn7L3gwtze1MRaZnbbB3mTjNCmhtyD0RBq+iFzOtJ3eHvJ7QFj9ELGznC/VGVxVZMyStCS
Hi21X5Zjk6wmLdQGzOBTuCMmfDZJKqgO7ABnilWQJKQ5bmsMaT9ivrvf2Ri0wi/QG9fI7CAQENQU
tYC/cUyWge6FXo/gwgn3lipp9jHRVRfMtW1Am51JdBZUMgRrF8kA/NafbNF9+V8PvFbCrsHdDmVa
fEOvw0eLofp++3gLemIHdmzxvikH0pBVUunS26Yui5WRGD+sMe+uQYrp+yIKLYZbvGmGTHmf9CtO
1B/Y8P605WPpJMv6cEDeR/VthhD4F3WuBBme/Pj4lE51JY8moDfnNOoWUcNAKrYOUTBQv0x9VcE0
3sjE6F7AoDCA7od8VReHZA3khqs+r6aXTw5+Yn8p3u0vdVSiUqOLtx2M8T6yDT2YhxgzC+lUgYgg
+onBTqAr8Gzjxs73eTPq52MDvr0Gbw1QJtc22FqfP/44J27vwSz5doM9QSwpamD2W32seO1Eg9yQ
aNBdeUmMq7wA6xXqidpEbFI+OeKJouvYpnpz8XltwuQXGUYJDVu4wCe0MguYXgkL1h7V/vT3nqNj
K/XNcYyKoDwhRgd6sVWuoRgCdTlY72tBjMfHF+/Eo3r0gL45xEKgJ8gPx90upC9f9p68zqcZiWu4
fKauOXWEd8V4lxZEojM82kpX+9qnpnmT5kaJiGXWP2ksnLod70pxAvJyZmYWA4CkAW1IxOF5NVXG
BldotTUUeKqPr9WJBobxrtYOW0AvdTxp2yiLHyli95qBQdwt4tcmqeZ9JnvnE6fWsV37FxXcsevw
5rbINm91RPnxLlQ4Npsqj25InB6umTRJf+k7uTOlQp3apeUlHjQI6S1gYhHHQKp5eTx4ufcLDh17
lqTPLgDOGQ9pMZp4fADmE2blrN0I9YJFGjiAJXIm0UTLtcgTeWP2Ezh1h1mrpC+NYq3ER66l8Ftn
C9AhU8hNY8zI1z2RX0eLkWxNp84uQwdafAfJ9WLQ6mkdO3qxL8gTCcacsEleoRDZx7RYZ0jVV45C
KkElSjrR0s2ftWQOFfVfXbTDn7+5aE2Up0joAF83suzIwmA0Wk15vMLE2JHmBGKrdGeMtlmmnXVJ
r3+JDYMNmQtG4uMHxDixMB5X6zefIBNRI9qwCLfD2HmEyxhLfs2U0Gx90h/arWPIRqyIovPgZFpd
9zwI0lnkJNXWreqBCmLOjNWY2vaVl9Kf/uRjnfhU+rsF0oyjrgdTHu9asoy3ZcI7CS2nWH180ie+
3+Ldb4cDoXlTyLfPxiUQVDn4eNucCftSdBo+PsTxxfkXd/boVHpzXRUG39iMl2zXmqa34qbOmzqi
we6ZTvQjbNHnVmQh461tlnVVhtF3JVEck0pDDpdY5rMcurAfum20XcBPrIvOCy+hfCUbmhV4MiPv
prLy/Dbrqx+t7SWbjz/2qZHXUfj65mMT+AAyNmfes4RLvx6R7QWAH4hVOtqwl965aU35Y4KFcpHP
lr3zEkYzIgE7RPS1d2Ma3nSFRJavXmh5d1YMAUR0nnH+8cc7sWyKw5+/+XRuNC3W4nFRQ7d2bg/U
YFKrQW0IOJsrLqq1+/g4J5bNo377zXFITy6yCKjZNvbmG88S1TbzOuU78PF9biKBmrgaPj7UqVM6
fAPeHKpwB2VAkQ23ejsNFzO6sIBacdwIV8d3iNnj90v33/TH//lZkuI771//+Q/CF99c/NVz//zH
Xx4Cqf/5j62a3yU5H3/gX5AL+Zvlsoo6woLaRs4id4pytv/nPzQJ5MIVIDDoItqSPGcWjj/iH93f
KKoJjbRNAmg94R0ciARL9DGf5jd+QDi6bggX4o3AxPwfhD/CmPrTu8KWBjsogzRp6RoeOM/3Iyjb
Eq7MygFG5ITnmzBb0ykDbNhWHbSTDKFYYSJ6GhbD+or10kDs43ppEthLAw9xnPrhbkymCaWwkZlP
XewmNzpvgA7Cbqndz9liEuBXe2LVReAgqc+/MN/GL9NrE+QuaK2462sDfUZkDtGXKrSEE2jlkt0q
KD4X+N6cZuVNrf0wAdgJ/XopQXm6eT3agWPNRBXkmQG/qVsi/W6MwNv6gnbhIx2f/opWRGKuujE0
+g3yCM7ICbPu0dCdcGQESvLAWiDdem4tFd02dThAeVRm9jPq4iVGSxNBjBynrFXrdOxtX2t5YbV6
DO1xbg8qevhSkPjBeTvnjQht3Iw456JVncMB9VuLg60NUbkgdEYj+t4DiL0c+giAWEgvC05QVMy3
MXW/taVN2p0VOvGIq6IYtOsWD1u+6RwSNX1BY3fwM4cOhF8oHGqrEm9XeLgvhb2vF13sogjCBTz4
mAiIyJ6c74bdh1Fg0c7SVmGXefhk8dlQ1TtDShQn/yfyUZImNAGbtkPJQw7prpZOZu8PeRJMqsIv
WmpFZEN2JtmDaPaNL1oRR/mqcVzn0uLzRStcmrYKItNZvkYtglEfoaq712URaodxEyTjWEPHTfRV
LNKAa0jBmxea9yLbySQCTtr9izGhtIbxg5tjJ/TCvrN7UjdpOefD/ZjlDkxASn1edopQMzr6tHeU
fUZ+xrIeR5IN0YR49eVQjExJ8n7kOZ40x/jlomAr/JDOa+mrxujgmEVgPX199CBQYdmzGnxYrZxX
zoDHMahIqbpOlTW/ml1V/RwWqf+aqkW/lu3M4DoshVlj6YUKE9QjyrY1UU0e5ARL67llBCi8xHLs
R7/lZYvrye3AOU9hTXRKBX4dQCoe+3KGHppL0jj8xR4vF/JeEkiuJXIdYFXYosTStk/p6LrQ6cj8
EJUYko1hZb21pl8pz+yejRPN+9BZ/CWKhbXGXUTLR4qqbl9mLcyvwsXLsenETrdXSQR00x3ywloj
FbHtrSOGfGHMqMSyEh3wttQsYJfVdX1v6YXpBmUSYxpNhWyAEyYDbDK0TcWyrdp0uG29uUj3jqV7
M9lvDC0CV1vcl7pc4N60Fl1U2I9GJa8mTdBvJGRxvKbnVIEdjVT+2htu154DAosvaonXwLf0adK3
hqznZA2lRreCeuFe0E2p6l907eOfmcjDR6Tky7NWcesDZtfye5ljjQx63aoBQmnoI4HxDiDVIIeT
sIINFzQjWQMFNI+Y2EIKcQCRmRiuBpKQEp/9unqyaaST64IDckWJAbm4GEsyx5dFe3aUDVx7Mlzv
1ekAgftLFXb3CfLzfm+y/MXruOubu7IpjFueMbM7+FdqWq19laXMS9IBg/LsEdwzYV58cKm8S1Sv
PLh+2yAfhNdH3NC6rEStzkF2e8aZ0utxuhqsZCLLZHTchLSYgZhACeKazIWmReNX2EYcB0pg3wEv
tLTyvmriA9i5rxup2ysrhS+5KVKV0bwFknY+kpybXRGCkjjrNu70ZAWN3pkv0zGOrGvci/qLljoC
km0eh+42zxfiY5dEPyjyZD9N1yB4K5wtZq1nxI7gpgGVUds3Ktfm/rZaaK4HVlcmIeEL0nK+WIYW
M92N50o/05qEYXCrCluG/pJIQwnfIpxXTr5TsPumg2ok3boDNg4CeJTtihhCsltLyxn1gPYnz3cc
mwAzBIEq7YNj633+M8uBsoCfxiu7kdxXMj8b1523GdsaVokZOCExDO4NlLKEWB/Bz68K+KgvkV1p
LwzOAHcT8UlzNzOTUacNW/TA3uKOXDurKb1N2nTOhDk/kSD05zi+svVsPOtghTwmaRESe7h46eUC
fcrYEl8Ds5mBMXT7cazqH1EfLT/sLmtJf8jSp5pAsfM4lsa3kC/0D4NRwxKMvTeZPouO064w0jmv
zjiqryBtK+SJyVCQm3yYP2F0CePUr3VylkCjhIQAicwibHKYvOpc0lxjOrgUbOObvu3Wwm0WchUa
lhxFEqjph6DLGy6ARXYkPtIKcah3SPfC1kzbEVnknZClNe/GrrYfqnHMmaJMaoYCmPPsDUTxkObY
RAzizHEkNSPp6cFssqJFtU0bgwvYIBxuzowkIvdILmEWb4yBKScRq5NDvFjYqAf96IrXHMuCxmYc
SOgk+wDCUwyavibO2JGf4Xg42XoTUDKvC6Ll/dQLswuAgJwP6zEpIXa08JgllXgSCu2WX7GgAHUH
PzZsUtJpn2RkF7+ciDEHhZes242m4AuUVTU92NA4QRWEunxBp9Dfm+KAqWR6lRd+ThXBWxzvwg+n
0rz90Hvdq5vM2Y3XqIoFwxrQ1rUQfAsS6OycTC+Soactb1vwieclMfMPipgNetlR3yCKZHT+C87i
/GsA4/vLsGqd1amwrjBRSVDZWdtd2yVWdHxN1SUjpP6xdBsqcwzj1X3S2U3mL3gPkTdbhtgDwq+d
HaG81EslVdtF3pu0Eok3gFhOmIZQKwrrfheGjqnWiPQK4q9Q9ZR+H5v6qxynZV4xr4YFA2uFPHsz
jfK9Pg1e5pupEPeuqax7FMwRujhcCKk/6mnIIDeq2XNNqXsPw7OUQUKOAkaTuqSuJdZBf9RLOTx6
RDOah/FsBgS9M80Eq7W9XDGwge/QKdXt0Sy6Ftb2PL1SVkTkQQGd14A1WURfeaPo2T71MuPBcRpB
/CTc+03cSSY70L57azXHZE6tTUfN5kZMJUChsmzl195k0rZd2Dk9tk5MNoBpxtk9CTv1DegJAhEH
XaO7PUVZfsGiHj+jphpeC5VFr+xm55cc8sKTu2RIIRhgcevAdAk+pcOtDvjOO/gu6xpyopRhf5M4
YfyVuYobBpFiO+aPDM31INSy7B5qNIRwEt/l91mlyzkR6Xazsclx885qBxc8+TRhb+xJXiaSgQGm
8dAUQ3WDlqkqdnDHpldDYPlZmbw7zo1QjfAWSYwaGPMS7efHYePsYawMwu8NIsfGZUkPFPJUnoEU
YzzCQALfZxd3DtPzviNIYBbMRHF41+HWNQfWxkWwPVh02442Uc28l5zNyXhkj1DESOjZJK7cxuu+
xb1k8tGFyO59oo8zx+96QKk4uMh63HkhDC0ySUOA3GW7eF/mcpkZ3rvOeG+lTfytMr26DrQCTCtE
HxETgDaPP10nBTBXZmyd/NKwUd4cE4Uzq4hvFVPeBqPG6NwXdYptgHd8dJUwozx4nOo5DUg4xEKm
0YXFe1fH3tVCHoUJnl/R5Vfao0nImrlLNXMxgkqN4C/HrImDwZ7tfQZX7GvK7IwFtp35BZXdhdeM
qfkMYxkyOhtmA2w2TUCT5omKmRMda7//FsRvC2L3w4L4TrEQURq/xT4ahx/5V0ls/ua5um460vWE
7nouTYo/SmLb/U13DFYKnnznj7r3j5JYQn3UgUG6DHVcQ7cPneJ/l8QuXBtsf+AibRJAjf+kImY0
/74ilrYBo8sC5gNKknLmzz2USIhWpoZ0IZUkBrWPWBw4doL0V5j9JJxsXJKMmPbrIXobnMzfCllO
53ZEIhz8sjQNd1ZqRA8okHh5dklXkj1u5ZmAcwwrA3DI4V8Pe+x1SrGzSYe4wHw/MhIq28ZI2OuN
6VOqLfg5QIkrc+s6HRJwyyn0aRWOdnE+w+Z9tiZFXWizK1e+uTixAundVs6KiaQQBz3DQSmZwrMg
X1XV1xAh9CqYa0ana15l7bZUByhElXSEGqcCcdCKqdmA5F0DM0/WSWu9sMkBhDJWC/xIBXW43ked
Q5ds0OecPTi24eyWQe8CyjAiTW/tul3u+WaVetTopmQmTDfU+UFFEz+UGqzrjd72BfGL8SFeMJrC
X5ZS0dfQHruvrVlxOrirzG+tiuIvYhIT+I6ebCFlCvZGA+9DFAdZWF6nJZJQ9CsDEaIum2s8MPgX
XcLbnekZbVn6DReTfEqSkpT5IY0nGWge+TurCsq8WtGOGKpVZi5mQDpxe+kto7hhwhB+GQU5sBXl
ysHhk+X37HniYqV3ibrn5XN4kQrTvWriiJrN7F3vMcn14TbvRdOuvGgotnWtY48oC8myy4CY/U4l
1Fk75OyOsDNrgOAhxZBGpNMJB5KtuaSuAg2qgXlHluaDEmrvXIP4NR99WPlM1qboLojJQrYb5ZRq
LJ2e9QvY7hCvmql0zVXDubrr1LEW8iZYXClpO/gaByC3NW1mOypvTYMElYGbWQSYSW02rsOIGhQi
h5MFrlknP/WoSh5z9mDpdp6TgveHjLQ+EDkMT2QQeaooFMpK+l03ADxdTItVXM9LGW74HnUpkbuG
Cldlp7cRu6HFZvcLl4a8J4Ax8XNpKC05gzI7/Spca9L2teZEyBvwWBS3BFzXyOhk7t3OTdtTVdOx
WilLax+nHNvYGekNOjFhYRve9YOiHltZkz6Jr66FCuoFbqFMz2exDHdsswf3W2nZJhq3hMk7QlBm
Mbum1cI7yEJRHyiN7omvQ1wBO5w3ef1FkxR37IBIJ2oC5vDLuIttEV0NIXp237GMCPZNB+N4W1Iw
pxejGMdLoxKOWlFkxegeoh6pg1AVEnuvjpb+JoR/I0EbClzrqd6hicMMMDmzL6vYyoKkSwn965uU
zkI5p4Y6GyLbrHa6hmDKz4rSIujMsCO2NFk0XHQV4FR2Hg2GDOKM0nRt/15yyo7yk129fmtUcXOX
enoWr5vMsntQo1N3TwYMBWxf9N5rOUrLXLHr0p4hrmTXXqJT9lbshkmCP1TDFhK3p/H3EnmKxit6
BRTO06GGro/lNPnblNbkhJFaWh9L7niqKL9rUvm+t6axNHiDO/kdqy6lemPbM4F91O+6MKOfmDCr
X4g/lOnXqb1YaLEOZX/VM+BlWHVoB3SHzgBMyrY9d80we7V1s+TqHbsIIqWhMEWykFfNsdFQHZsO
CBXdF/vYijAjAgJAfuZ5uo/Y3d42nsQx6aUGlloUnTQ0imNzo+pb4QYayuD7emL4CxzcPM96mNCr
YSDV+KDIoFXSERWJcOjYQpkP3RTv2FhBUVxc2cd2CxYMWi/zsQ3jRa5D/JHjhMW6sTLnbMxU6yBA
rAaNiAMybY9NHePQ32HrwX/rWm0DbvvYApppBkGjoi2UdkhWpt+bRS46oEAdekhoSCntSKHSKbZo
6/v5od8UDp4Cp5YS/ehXx5bU5Ba0p7xjq4o4z7nZum2LSKqt0uabOLa1CCh7JeNRv8Yte1hzjh2w
+dgN06eOzpg6dsnUkNAx847dMzpzKPvzpDN+2aONDlUde20ht4sMgdl+SghIpQg1z3KndAOvyWjT
xmkxb0aSb9il4oK7J32Tpp7qpHUnjq0+/dj2I8JbvSRKCthah75gcmwRElhEu9BLGMj7cNH4bi7H
luKcNBDbh9CgdYpH9mE4th/NYyuSAb5zyd6WBuXYFlS4ZBI4fnhsYUI1KR5lyPntgal5wAPnPib1
+dj+PLZC+2NbFL9EfK/BVfk2YL+nKUQerkGWBVLpWytVOnlVc/2FdBkdHwX9GDREg7R5x1VFPeOr
QW33383k/0GJA3n7aLpy89w+R+p5/vNmkh/512bS+k3Yh62fJXhlSv7592ZSit8kTkMJCZW/gSIu
/j1f0QzvN+EZcP/ZB/z+l//eTWIe+k0SZ+jySz3+F9fFf7Kf/PNUWPKusSzhgTe3mP249nuWJNsw
V4wyytZmlN+VUPd8yZcP2TmRIm8uDPuPOarK/ykVOUREYHf//MdfH4kEL90w0VYdpRRvZn/WkJEa
aRHCRJ9vvqqVbt9AXbWQAKCT/s8PdRhNCcZHnKF8p38SlqV60XNSWMBvYhhRgWbYX8g1+UT+8ecx
5u8XzzSxVVM/SIdr+OetOAMymOAZkWXZJLocnSPTC8pM4xy/HWikFHf5xyf25xHtHwe0XUlxYnvO
79OyN9dwQMycWJAlkIO0+bVXufTj0/ZSI3Jok8We5ttx130m13CPgKn/P9bnsK7l6dwz19EN9/dx
39uxLfEHjeZ1hIpC63VuNMDtP8t6DvHNYMc0EbLfDVM9Xs0H3YrZd/WOwiQ/m+B0XYV0rFd2C3HO
rrPim0dndZMiQD8bHF3eLDE8GauACRnPqt17bEx2BtOiuxT9Ne20iUjSrsvDYCmYvftFxYS4HnL3
TE5V9j3HNLl2REyvLGtI5AjarO5XOsFRNOhy+gkhiG/U8pnzHdJ9sY2BTlp+N3batTuglyQb13qy
uHUJeCo4VEWbwfHoVT9f8Krsn50qf42zIQ0oFq+GzoHBKbwhAHZEDvRi9inXw3HojdrIRVDcnvNC
A6RrYAWGCqR9M6zYvbKdZlwbBaxxKVVDOCdd3IeSTek2mdvkOhtd4ee1TPYWLoWdrRfPekXkeNgc
hmBQGiN6lZXx3KLjuKupY+jYTBBuybebf+jIodktjm6+YWSjtrRCEADnxTCQq61QUnsJQLsgZ4Ny
bdO+633ZTDnyQ49WEZzNi5ionRRVkJ6teMO1jzg7si/sZ8d7J66NvTun/4+9M1uOG8my7Q816gJw
x/SKIeaBZJAUyReYKFGY5xlf3yvKqm5nqup2Wtt9bcu0tJRMYkQgAHc/5+y9tuHrymp2HMb1T3MV
+KcSEu07ekrCX8NEOc16RP5Mohp0lezhR2QuihvG5L0por4rFqrQILK+J4rTrLBBjcTX7VtEs4G+
AqAleqU7EJ2bXdO8jR76vAn3mgUp2NX4zd1QqArK2yIndYqUoE2GGdpkPjmHXpLr46EGs3hbSDUm
La8oJ42mU2Ed+tSI3yNNmJq72lTB65ibuNqzecMcRxwcS5Tf9aijFKj6VP/Bls35LSOVZDeFGGXJ
0mtNerCtvdOShLY8KuMloBLUfFlU41atkmvSWSvahXX4eY8FOJBHj3lKNelZ4ztotade7duvQVW7
YxpGJlY9Lu5qSLFJOibTHp17kkiJH4PgotM8S/O+eWvMMdqbYyrwJFBKkmQSW74Y8E3l9zDVsUhW
XyzjBDBUM14ZJlYPaKExkkRl5oVVHX6z+zWldk9BkMpCPaB8y14N1KC22zT5x6LgbWsqq0bUZX/1
Wskhv0ysN4ZiND+JkHlOHCIFy9EwCROSzktIK2ByI9PecvCLDg5Y8DPmH3tmeKWpL2KN1esg6vCi
aQnTVFhR8y0ODdVHnhz+TIh8vM5GmXrrQj6dk8zZIxED3RsVndUDEq2bPFB4G90PJZZ1HOiLU6S7
vlzUajOVY6/6FqeWfsQ7codNtVknmi1q86aBTmnOxeOo6ill5qA06s/Syad8Q29xCLfl2tjlNjRA
FbmCWN/qHFMd7zLROekLeaNCc6MlV392nFGtzaJO0RJECe09fBegQ89sKVzvlfGB7YVLLz/WRjF7
f6bTYpFyVgy9r4SZnA5mQkQ4hhT7QSWywUpVzdhyWqUiawEdTj7dYNqUJQje4jsy+uE5GSuZ+QZn
MStA2iDPkLw7+v0o96ZDbExhdShhd33jECdHho9i/l6MqDNIdqQJ7zV6N/8YVJovCLU78ToNnHMP
mRX3v4q6W27aUsTiOc1CpIMU+crgWYW+xvtWUUhnKojZmY9xSlPf50SQP+EMs10lCV+AK7VbFe0v
kkKpeGHXnwzQRhgFqgoNo4X5p2/BhoxM7RmR1hT10z16dNMwD/I0ANKvYkxaPNtp+kvGy+oxzSTN
o3EIseB2mvmDtW25EmTHllry0JY0rtFzq0dlMFkvuB7ktylfoBzHUyOV+qGnuQX2Z6DKqwx9h9Qe
D8My3jJur6pXvSnCOa/yeltt5gjex85zN3TX1jR3YVnYNa9lE4LcdNs6Mg86OXS+TZwOsahSuxJM
8op+wyvXeMsOROxGe7T66WjGyr6orWM+56/T1LwZVUN+U7j8MBrtuxgbl6ierUagD2PhF1uNxxf2
oS2Tw51qMsEwW6TeKP0HxkigSUN9QsYQDfuqrLYrUnN3NNfXbOGxAX2LEMNav+dJe6qy7Mwuicqh
/YX9c1sJeZWy9ou8vlVN/lgKp3QdVW4nU2wTOmkfA2uDW8T3ToOFah3PkJuVnbyMZfgrltMzyOKr
pXGTOOVjrQP2t/Q2qGLnWwta2iOzlhyiPiw2Udc92jX30bjuLLWBAYKWYGlosqXxj1nFfTgsbuR8
DTX+k8Zw/HjNX6lNezc3RpbMnDIkA5cLPxwObnkyjPk9Ma2dkIY3drMnKtbdTAtyIpdk339vR97x
qp1I7bqC52Ie292pXxrnzZrEp77ZdO0ELse69t0EUlk1L1Gls++L4WxIW79JizRYUDbNOBOWOBGW
zuj33BD+RCuM+0gvdvBCN0sNwNjKl3eguTUerPwwTX0gExsHGml6LJaK7k2IFmkeKnI7zA0pzDNZ
jwuNCE+bkCZWduNalgFX2mm9ys4VV7f0LVNtBAhL+6DEFK2aPZI1LmR7HWCAi1HCbAhnUZ3ydYgZ
eaKRASZxkDg0fcYRPUy0/DkxOBqqWXlmUhptMxKs71grdbWPRhd/z6vsJ+HkzVMso2Cx4FpLEu5T
WkWEl6OJMZObU9jHhYjua6qkJZgn8EO8AB8+LQMrXIDVCHVj9QrDxtn+toTLF8nbHFAMc/AYrWCm
jIfcWzv0TWavWY+6ldYX+i2Fn2NBcFW1vdQ1AQezowyP8NWcvVMZb1TfXLJuOTpWGhJSru4Z66rb
qO57kjoH4maJvd8USrhzVn36ritzfG4I0D2gOH4Ik3K3qIyoJQKUc6YY+8ZWql0yrfs26mZ8m8qH
YK/foUkd3cLWzlTQj+VMmksLvZ6pegqVXbWxwNYXBKzdW0yF5E0tUbdDp2+XcILC3WV+PyRvaOS7
TTujAMfzyJ+JOm+258duTF4rbXqiwXd0pg6flF7F3Nzhtp50/aJZyhlHHyRqk7YaAXS3eVEvRMTt
RVE/OmI5DEl3GmF/Q79GIOQ7cTltm8o+M+pcA1vFLNRER1O2u2qemLIb5WYZ9JM06FAt2q8smXaW
aJ6aOHylTf8kDHGJsvZk5fFD5pDyOa6MSpf1bjIdhJcs8w8TVcSCL01m9t7p2103pdu1kSeFx5Uh
F+SKLjuj37nkaZZubDu5VKP2KebCX4dkO/ZoOhKIfPcA0w9NNk/RohUeg4srreMAyd2GXse1JbgP
JxF0tXhVTqZaPver+okVQ3XLfPRjZU78O1iSW3aKD53AC9bywSObWe0yz/QMc4iw8TRA0+C6sC+t
J5x75KjzrINiYi2saNwkiSGerKYH8Ezb3CaHdNdndHDn1gZLXzMu7OvBcp1af1E6bV/iPwzUdrVI
4xuXvTNJ3VNa/adq8yVmd8+xIunTZ8qPmhTQDRBa8wCfVmVR7F7ySt7KeFCAeozoiyfg7J1uOEjm
RJs8Gu3dOsi4xmWSsjL6wyc32OOPMapCrxzr82BOyiGZlGDl0eZWcd66vPyY29K3unS9rQxdXUD6
6OMtNqeuX5tNPcH3wM7zzejHhR85veNnOxc5+41lIqfX8PIRm0AYpyRa1O/nLv2pj9an3ufbpVOO
S1t9D9G+BzMeapapQJpcXqJB+01t0rZpTG0lbZSufft3fUM03hilsLnU5p7Pz0cxy0ua1F/53B1t
NcRzb96drI0gFYyoKVfHEXGcyTc6q6ljuUbRKS653t0xHDuSjnpa3iQU3PvkWlXuzDQrSZI0U9Uv
1TrlzBo1vtZg7hXV8lWsQ+2jcIjv8857VkBdYkxomm2PF6Kk0ZxC9O3U+RWI1Xygx2v8INske4Yd
fukgh+NTaIvbOgDEW2uFoJk41E8F0m7qrN5EmlFaGv02zscq+UOfJQ3RiCDcWAsKUdk3MH2cACJq
vvuzyF0X0Yimx1J9kdO5npQ6MV7pVzvILuJx208CnJtZYIZbkgxNTpz1pHHemYLRmMdPzPLN75ma
z7tWijNo7XhDpmN2QXaefJGwavW+cDrzQzEdxaPnD2UTYU7s9VFIdDihBvvSjmcwY5267JMBPRk5
wjpuHewanRtphX4iSj49ELeReHJqGr8EJf0Q2ua4MSdjvrRZ1d/6vjOuAmLmuc2cdwjfTPyRkH2F
Ocx8cGU95Y0ZmV6UcY9WTl+dWlbBrUTUBUowM2/tUqaBCjH80pcKLT89nwmfbBu/ZuCCvcoYr+g4
zddlJAkXiv5AEbXU3dmcRutIkCty75RMssfaiQo/A/nhiRARkgvW/luyxPqR0ZD2SHMAR7YTi+yM
bz95VqKM42+oqlPjZUaYbbhjrR9IrSps15X9beYu/GVZQxuM6aR/zsQGn0hprr0BT/ExLtqE7i/c
3sHFvNwxUoqmAnMCz/4BK3y0xSpm7RoZ9mcj7PMgT9SvoWusDTraHr9IbD+n8yyujaM1t2nVFX/p
Jo5nhbaPjTUkR8f+ObYaEkIWkkO3OnzRs976sUqYNwPRdXhqjeLe1bDSudliyG1Kf75/UwfkowoR
0G4Uc2oCY6Ry3y4ntdCFtH+VWDDtKrANbocHK9aXZTirskm0yW8YKqaY2Hvi63p3QQsmgmbJMOfk
U2gCwM6tHHPxrGjnriVV7sHMbO1bLwv0tnfVH61jWUVPhVxOmiFZXIup26txNKIbJlNiyySPAdJi
CIotJCUynIqCJaYKTN49B9FYbNA66BtNy5tTTW55gNSl88FcqkG1NEMAVGIJNLJOtgP07o3mmNNu
HAjnbtYxaMUCrTgWfjWRjsugx6IFk0oSTUTv0ye0T0KTtiuH8KGZ7snYmL4BmDjzltjycPUgrdxj
S/i6snrc8lHnA8KwmsTp8LaMM2EY0WTvwwXaz9g3QdpP0Tnt5ndpr19mAr9oUaA1jqJXAiJDxCFG
LiLb9clmZJHpQj1EAGHB6zB0mqOl9/NVMzbzjNF7JAnhQAZie657e9oO+ZofY+TXOP4YJCqLEG+h
g5OD53kbqQZEQHSP5NybQwAbdsGTIp9DnUPwYnQb1GAOFYXOOK6endhDjmMee53pgWEo47ktrHoT
wnTZ95VBCEMR6uyV66xcmAWbk62RwVgpvoXb3zWM9ZN0AO48RoJkJAtzs2iYLRHEDIVXxOajIeWx
NYhStUGf8H5I4FuQo7fcR41bOVXl17a6J1DEOvEoz2yYFhwPROWI7mJ5bev6MicAr2NT7TeRnJ1D
40wEM9PESr915JgKt6ujaU9IzmdddaZv5n0WoLYfg47o3e28NDKQXUR0hioKkBPd92RZyw12bsxC
ia1sYuKn9/FqN9eGVHZmsKZvtdHrqCJOsZYpC9pm+Zj7RiIJHBlYge3Y8bxbu2g2mbwQgYvwVt1U
BW2IsdTE21KUzSa822Zm+gTuZIsLrc6FuXXe+VSVhU+JMRwN/GeeIMmSIxHjug2KIZcM38UrNG7M
SM1CJKshrbtICY8Uat9VPfvVQguNbZZmyHX5JZ0X+5w44RX0GeVEq4/vAqHl3llQybvVKJDC6eDr
7ykcL8bIKgh+/rHu1eRkK+SqYA9wNqOKzQ/Zh/pOTHy5rzO19QlBsc4s8alnNHa3o4zJyfpG40CL
Jfew3uvB0loGoXzGneWmzW8r7dWgM+3lRB+8uKbztFDopOWnEobTI6pRA5mDY6TvRl9mQW1r4T7k
wwcdY8Cg0Xs5EYnCbw5M/A+6SiCc2vbqk1Mb6V3vj84zKhT1xW4GNktFmEFSlMOtBJV6pBavg6qF
yRMpsJvhpTbobEtnDy5Mg7CxpjQ2UwIygBY4NZiNwg4vijlrqO+b12XI1v0SZsIbhcXdKVpwELpe
MOnPv+uQLTy2C+43+AGrFBctqtUrhGaVdcnhVGY1ZTrjnsBl6GeLY73qhI35SNsigpFb5SAcE2QC
umGaENVLhsgfWaiG3T+2vDCtJIdFpLcTxgt/mYXtasb6xu2Qkva73tEJKbSWFLyaq48cQWMeD9cY
uVMkB+VO+ygk8Rai12g6CyQBPE8P5jwCfrULezNk9OtTMqQ9x67NB6ioxUW24oLzPe/cFUWdzyDa
3CtV8tLn2otmo9ztyphCvjI4/y0NmcxlyyrBLWG3juqKMUN4Yb42d+U1+QIcYdYNsWdIvMu9M5SB
nOt3K7V3aSgexGJ/QJ/65ChlcMQlVhEHdn+N5fxT1qvcpLIrglBalB1d9xlHE85Igh5JSKHIa1TS
r9vJeOCZa89rlfWnli1+V6Ra59e49XdxE82BWYNQihJLUR/IBcoOy5ScjWT5Jprlu4JmjYptWm7l
qnZPcqLB0fRRtHh5W2A27fVrPRQcM8nesdGga5Mrk+k46MO0KY3S+RZ2y/zNEDV1lLCVM+zE85An
EkUmnonIJhyHqJubOdqvlmMe0R/kmxzGS54Z7HBthA5xbt5Lc2l8PZy29TgfLPCTHBp8GrqnxZL2
R7Owj2ax6lNPETQ93KYWOf5s+0W2Ppl1Xnt04DcErQNzUKszoUw6Z18s7EbawzZJksep7Xwa4D6h
TX5lcC+mZDtOZbK3ZuNiJc6b06rHFL9OLXWsbukhauTOXovnWar2BmGMhzl9N1Ssl07y2CnD8xjX
L205eG1l7+ipbmKSLQbaIU4xHqIu8fPY3GDq+eoZEHTkEyxm91Aqq/Gh68SsITTNNTZbcqZ8vVGC
KmqDrlrWb6lV7FZSpY3YIKFsCWoO6nmuHNuGp7d0jsLSNkU4Ers02mBkZvwz3YPtiI1jFK814uc4
ad+hzQO6oDS+lzZrdAAdhGCrJksFvC3S+PexwH2fwXeDfly3Ot4WHF6HxTFfQsRIBlnluRy4i1bf
yRpy7VCIppDWLTr/ps7+hvbqTgNyo+JnIermMhdOt5v0ymfXOKA9qd8mIQ6F0W7jcdrLmF09Ced9
FAk/rmC9SUKlaO6e+qrcUphyr4biVEIsoWHgzXHnjbzTLKre67T1oxSphpP4RVk/MA19sxSWQTti
01bNU2GUT2VHAwmBNq0VchdA4W2sSmMqoPFlDF5qmafZ6raxCcdzyB+EqMHypLGH9jmwenujOFl5
4lKeHSN87vuWU8YPMemnLkk2EGse5CSPDaYFv8uRq4T5w2Ijs1lnfgjdZ4odRx8BlEWnCJIzeWPF
DfDNOV/ofv09HF3316a446BVUB6TeIxiNDKr8wGGCSIIyAM2D/qjym7W00CIVUfcO59QY587u2a9
sM/KUB/JnPRzg2dZqfZlSNk/8Iw5M4M/t57ILWaXf6zz6CTG9GPqhoclKhNGCP1BJ2I+1gz7icb6
wjEg96tw6APTMM/DgIhHUe4NTMIAy2qcH0Wm09ZGMIBSK31gw3/Mzf7ccqRc1YwGgk5rjU+fjVCF
DKc/Atx6IhFpcFtrPNZ5B4eJRiwZTNsEMHwtteNcDFjfJrD8tJ0eMHidJLxpz4ymJ+SwtzgPfSvV
yY2DgVaKbgoG0eZu77CahgpmrBgA5aZP1F0SQ68S3FfUtoGZyg9hh4TnZcN7JYfXVrJ0Ishd/ayz
jlJfLLRo7U91Gthdhl9zPO/bKd3LyvHnMnkfY+uRidGLbpQ2nffhIxfjcc1sZ88s4lmyatXMBplx
QluIP5dxOcQjpKfUfFicdBfZIcslwx4tcZBFh87G0tqnyaCpoE8OcWDJfGyktjeyYhs6xou9KldL
55xcKSu+hUjehqTsvBAmDNLz8zQWXylpCXOjb+tZuTpm/N1BkeXRd9mHksLvXspVfPRJqa7UJr5Q
s6ORx8fQmZ8ys3kaVIZ5sdEdyrq7sP99VAlRSqZmv+RRPG8Lvef8ZJEYxlTQK9byarXZqYVusw2V
9RsTbHcq5iNcoCtUspW6IlRPUNOSmxZRhysECV7WlancZFcRJ41RH25rUjxn6TR7Mfl+QaYq0YIt
qqXskqG2txwc5pqaLadJU1EDOeulbgGl2x3PBc9Hvu+WxtpGs7ShMol61zeW9rLc54IEwdKh1+x+
cS29JzBxxgenDyUNH7sl3GjiOPumEEywctM56zFRhXZGD9V7Wd/lzaYi7CvQ2vZ+BLLNDYNkhshN
fo8EzeNbQb7IZyb09CFfGro+mbM0eEhC1R+SRH8al8R4EFYMzWlJnIi4i0z9GkeHTgwciYGFKERt
HoWkPDRq/JnHc9juwoTseMzt0fCuTM3CDjlV0wOZcPUEEsse2KwI5COrLPmE1EmKWlG2jw3Tw12V
6dZNJM76zVQMyKHFaF8Up9EQ7eZUzE4SrX43SpVs43x+oHUo3kMlVj8mOsk7FFXoqgzgIMDm1NBL
GcPlQRIRqIoTrNiEVjI9NXwzwcLxJghrXER4Pceg7KLku9NYkCa6dfDNuZ89puqC8zghQWbaoxQe
ZrFhnIAKuAqdJ5BrJK6pHXVjzuEiwZ6pi41Gl4SFfZzOWFEgpy2GyXdU6tNrXoYzuMjROozGZH+P
SQrYoFmbn6NskK5tg0eZZD6/4IBF1Yj4LkJA5lcL8im3n9gANEetd51eDgf7joOcku5nGscfVm/0
14TuQaAhqH8eCqkOrqy6kdS1rNov65DdWoPGaj0lNGXoq/prq2meVRmllzFKUREaciXyiKEkDVTD
Wj9LZoPwDh1n2s9Kl2/rrmf9UVdrY9lNfWyqtuQBYmlrItWXlXap6LlvZtpuT466ZsekN7YIEx4Z
DYmnuFg5BxMA1gUqqh5/tssyGDltf5u7GUAvXLFA7/oSdqXB/m9EOQ31ZBmDnhaqrwtaTaOg2dAg
FT6HlaVciENB0mqNCBldIyFtFcFeftWXiZFZKaOjbOeJvWMK77sJigsXhNpwSfC8wLPX0mMYy/RR
rayPptWbDf2fbhNlZr7l7OR4imUUEMkqNvaB+KKLOlpVwh3QMWzKSPM4AHdzbk6fwdnqhqr7uWoh
zMloaItNY03D1a7VgnLNBFQ4rPqwHScHYxT8k5kS35LbVXZtz7EAEZ/bxkhhiZ8V8hy2szx00E0O
MqtzPFPNSqqdGdfZuCkIF98NDEDvcuU05Oyvt/IZhZ9e+8YscJY4Kh0AvGzOtSgGLLT1oiycGPvl
MmewBnFP9G9apxW7bExi3zGwrsx9b5wx0FT8TMW81GFn+QZuO67pUuDhSCvd/Y+1RLFTDxqtBEdf
MGLakaqHrNchpUSVh9qbY6Zm/CYsC+AegZ2EKljmDCjwP/pYa7SGUWQQjQisGG+AZ2U21jfqhSjT
rt/+R1ZkKYnhNCrq1GGeFSe8lrdwj88e2RbxaxQS47n5u1bof60ef7B66BJJ1v/5J2DgX9gHL0jx
fxPn/f1v/FOcJ7BzGIZl4kdAK2aYKPD+y+khQQkgBUFFJk3VQdr1D6eHItS/AX0nOQUTCHW58Qer
hyLk3/g7Nlkg//ih5v+XOM9y0ACKOwUBR4r+e8AQcutRygmI3FqU6nuX35tTWBufe3Wme/KHK/Nv
5Hl/Bi2g8bq/lgYNlE9sIUe8y/f+IC3DPZaIpMlEQOxw52ehmTyMumVvRCaH7UBO7C1LKyqENl7/
Qq13V8n9SV12f2VeE2KEY9r276g0exYcknU8VFlE+7wysIDVDAf++4/3L+rD+4sIPh/xy6ql/x5n
VMihF1nFiySGfYMnhxBgPGd/BcD5LWTjH1fxDy9zv8p/uIraCJ+vdniZqR2Ty1AisJiaVnmupYId
kbVn2FazRWc3zlmujDz7RoDkYzwP0V9IE38LB//nO8FbwT/SMC3u7T++kymHSGlPfJ+Th8Tc77zq
rHiMBT1jq/FfksKmjebpLq1pr/ftR+pKr/hkoHVgdL7/K9L3v/2OkZr+8938ppSE5JeYxK6KYJyi
imLeOCn3ENz/2XdsqTyqyCIdvmAUt/Zvzigpl2kKiQ0P8C0aG0XP80vNbkgGzFz9BSvn988DLEvT
cFBK1bANgCq/XV0puoiTdUoMG+I/t8l0vtG+/yvJrLiLjf/0bPA6lkVlzz1rIFhzfoM3qQPwafaq
lZzcOQ0RtSzxSozvsHSujOOw3MpxiONtnQj5KShAVnKwQ1F/IBR09My1VLsfkVWqIafFaSKobbbj
kMi0EBzqYzY2+KhdBmryauRKFuH1qZlTtcy2mb7JTjPYpHSrO7Z5wsySSjPnmFfCdH7Ex4yARi6L
SiM1xZVNAFuu2+di4crs0wzmQAZ07WLfqy3HOGHhiqgOGzVJXLKArLuhaNbQeVmj9BEOLi/W1CMX
acdG2uRBKH2+S+7/3dZZ0jm7uJ3r9EZUTk1bZ2rQcdpNQ0VHnei84ugOQ6RoQ+SgedEM5nGLMSLZ
ULCJ/ijKVaITmGrtHVt6qPDsQQ0IgDZDfVeKWnm1NdusfHQFs99GZZdueymTFgmVHXWbFSSt7qlF
C4dSsSqgmGnMGaDWCo3k9M5mbhWH4m2OCTcF7pb0+7nIi2EXrYpyzlerypgI9/ZPWc21dgUoSg/A
6aNeJ/MnRL4Z51rCYGZQlXMiNbvZAsij/TOZuf3TUVOanlvLme1jRDye4zvWgh9ZEXajojru8+8i
FfSY22Jcl02ZzOh7MhoGK80dHHyMj0rlLubWHvRWT0LXNBf7oQE7+sBk1HpsyRn/NHhGKi/Hy/Tk
jLE2uhMp24abZDiv0L+Z6+gLZel+xbMAe2oYsHXp3GEUdGsZT88ZrCASs8xphUsbWzaQeq1pNXes
9fwH+yf93Ukbm/dEln3hdbEeI91R7JJaQJU/FKYLl0gyP3J5YAEDxCRyW0FtRRFH8T7K36VTEt08
iBkW90S61a8M6MmZzn/4I4rq7oFzNzxkKD9R6+nWMF6npS6/oe9jgY3qKLomQhBAb5WZ/dihxV9d
UeISQx2gjLeZQdTPqauTmh73NFeMdJWW+HpTib+tzRymfqF2FZ5+QtJjV2ptfkGZ1mcU7HZPBO6Y
IHCD8fyoE2OPXVEs00VEYmbYO0IyaHWEwH6kq90LVABn3w4mnkA9t8wIT7tqsC+oZPgmS4HvSklG
9XGJiwEWa9rWSFyhk8Uu2A9gJhk3+pVk8ASSa24pmLFyGjcSq/WAq1MTPy1Njuqxcgr1rDBQ+9Br
AUyO28y+EjtXMtDq+wmDmZWrH6ZDqieY5cSq8UXX8skJR57LsMYGxXDS/N6vC5MVB2vOXQaipdcy
rJcXbikE0RGYER/J5DTzlKU1ojgWygsuci5TSgPgqWMN0egi8TVQNC93DRiDp3NoFDLH4Cf6t2W0
CyZ1S2/4CXfMU1GiFUcp1hZfJSBhAPypyLhvF4QiXBxy1iDPNrq5k01aHA1NkixpyzQ3CEPk4WZk
XDcZBS7MJNQyQMyZvkxd4dGqZqqRoCqOIRIs2eDpcV19wBCyWAU0Y3yY8cnMIAbt5ktVFWTAptBR
jS6KNp+MgfS4U5I1fefmMaXaxkqsNdsAn3BkMMGhU4PGDA3SgUdMVy6uRmN+JL8Xpm8yVAtzoaJu
QrKTOsM+hB3eMcg6TQtBnspBbuUKqOKkAcx4pXIa4JvAPLrFnVRps3VCjb0wGQWqT/gFeYCzrl3P
d2vbwwrLRAcpouXC1cvuivwlrQNDQ1lO14L57725bNA5gfad7tRlacAY0EUQO4n6ly9M7YGPRKas
Ow/qhc3dTM/mNjYpWhXwLDRdSrVUza1J34xlsDUVODaFNo9b3YkQ5chehJMXLRW20SnS4z6Y7SFD
QA/aZnU7q4aVvzCKUxHTw37dMMC1piBL1KGhFWPjzs8My126OJ+ezLZOaGCFhi6OxDnFExPKZUbL
P8a5vSsl4ydfrLPxMOtTW3u1NQsjiNWMOnAtEwQVWsWb3xRGpStHUC5G6xaEiq6QoFhRU62tXzhg
RjKw43G8YOJWzIBEtNwOcDygsqxsCB9BTqAFg4Z7U8+jGobHbarAYk8G/hikk5GR08RUY5EHdZXq
/bNJQ33y2TjFN2MGprJjRjI7mDVDLhjIrWbexDqQO49hQTi5PF9G5fHkDCug7zgcwR8lQgnQRgnV
RbJYwj12+vTMspo6NLsQ9shFx3OJYfOmWXWCln8MjRtSL4m6ONRLDo3YUX0y4h3TJaPDMPgRet6m
J9sep191l1mI5ou0qb2C/ZxaGuZuv7WSVnaHXHNiSW1e3EdUfDb4aKWlf6NKzwl90M23vsfgcVJi
patYyeCi381q4tSIDgGkTKw+27RIoD/+foD735L1TyUrZ7j/d8n6+lV+rcNX/v2PjjJd8nf+WbQ6
f7NV07wD8YgRIBeCo+k/ilZL/E1IC0iewyGYc+kfilbN+BslAD+HMoj7GpnK/zWUqdjQbJO/44Db
sE0dhN3/pGbV/3xkNQzToJw2wQLqBrAEquo/Fx4qBKxCqZbQf73Cs3F/fiTuQ+JeI/cSu5eHr+3L
4dfbz8PtDxfp31Sv8jcqwr+86m9n/5V1zyhIqfI/Gvf1sXKfMc+4b/zi8+tEw+b+669t8P7t++X4
ejl9f/l1ezn+fJzcv3offzqv/+uH/63+QyE0K2vGh6+qV039bOPH//5zOn+2nP3rC/xWEOiz7HXj
/jkr9+31sXAr9+P17fX4+UUnzX3j34/CXd3nz+vT/vrxvI/c/ZP7sH962p8uT08n7xKctk/77dPT
4f5/weEQHD9ul5N3uB2899vFu92O10fv8Ot4uxwe/ePx11+8f+NeGP1Xsf8v7/93a55t0o9UBt7/
+eP89njYnT+uH8f/ZO68duRG0rR9K4M9Z4Nk0AK7C/xJpinv7QlRlt57Xv3/MLs1W5mlrVq15mDU
wPSoVWIwgmG++Mzz3t+v19dHJ/f+Ynl8ebxcHx4vLy/PLs9WZ/MrHl5cXRxdLU8Pv7nDbS9PX70L
DJCPV+ScjKqiJgDAWD7P04axfH6+fjv3F9f4IRjGy7frkLEkmsb/pSB/cbl+u35jeK+HeTbf8ZN3
xeL8IVi8Pz2cvr8+PF0Ei8OnC2bXw/k7s+vi6v32/RU7lH9uL95vSxbE/cXx8cPT69H7VbC4eP1m
fMVuheDn8d2/mMYNji4KSVx3deJuTtz536vFYnmwWq2dhbNYOvxmsXE37tcTcyuT9NVgit3BBNwx
JER6PZceMg0vXt+Pns9S+vt8+eYvLk8Zq2xx/HB4+3T+dPrNl5xX1Vdt73kXml4jiDDSacnYlMZd
KD/68XlILImk4kUu337d1S2wfr853HuGSfGsIqx9xSyUrtsEE8Jzp6I8Cfvjthab1OoXnfZemukS
ds/jNDyFklhm3aXW3Wka6rHaoTQ9jfFNTySkvfZFePr1W/103/3THYkfTYbytvsB0OHJZJNkWmbz
9TNE78VluHh+Pn86Pn96OD99vZIXt6/fLWflZ9vux0b3ptsUVCWprDRay2QU63cmFImYyO94Zdn+
ompgblhHSvONc+vTEYNXhMuhjUNvPtKsvU1whOCIQ7KE91b6tQt/aUK4Ke19d2y66eXrcd1vyzRJ
5JyrezkjVVi5e3Or6vqmyhtqHFEM6k7qfhRPndarl1UUpud/oylDoSicg312MO9+QbyToWx3keUm
ZTNd6ZPfRM6IC4Qc+ym9+bqt+bU/zuG5WzouZXzcuFwxFnbbMvM2a7XKNF2SiPUzu9a9JaqIyTeT
8metGKwTEIsCw0Le2xS6ijoMvKUmkZgWgfDeNNcZRX3u1335NAvnzhgWpg+eeioTxF5nCj2kxneE
AqbWg7EK8HHf9VPiCycDL3cYppXKPddrIreMLQpaAT+9RBkxoMXX7/HT3kKAsiiXJuPc2Out2QbQ
NXLSDyjQM3AnkYvU11Pj/GIrFj5HuMo48GQDT/2epVPrAZKpXivctq7CdWxNKoCNIlj/aisahQPA
lfFJUuK+7+D0SUfrA8OkNqeUZTyCGT61wPa/+XKfFhe+aYXQJnhYxbTFvlCHAVYv0ueEL2p37cOg
VGwHPz2XdZ8Lz9cdUuetaGfG77W1t7psJBdS/HyDO1YRckgxlUCmU9bNpm29g8isl4mU3uVwbsvO
dBDf2TDPllJprJSh3SjkSZPPvNSH6UkYmosrmozCDhKdUG6G6Bc3Aor5bKCVHC84mLHx93bVQLH7
OSbbuq3k1xQtwIu8iDRUidD/8epu+fXI/PQjCBmiAFY01XN7AyMrniA9n4ERWZSvGkvcC4scxzCi
5OXrlj4tkPkTaEwsOibb3FV2Nx2u/mkicuhHnkgJlOqafCzpwvxmgeybyCatsDS4ftAXAlnzW3yI
weQeeeBDiVsntDqTdKGwXyV9p54aI2XlBYqcB1/36tPMImzFjUomcsaNRwdcuttg2EggL5RqdJXj
6lw/a2+zk+reftXIzF40d8hX3o7n02nwNL2H5/aht4T+940BtI2RfZzc+6+w1+d+KBMp6XmF/FZc
yZfmmXaavxtr/1Bc9KRZnFukJt/I5xEJCgf1RpyJa+2brX5/1PffYG8P7gJBWcmM9/LLCOoZgri+
tlL1/jCnYuPrAd+fRiwPIQCJ2OD2sHP29TKkSC/kpm56V+ko+lSsqbrCbS/ff9PKT5ohq5stQTBT
OVf2xtQvhKdQozu6WpAekA/Su2On3Fvk6uGkpnq/Ij0qpkjhRij9eiAi0do3ZkoFYeEBiLSmhUlN
p13eT/2q1aGQBkdJ1W9SrXZT6UTFLarIpB9QuSmiJ5tKzxFhqP5BUR4GUOhecaCM43qSX1U+oCzd
mXDBULBZmuRdxeFr3hS4cZOVTjLnNzvlT/pNwNnQCHEhiGxtkfwf10+k2cnk0d00n+znIfa1xzxN
vtl0ftIIFpwmcOuZqglhZHfNRIoBooVUFlcbUxmR0u6Cypjh8JtPyEM+rgomCo1gHcA/MWbfxm4j
1B9UtaTVvUtS/biwIR4uksaK/kZXGC9l9qAo+Gb2DG+0pHXPVKOeorhaHOtEd4mLtdY3u8z+xW7u
i4I7BeKjKsiUmdffh69CcaOhBGXXu0Mcz3KJCck5xOBOBiAU6xwchxOPg3ry9QDuX6y2jRI5YPwY
Rza33UY9P80TytB7t6ut/NCsqqcSflfoTIlEWUZdkhunANZwE69Vfn0WWoqJjU8aBhb4dtP90F9d
pFKWxhmjqgsKe0HkuSQ+qd9snD+bhuwlZFnQyfnatNtBgd6QPFVSB/7EN1eRnrSHCmf8Nwouyv7m
OI+jNjvfTFQxNGs/uUJK0NbO67R3I00VRFSIjpbozJ53/Wgdxt4s7BwP6apGCZUfEcqy7vP6wR6S
jdah2UZg21xESXpd9OaSIOE38mVbY25/nQCi4jbAfQC5jb255ast2VOclq5CXJskxabKnvVBKc6q
kHSMhRd7lwYCu5uJ2zDXeMWvL+qBHG9HNhKVwNWkZi9fT7x5Yu29EXxVnUQ5bGneas8mIaXXoAYG
ghyZZhQ1jIKyDnIzV0nbf7d850ftNsXOYEJwsvlC2O17y1cvLL8gdta6XWhRRuKpw6IBtU1WGfEr
6rzC40nIG4o8LwlrDN/YKp/6qciyNYOcDP41T/Td+QdVo7IAeiAiQpTah4GezDFws0vQKEeHWVl+
Payf5uGcqgDSUIaJpdDo3pEmgyYSCfE0FwDfWSI194UgjOeZ4yMxY/mbFfxp80BWhlg7uVP8L4Sx
PWtPgrtMebcZu15kNkt5pHYua6f2wGjq7rKmOJsDpk/W6KFYq6+7+Wmv3LY8WyQML0tvr+VEoqC+
qu3YNUYinKpUHFdt4TsIxDwCZtlkeeZ/8x0/7SO0iAmN9I3NngXdbPc7hqIe8KsbbFRlJRO4nIPX
U564X/dr7/MZ8319TpNiUQj+2c+USgkUJY05EbRSIl0cp1aY1JdgJwcxKy7DxciDIS6+OQP2piiN
AhFlxsxtEpLft7YyHcCi1VSIwhVF/RJSPrgmzkdwHcCUePq6g3vDOLelk1uHO4KzBpry3rLvuBZ4
iK2kbtOEyoUXFd6sbVH82sfatgKoTBOqgQmCA2T3Y3kTgecCwIgrYIOtJyWInipo7b86bswHW7Y5
70ndYRfbW9rhUPpGPjFu5HpSbJaKOrujcK9IVm1V1t9Y3/sXAJwepBwCA5wT6WS6tDcBRzJwk7ID
4hGalrAOzELDE5L5gpIEq9IT7UImvZ3EjawcJ+Os6KvsYSpAFoN1acdoieIjFSxqSAHWY4q44TO1
3Vn0ZmXwh4EkZ/0yoHAdjWMtVNHpGyhgr4+6Sa2R7Ypi++IXpwFmNzQ9E6sbH5Ui79ltEpT+qkL3
AyBAEKysCReHp8T9N6tpb5eAJEwrM/IQjjb+qX0T1PfzEnEFdGWgDWeXKsn6j6VkdQ8KOf0zGWSc
pWs04/oX+8aHsoiLMf+Ikin7JlVJkQg5XXwoMUU2qhDQ1IhXe9/YNZ92CsG2yw0bJS6TTemTTTra
ZQc7OkEGgLyJRao1A6QFrkuW08il9KjgWNB/zdpmCiqg0e2Z8MiIfupZw9hBVs5SF3djuewjpI7J
Ws+/WbyK2D2vt80YCl0DW4kvYV9ONqYWA7gsnIJyoKKYqlv/FH0iICZdOR0qvVVclUjOE2wP/VXd
DsGysephoQAeWZtl7W+Acil3v/pNZ8ucK4ZmqBw31p4VmVqNFqYRhcs25KhNGOn9KpIq8U3PP22O
jC+uSSxV5iqXmXlgPljElD6HaVrSSlTp4RWqmMF5H1HU+ut9YWucXSca+ZRz5PljK1JN5bOoNKSJ
Q5UKm1Zq11T5Zn9jrmDtqCooe0PFNt5tJQ5yXUoKO8Gm72DXDL3qkpMz/p2+0BPcWjREnuZuKxOk
yhKbNWG/UpL3XMj9EpQJTOyvh+zTRsKHAQKq8WXwNnGZ3W0GmwAN+bmZpM6lCySHqfYLJzJTmqBZ
43OMD8yQIqCvG/10LM+NapjGeE0VurY3glPYwETHHnAty0NvJR7kjRZTKk3qWPrLWxYbCPYxttyc
YbvvUItJLdFVewhcPMVcw5QM1Fc0JXHh/mqXmAsQ5hRMeU3n0NwdR+hSGsl2OJkzylTui54rRwn/
M1SNpa03qnj7urnPn00lNAGtXeD6pHZ9bwQTpTJqTBGay6lWqtgl9NXYj9S/FFDi1jFsg43Mp13/
arPzOibXnjgPjnx53ro/LOMIVAvplAn1tDIAyKWhAMVf6+Vc3tdWo75Q2LMi10/T6huv8t5Fh41z
njLMRpiHHH3b0PyHhodK6ZpBDiR2yt47CnIzPYhNiPrTMI6OnwHklpJYOiXdLHIROOu/6ffnIwl/
kkz1lo1DRsZQ2e03GSvVQD2z55jkAHdw1aZglptQIgCPqcD9XKhWp3wzpeZv+OFyt+0zjnTSOsmG
sex9hW6rk4HIG57nQIOUllIbkykaRcM3rXxei3SNtlSFIlSVKbXbNTtqIkoKVA86Rzf1x+iP4A1s
AtJgXNgv1Ph+PYM+NYdFqcompjhtEZrc29b8dtD0lsJSgEKTDMgluk2ErG3UEnbpL7bEPOEU2F5N
mTX7LRGRtMn5hUgfe0N2mJGSvKg7JaaovvJXXzc1L+6dL4Wlx2LgG3FrI39/bzUaoHW1ifxEJ1DN
CmCAOnQXRptI4biIYiH7J9xoqSprosYHEiQ6YKO/arBz6Zj9M7h6eZKp7g1rUmsVsapEd9AVoxS6
EBnkOaoGb/PS0n71ojO3RdkjIR7+UfeTpEbqatPcggoWRG1x2MZSfqJq4Xf3xU8ThVaY8zhBFQ5b
Nu/deRmNXZZKePYo8ZTjcilpEoJhPn5WmaRSynt/ebbMq4CkL5W9e7aud5sbtIqYNScI5ahGdxTF
KnXO2aCcmSnC5F/Pls89o6nZWUP0H4eaubfi/FhkQQKa1UmBv45up5faw1hKkA7KVpW+OWo/bSL6
bmN7U1MJi5hS7FFz/L7rV4Wa9QsAMOk3++PPuoQrnDOdwDzLbv7zD9szG9WojmqnoWBgApGJmsq8
9MmOPhaVpTd/Y/xMNi2TQ52b/TbN7ENjyEcQnW4Zv0B4+kprEplKFk06Vkn3/6Zfn/Z9Clfm6Imh
z85+4nK7/Zq8ETZVRFOK2dYXwSQsd7JiGZ5iMkJ1ztJvlvFPvhbeChm/kwr9VJf3xrG1u0qEea1B
L2rM6y6V/Y1tprn79QT8aStUWbFh4bv75DKtFbvIe5JxnRAg+1kWJepB2kbRL1+EGTv874Ti8VJz
vd8duyFooCmZCdPcBM0Z19TAK/00fjMZfvKFNAH1HdVQ4pSclbut8Oip1jIZrlTjm698wWLZGtT0
x2VNBJMM8+6bwZs/we5ez/TG8Snjf8E81/capB6lknDvk58hUYriyFONOm+PB/INRzehyq8/lfmT
1kiUkDVGkr1i38cfdomplz6tUUJsU+EcUHieUa184vcFXBjDPut62f/GIcPVd+7FTi8R/+DyzZmi
YmwBz98d1qaLJnVC2pX4fdlcFwpI900jwuaYdB4B/KXQKXfM1Fp6EFmenCBM3ON7HwtrmUpTZK5i
O4NmZOZNeOlHYrQXtUZVApRGjULoSreQshR+ehUXXikWBqJZ6G4akPZXmHFN4VBIFVx5LAWUCJom
P7IKSkYcn8JmChENQ8eBJw3qjVrq9UNKKRvsCr+gDKNtcnXlm5NHJk2jaS8af/kkLrTJQpPKjHLk
g0E8uJpfxEQkW7PpQITl4zV8CeWgCuYMixzN0EM5ks03W7KheabCa9Zx6UXHsId8/IfCs30nqPXo
jFSWNHP8sk82FUp5/rIpUcTMNZxZi7bFVbxAQDA/pngCMc4gLCWA3ZWpUsQQRf4D4vEFJUk+ArKL
Wo7E0Wig/XVIFaCFJ6zrLAoGEJC8iwPQ1YyR115zIYwf2q7xkkXK8RgvfNCGl21eRCOAKo77BR6p
8F5HLYhKIdXIx5UyDfWrr0gIUep9HV/bViLGgyxrLIDKU3ZBRhPo7JTCietO5CH1/kkTHrWFYeZO
1JldtSipsNok/izBoiqweijNaCDdykUpnev1FN37Cu4mpwlyq6WmhPJ4x4x0KEqSBV6WIjUJQeba
SMu1CXmyICFM9NOiR0wypNCm6DdwnathYQWa6JG+DMKHUTGCB5BXYPqqelD1AwnMQue25D+81eR+
HWMLM2hjDT9Z1suhguM4+ccAwpp0KSLTeopQoVIXse+bqdPMhcMOQhqUDTVa0jybRY+8QBrG2l1X
jdVTP9b6Cfwd47Eksm0e5UDH+kXbmSXcqRbludQ2oPJQjlhf+h5sRUfVvBLNZMplkRszTIr9KeKZ
gCeOXWotu7oQB3o4BZKLDvYcS5dFBaMupjFHxJY4qKkseY7VITm3IeG/tkFi31FUGw3OhIP3yC+q
9FEptPqOSJp0EyLx9OJnJKABG8+tyDFw+pVL0+zkgyDUMMSMsNPGpdZmGuF20YrByYJOPmtQXzOc
WhfKNViSTqdeym7OgQkXpoOBB2UEZEfNlTEwkiPBBHoPqNf03MGXagSRILrztWLhX3Xs8NfdaI/3
gMlb8MN1C/iSUpe+WCSa1fROYJbqEr1TPV1xe/SjVU50FIm2LgB5hqu5X42TVK9tdZTmXNPYzLBU
26Jxek2bbtOkK498bpPhEuUF7XU0O4iqJnT0eGPYXQndcdA9p8J2QxkIBjhYVL+iZCWwp/ZQxp10
hzdp0ldZJ6STkkrPRwl0W3NA7kJ2JHthAY2Y4q2L0LISbVV7jX8QT2UUuYQCLUi+FNzFK4nsnu6g
V7EoVlM9JSe12elvyBIOl0aZTQa4ha6i6JghoII1bSrZhcKbXEslGnwS1e5nal9TuOqPaefP4nmN
4TRJaD1OylCephHrEWmP1LeXxCxzfZVWSnrYiWEwnaKWRnsZoqJrucLcQuHRZKsWYU71m6vgTCDZ
ETuEsdM7/bmb/L5CCWoabjmEDHPd1iMQr0GRsmGlSKpOKa2aDtlqsOLoHCaEJbt9q+vXrQJE1S3E
GKDm2lTtaT2lSJJ2yE3HTqGavubEsVTDUWLRK05fTMRM+7RUZDRNG0Dz8Dxfw0a3gGWgX/fQ1nV9
PonCv8jB9T2qXMTfYe+W7BpD0uKBU9LEZeLEyNkkKFE4oeZlb2FYAp6p8ikJzkqZbFjiTeN4Fc3y
jaQ9R/4LHJT0HTyyhdYuRnm3Uca5rHcIDJt+N92t2rT1oa9Tdomy1xBda2VtPGHAl+EKGHd/SvRf
efeGNDuTIBMOS2sc86e+ZFEv2rgWzzbgmGHTcussFnEfJ4/g4xGuRilrpvtw7XZDgSrbYROG7Yvw
kP5ZFJM0PJOrNMgrm/E+0UH3eQxdyqw1yKZeGSmh+qU3VDxT8SW40JZk9/FaTcPuIog86YKorPQ0
ylN/OgcHHvschDEickK5zagqbAmkhi2RDAOpaRheA/7RQB+IglBtR6wxAZp5KLK0fcGYaq77oWWy
GVbWXclIi7wg682JMPRQwxd2opRPvtGNbI2Rx0miQ/PlaM6AlgAuCzIUfcGsONyPvdvyT+VlKtI4
h9dNE6cXQgaxD3W1FplbDEkROTECd+eVVjevHUraB8OAvnNQxV7itBkfjvk2S0AXUNmuOdiMZ0i7
OqW2tTLc+p2IHoqthLTgJMocc1aWlobKeLS3ctN+XFBYKLYy1LqQukclRtzZQbIYnepOg8xCBkJy
HG+FrAOzp/R5zPuK0dmKXaM+GN/EWwlsu5GQw/ZItvUWcsnOR9EklC14R4hnFx5vuoCui6i2nsBf
5nVnse0+mGGI8lBkkztizKorFBrhAloUY3YLNACA6dphpwYrzSgo3WN/1289a9LHjUHZ5ZUqkcy3
9KUgR5mGDLuJVP5ZJtzrPV8sxKweTskzvaisIJ8lF1KzpjBtVhwHUGHd1Vsd8sYP7Mpts44OaFut
8jHs0ObUthrmWWm3N8MsbF4TF65cybcUwbDU9oASKTLoSA+qdyXVfEdaN0aPeKaqM6lGOH2YJdSl
QKHCmCAHyupkvHvKmnM/OikzyWsdqj5jaVHNsuzeVqFdVVsKRj0wNGhYhwYo7akogGAToZXdrpIK
HUugj6OFpCH/3jaJ+lw0So5CdVxFNQM/WGw6iMbLZBVD4GmQsVsbcdczD6HSkNK41ZsnT0vxLDfE
4EOoBmd6E76odqyZAOLKWFrFXZ7nDzb3r9CVOF9yF5SxfgWN3bcpRvURch8phIVaGTL26ybr/Lfe
kkEIR5MlTSupTdN7zE4qmrggJNO6bmJWjDIR2kIkKQ+9zQCrn2UHfLiG9d4GUMyFVlB8r1rVS9Tp
crsixphMDscS1bhBGiE/EYapFB12eGA1F7qkTUE9OpepiWMCzMkhjsSaTieRHB21IKsgFVH1HwWt
E0LEsy8tFA0A4/dNZt4PZepfm/FQ9Q7u0yr2wcdWhn9AjEOabi2pKo2zhpjbdFBk5ZQcmllCHmgc
tlgXTmhbanIkJUZOMWYL9n8NKnmMLwIRAHOMICa6vkC4+7DD1lYP9VSPm1ctwMhEoaiSwB6khDAT
CjnTFoFHmFbjum+tkAxAgmS2t5TkUPbdoCs6hCBiqlQe0IwvvGFDoKUskCkR3mgfkn6T1seVMmL4
sZ1o7VWCfdMeDR0U4wsBmpCK2pBkm2rJs0W0GnO/t29g3JJs1uudZW96tgjtUmDyeE5PjC66ylHM
Tm+sXo2RrVZMOfbvzNZCprExQ0u+jzKQDjLrBGYnh6fOlYGf1K2DWishgWZpgMwKYlyk3sToQcD4
5BxVoEDGqJxgpKUQUDkM9FVoclyuq5R9+lop+XDH7QTa+NAM66pDSaOBsDaWodndKEo8TedagAcQ
rd5kKEjI68nJD+H5ZmbQvVmeB8cRkn2frUohpQDo+yaQbk00upKzkuRiwI2okOuTaxS6J6M9Ps6I
3hbu5mNTEP9GQrbn2gL3C+JLAEzZr27zHsD20m9JPrhGwBdZHCBlQloHFWJVJ4hnFFqJfmcnsRug
eHNft8oAQl8PlHglvKnC0jP0+UJWNzPqtBh8GubzhQcFEleYU7bplcpCwbqoTws569hcKfAASNcB
YJ6OGg8fwrst22OyFFC+1ScDyXjrJDfSprssrEQX66ZCqBKrsS67W2opzPn479NkvBuVpkNp1DRb
rzqD34fLHu1d1J6dLAkqrnx2mDevcmzFmGoNoX48EnoAqYzMPSfLRXKQd2E3HaiRpKMk3yl1OiLr
UGbJKgyCODq26yAEONlHZneuyAMy0o2htQ9mRynDmahwnC9EVcntK4Ucera09K67GyKVLdoye610
NatKQd0nk31JkEjJlgLAd+4EIwnBy1KGNLxuy0CB06s1JjcKW9MreTUN1WA2UBQBkiyjyisLTDog
5OY76DPFOx1qCfOuGydx4w1d2DsZVv24aoF8w0dXU1O4jQp0+4jsAEos5FRAHLbRF0SqtYw69brh
I2YrOAUposZoo8jPip1oxsYEQi4ooW4aE1WecsiTi7G2lGoB+rtJT+LI8sITgIdkD40QpcGzSf1U
XOHLB1bbSkIHv9gVUXPTa3kWofQGSA+wSQDyYm2Tox8e+G08UwdEL6RV01fFu4fa7b1iTlO+8KSq
NQ8MZI/TheyrcIw7v/cvbTtABsoHxVw5pSz6BNpHGecO8m1UsbX4vA8JyYrGAWvKNQpPmqSc1xmB
G2q+B+6shQX6YyFnUObd1sA64r/QxYOkyVmtaDdC1wvsyMDI0NUItkk+jN3zMMaZfQ49ovaew0nJ
ApRmEmEdwR+x4rshxqkBGVoes+NAIKFx2vHi06mkqX1/kkI14PZpJxVYY2xa2A5aQNbmppAH5n/d
F5oBm0M3wZQOUExMbLvJT2+BiErF4xSVw1s49DpY38yjnUtLbti50hCv+DJFFvfQtKqJjQsbyBpv
Wohr5fsIozz2N2Fj18q5ISfprQJCxVwOreyda0XGXT1sM2/ZFhF1GwxY9O6zpGwUxSNLrAIwE9UC
taw2dOm6dYRus9UcAQDm+p4IWztEqoHy+3jQ22NDr0AJNHVmZctSh3qBMEumvjc9knsuDgZOhjou
yhe98y0uYrU5nEcmmXSsngQOZG7Eno7HDvLpiueRZadKvn7PFTef1lM7JDeKUINpmcK4SB1YNjV0
H73RjsfIz8Uy73K1XtdzvRPInjhp17BnEpWkEfQOl1UXm+9TFa2BNubFujWK7jhvZwJgYSMPxdmc
9otJ6b16CQS/RLc7juIjMwurENalHffLUC3KpVJ28rOowwx9rWhe55VcQjmxItMOV0QoRzekZOua
L4IXAbPBu2xAtGfQRnu1cqJy7F6MXjFeB9PPEkfqhumyaNIRH5uslCdmBdLQQQ1Iv2uqCLC9qZP8
Vw6pMjlNqIZPIFzyelWG3WCtuVNmxWklyQVklFAeZB9B73B8NdGWZzMXoQdrXULO9kmfUv1Ytb1+
cuwBHuBSl6PuCg9JqSwRtq+uEkj6iJ2pUzg4vVK0t/BTAGVkPcm9bk8C3UNl2SaaIT1qRA6qIDUw
V1HI7+iVj9pyUIhZOGMvN9MmkhTcrlIVFW98uARkxSghW0+pmf8IUl7CMaBV6ChRdB/dK2EKfAdu
KYenbxfZY14rsVgVnTR6UJk66aHPpkhCSziPFeRv9FZVlqPwsUIiLomtU9eZAjZn6BSGeKg1PNhZ
XjybIspTgLhesLTbIX2r1bDmDpu39xC+WtOBEQIMehQShnnAleGGOr4+XljQmzS3hhMJOmIwwms5
rBCGaRrN0h117N6DDAePMxYgNRGi9rXXSsy06IS5cya8gQxGA8sY76XVxDFIyKw9GjVdeZX0qB0W
vW2210pPYtkQjwL7osTdt0laGWUVvU0L5VBN+gBCMryv16yJ0TOv8iq8zxp8SNx3MPpdKZKnDCte
G3Mop3b34FmxUsbcFLA3NHg0MTKdizZRzaNJVKJYDJ4Pt9UXkEjgd0YNF+DUzh8GVanAVMAMJngS
Jj73M9EgmRGnqTFB3JbYbJUBqxa2tm+p7LO9jjOzGvvKoSQpNFBRHr3XAVoKyhSeZqfs6pFULGzd
EucYQ1izieUNqG93cv1WhgMta3nqp05ocW6TFFeRtdA0ih8foAsoWQh3hJGxBOITvkugXeDmW5F+
P8R2WLte2pYs9rjtJRdVdhzEZdlVwSnyeii7emxp/UloJeCEmtRKeieuChW7Ky6KY2xF1CMDWLGo
Ysr1dKeJkkisOVZt56B1wSJBG7QE7kJR10w3Hsw3v/V6IODsqeoGgYFYwA2tKG0L/bx+Gqd6wNfY
zdivRmugCmaNqCGhEFxDKkDu0WAI8LTgkdG15KqQkzE9laTAipdqYIePTMZkdCyOXMU1uBStRVBE
7UFXGoh4WDj60QrldNfJT1V81TURKPfXvZ0X09LzLK9atbUGVJ+gYqa7fjMU9SISZRZwxJkoDFmZ
jcuiHao8wIIFwGpXqSqjI9IAaaLUPRncllBatpQgIzWuaTcGNN5YC6qN5GWafQBgRX9rQ5i1S6Sh
BjK0LN+/7Bt1QEcthSfdloXL48lphLtaUyZqV9CmtFYfVVfulLRaFqrdjcga5RUon1LrPNeKJ0Ne
dvoYvqddaaHpOkwiOEgosEMcg9tKN1xBR6lbpyMVDrdRjX6sZ3GDcUgLlN+s1Eu452MuHhWpPNRr
MaGdtDC5fSluI9TusmlNccPygBJdESUGCZ4r0LWkpD2lrBU/hpTGHQEuCVkXPSp8F/YYywev102k
5qrKXLDkB496pXBp5xBdYOCRlgR0LUqSdagM/O0hypAS0acIT7iSmzC8qiCUJddKPFy7eEukqypK
Q5/DPZdfFC80EIvEMxMcTH2TDOuQ6Ie1ULusOBsyvAAIZ+EQ4cbQjuAO1M4+iuBkT0dpj0HucPmV
s03R6KmPUFjOXuVbtXVjFbbE8Yc9FboTGXuNf0lgI0jPK24bpyFMuMA1od6hADTmL4Vkar6TNmXy
bpfldK0TpZoWsxSmgm8tTIA1dQp5V4M2l9rrSMB1LYXNqN1nG9Oz9JADjUHGpzTWZ0PbToC3sxED
CZ5mfFTBibKXqWVg9uqDecjOOd2XOrVsaIEWlEpj4/XdGpeqtGkGAZorR8ICx5UEG+zP/LhfIuGc
FW/ZFTKxb83JU/Gf8199yQs0gf2g2RJP/+d3Z91bRXLQ2z/4wfofqzZ7fWrCPNv/OzuPqP97+8f+
Wz5jU3d+s2QTbsaL9q0aLwkGJDT314vPP/rpT3kS7/bXg7bq39f53/uhrx/0F0Tneize/us/XihQ
b+b38+noR1bOjOTcwets32jbma8ekDBiTfvKk7cMV0KtNoAdSrr4ReAuoSTgx58bMF6NOVGEUvPt
L5IPaPHDEP1vg/B1/36M9VeD+VUX3raf7eD1v/5jJlL83hgo8h+kMvFrzhn52Hld/EEWIL8IqG5/
/dnUv1Hn5zjsb3Ve+2P+7gp54btdN9U/bNnCJzjHkOdfxNH/vb77TLX9ra5LCp/dNkE2kGnw8bOb
9h+CCjEbqtOfff9zkP+NPrsyx9d/r/PGH5jGJBVZFN1vf+0Pgv6HTKWqDkFnuy/MOWr/1wnwfxip
f+6jThAmr9sdNHyrP2zD3/7Aj/3l8wP+2jfmzQEvjab8k/C1/dF5S/3z4X/uIfPv/3tnh93ubh/+
cN7xP/x252frTz/8V+c/tvXxP+109ad9+PEfN+Fb9VS94EPe7nV/9er0KWXf/n/J81MWPn08C1gO
//OSn86Mf06WL5+aveaUtf540DyAZC7+9lPbGofezlNnsMzvPnbxxuWmTX88aH7ZuVDotx9LADt8
+sdT9vqPzVs1vfl4DLOdl59hRL/dCtC7qq1/PGj78qQw//ZjYTE97Y31DIj53ee6b1n6VMU/HjS/
7pw49buPPagYhuz1x4O2j/0XTLglrum9xTEn8/7u2zrT20uwO4/ngqbffewqzPYHwWR3/+3HPlX5
2z8O6vnZO/PM+hd8uFX1lL28/XjJ+bvNNXi/+8rr8Ll6SlBG//Go+cH2v+DLrbHus/pt3Hkuttxv
v/BblT5lu4/9V4wD16Dd0Z2rNn/3ZR10lf8/d1ez3MZxhF9lb7arorIACqR4SRUBQpREgqIJkK74
NgBGwIjALrQ/pEFXqnLJQ+Sckw+55Zgb3yRPkq93MRR6do2/aYsxLy6TVPXMzvT0f3+dcvbFpAV/
um8B7K9idgg5Sonvft8NSsKhRk1N3nRTNeG7pd4bX6rvdewwWI06I7zJqhB+7lxzr09CA52p9Nbh
hlcCp3tm0nHmmiY12GDeR9EFboS6cbcscMZnBnI91QAE1oafM5Wl+97gWfaznvajLB5ZWiTV0INr
f6x08Tcy19CMPMSZWEI5XWp08t1yJwrVILJ0CrICT6RDsp1RJdA4382e63Ss45KWy4vUvWlH8Z3i
skJCNV9ErsIHaLz/SVxEiIuN1MRSyi+O/HrfY7iMoOX4w4Nj7E+XXrR2CVOrnO+Gu7nUROcZY+K6
hNfRnSkuJNDVLrDhWwWHLmaWMIIPAoTv9JArj7qEk9S9M+l98ersHonbULNnf9xdql3dxDhiZlzW
JfTHFTAb9DA4NeFoGHG38ZUAz13DuBqA71qIJttDyM+kIXAmkMhQUHoUc4aW8Gq6Ou47b/tAQBjB
8dBB9BHGC1ep1F1mj2d3HjmHqBuD9kAPXU+PWnoElNVphEkn7LQRJQVA06H/5h/+TuK/yjUDFEHt
NSrlEHZFByMGBK5friq09BieL4fGeNh9+78vRHPO2KhFeY6htZYK1ZDZKQTI5auSTuDTlfx8CeXc
0T8bx1ijyLjvfruQwWlwgRAkMm3Erh3zGZMaePqpTlkB35UWcrmbqlQnllzOYASU4Uu9BQIIKgRH
Ux1DPluCOX0MBFsl+LGZjczwFiJu/b52BN1LlLzm4Ci/+QUF/ad7wBj1AgVio83L8Wo33o34c4jP
KIW6+b+LBjiDNf/m/yJ2/tHlBKATWcawOmnxyRuywFGIqNWADABLhxgMWbWS5NiSbuKoZgBa2BV2
22k7i6MZM66KFInz0LbbZqGOq55YriO8aB9R9kBNnHPA0/U8iG6EkugqsbBX26MOcf5stzuPD/QS
+I4BLQ6sdID/NF7toYsf/c0lt2G7NS5QnTByjZ99NGkDPhRwYsB1p0GKhEPIvyT7UkmwqYADzyiH
Efdfo5EeoxdgmdeBswIM/1Whkk0XaiJCYAZBWRWg4RGPiTq28X2YgnDYkFiuo5NoFqVqyq/qAEgV
KHYDTgVa3QGVhuFDAofYUaNxrPuWEsmHg709wGCCHQjY/hBIEgQi4X1bj+oo+I3QCEAXDjHHg1DX
wSF1QB3trV326bQUQN3w1DfRUkuc/UfQQlVyTSL4AWH8MZrcLPwLe7PEbwAFQ3E5IYXClQFMdIOq
CH6T35bT/cxR+DruBenkZ3jrkxHsUGYlCBi5R+EIIUV7l3TVJeW49Dg2tGmaUZrcwRdaJkv4g6sZ
pqjnWlVk0ETIj8UEaJqzN9EMnRdDYwnREewJkG2NFYvJScShLvUs60+g5hAdQeg6QGH7iAUaaKSC
73kc62k0iCkkFaxfT4ADW6hKiSPuHeZz/GDUpHNrqm7PhK1oGgEs3B4I3WtDICz66BXmrkD4eEZs
nVUmxoZvqKVmOrjW8ZBZ3CuNsg0pH38ySCqljOP3S17M9gfeHs1n6fIx7K/VEeuffPtzptB7ZeCH
n2RwJZlM2ReQKW0UvMecrEQQs52OTTTj4prQt3xfZw/P/kRNnbjr65LXsf31nag+f4TrVfz66zsZ
O2qg7HvtsNMSIwC+3P9oWw//TnUw/ObdbWRi9uowwt6f/KkO54x7Kxzy7c/izPRdq6BWDknsQBcO
DmB07GeT9EQM2/64u1TGfp1ToBGr2lPWdxB2HalkwOt/ADMrQXoepSlnh5Vez4ZSGCltdcdkcI3Q
Df1PYuIQFRDCHSjSgRMpboicbQbpa3gxI7oFJI6BKLuRlJqEmutE9yR/EdK228wfx74AG58bmPiM
qoTKyKlyTZSDjvuyWqGPMeAsSVTGdl0Ogm0vgC4ffs1Ct2dFopjtEp4JT9IAi9xuf3fB1tXzwVhP
Jk4iQqJMbhFvLMWeAd0osW8kh3nlByYJCNCl/I8KznTkJOQJqN6X9booK3HjujRMyJtuNuS5GIS4
/Kn2Iu6l1anvyHurD/+Mgl40ffg1z7FdxA//CgeGx+cxTcZ/oR6eoRPCRXpZgK4K710BXZfIl16N
Sg9cojyxmcU3KOcP3qiEmUV1iVI/tGYYx6avE9C6L5dgABY8+ZCZBMAe9if8U8kHwcwdAbJm2lf9
O6ZaAXXvT7iQod3S+6YZXr6H3DRx0IMxx8rnkKfxp3zUn2t2d8BIRYUHZpYAOxQTjlCFvVY+PWH8
nTycZxiI/TiCV2sSmJf2hvOgof1hdxviCIVxfWU+ccINAcLxFKFT5n0KuAVNFY4maqiTsd0hnYNE
IV9nrqhriJGV2PA4cy9NQLQ0ET/mr3RPYK8Ii/ajIb8zCTXWjU1wpsIbxgwSEQMkenjEX0IvvkWE
Ozil/3SPLpfZIR/k4iu436FpMdSOcVOjzngByvzqahJm73s146KhRuM+ffd6Oo8B/+CKM2gZf9JF
dcdp5ARYgZ7uT7vQ6BW0BZ70qbpXACRzhEVN4l2fKZ6TQL2m/1mgnFVFpSdCHf6+zIHyYSQIHV6W
sEwR/xqaW+4tY/aUwI4RWJu7b1oiFXGuZ9xPxrAQ/+1eqBi1yJOqml5MHpWgf1MyVTBcSIAwuu/N
bIacTGKJ5ep/ZSXKhsHRLirt1Qxig1GuCXBHb6yM20JTrwvo6576ZMonDXPdfsLuZmFPGcSsLJ3C
xpLYMRxaMgtdMYdBJ3at3fd8dd/XFcch0bt2bXQaKt6GISHqPqBaMLoN3gEhKJsF3wdt5B2jNKuo
hsGYipcCF7BY8DQLVTKGD/l9YP/XVC16gEnz/hfTnSG3P5lXyRsUyknYPh0zHKKDo62S1G6XeBZD
ZlZShxTZqGZ6cWrdsblBAV6IU3v836JlfXlRlNGiDm+tj7w+kUnpmrnCBQGn7r9/+0dyQz+dxHMk
nrCDt8idTpW9NSYPUYO2vyeROesZ1DO8ONPoNV3+QowAO8QcH/ur3V9sV8MpuLHsnnx/bFQ0h79k
gh8IKIvFvA4PGhjBJLDocXQzjHCAPXUDN9JMmVcCgB3UbApc3qnKANnJMCgw4BtjqAmZxtdCulAv
JubFAPAOL5Iks/SI4xdrCMSB0JU4qqAsIIPO1CwdO2ZNcTRrlcDTBZby6vhnGFiqbAVorO+Uebqb
KCren+FVxCOSCzygsVJ9bai9mnCmHPAEia7GZqwwi25ZREjkmFow8ZmykdBjmNUdufVLEuZbe5Ap
YFAtn4FEN9ubWIeDMRWfOZVMEpmDNwpDR6hFrgJs50BA8Z1kCKQynQqdZE/Iw1SAFQQLnLEGJub6
EyZneJQ5uAmvGwKEdcxVs0Rx21WcuZvF2Gf/zV6jX/seHZPs4tB0sY7y06mBqhalZ6gUikbQMOiq
acQuR6JgoglEKKQn7SUXsRT7k8dbJXEbhVUSRiLC24oGURJ8e6r1BDGb76qWkSjwywPJQOJC4z5q
gZGFrxCYEvg1rSiy7S/Mi2ustYbXu5BvzCdj75NuVyJ6+AYYHfDnAU7RzZugc9wEM8A4WDet8Vog
5LfQhQChmZfpC2QiFvTzyD5dNmnGx/5Yylo5cHQCiuEk45Gkcm9l9qXrcUMb760GHsuCQ4sG+MEx
cJEm9neMs9BDa5li90d+Cve2j0IPSyn3PiWKf1rjGPHBqUoWn8MXENj5ub4LWmpSAcYhgVBybpwq
TYnS/msVoieBmxOEA+wbSDhXCDxaMvkNSrxZOuCfNKJXHCwTYCF2qd3Z7sKkA2XwUCukMTp7BRZQ
s0yhGfWuovmjJhO8mbi1qwJMDSWVIKhSndQpN/ZvL2EKiI23eqJD9afgKBkAgg61srmw6dGLRVwU
gUnMBxlzg0LChe1FN7BNGadiXrn/ZfeQauS7lUgT9zIAZDmbFeDMH3G9JskPHMO0EMG335/bbRKV
/CUjsy4RCm1Rzg5TEB4twuV9N9DUfXCADm/gdiM8+gqTKeyfdxcSVwV41sI+6QBZLQ4+YFDjHPZi
leDAolj5JSGIo+EYmAfru7yezvGhFnP/ZuPl/dNBA2N8+Vdt6o6xEOfMrbJ/sb9c3Tw7Mffa3mfO
pgJKqxVB2ASXDnyJRIFAewI/a3LrxnQOBOxMGH2pRgU5e7QSchnlSkNCvFg+ZTwk++Puj+gcB5yH
Riypwj4QOIsLeFM87VI7XEu2ijtX8KwgdFgVTInlfgpXDhfvB+7YF3tsDUb/8tesf37L/9q+v6Xh
A2wzW/19YUDSzVZhpDDCv/tXFu5sfqL2I+wGVgmZEx3FI14tJFHEconh3pxqXSLl2Xv4D2r651wo
rge9r+KAr8P9VWA29lqeD/dXoeg8w6+sgPB5fl9ZhRj0/L4S/ecFZN/X/bQdhfRRnPWZ6VOzVsXu
BgrCdAbJkNwhaqq470ayJVYYYSglt9kkKgJptzAyuc0mEO4lpIamGsO4YqQlKrZbag5Y7SrnSaK+
ruVwh4QzexxN0YXGMQ4lqtks3WocFolyYqCvuqCuEojrcEGGwETNeMOmROP0WwVn0T633E2QMJXe
g4+d+6vVBfxHhMqoP9HtppdA6iHk64SakFN2Givx/zaM8F9gKkwakdvLyuLqNAXwi9ux2yStIrZ3
atK0CC+d61vDJYhE7Wmxylk2cMxqCQBsRCBDM1TDIhwZ9QE2aY8lDztIzCDpoXi5OJ8W+BIpyIoQ
dL2MeJptncwpDuraYGgRUI0pI0XIW4VUKNW+S6Q6mwSJkYyDawNPqlLI1yVex1V35QoCjNxEzssB
0qlLRG9aiLCg3YWxlEQtaldxq6gukdRBJ0MatAHYiOxcxp+xxASwgjthwqTjh18nejpfPpWGRFlC
/gEdhRX4MAg0IUs01RQfUGiB4NtiONh3yx+xh5j02gDa03nkRVX7H8LshzFK4zGWD1diAElrPnPG
EUrkKU7QgYeahtjM2H4lFOw7TKBjRCWQQ94lsdKsALMmcbjY62e2V4kRLO+jeOgcgUQN6ml2B9OT
7VYCA+FMY14pR6YDzLZdZneP9QNcKEslN5MlYCZ+ALR2zKhKFJR0VTY0wVGsXIgQidqRLkals2hA
XcJFXWT9aM9Be2qoRolrPwnn4Uc0w8DHDllnByC47QXszhx/0eiMs2Ryo1ViaOl5FIDpvkkCtxoD
E1vsYrvv+YRmgwXdrD9EAQDmFLCn+Kr+UkIsAwyoX2VqI8kFeSfhGB/1s6CTJYwjF9QFzuiXy3a3
fXndPv5rQMxDRWYl/kf4GcnnPcCrvK7TkOtXv1vlbZXZspRKWqSBBxPUk/35fwAAAP//</cx:binary>
              </cx:geoCache>
            </cx:geography>
          </cx:layoutPr>
          <cx:valueColors>
            <cx:minColor>
              <a:schemeClr val="bg2">
                <a:lumMod val="90000"/>
              </a:schemeClr>
            </cx:minColor>
            <cx:maxColor>
              <a:schemeClr val="accent1">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sz="700"/>
          </a:pPr>
          <a:endParaRPr lang="en-US" sz="7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hyperlink" Target="mailto:KOLLSEMMY@@gmail.com?subject=Business%20Performance" TargetMode="External"/><Relationship Id="rId13" Type="http://schemas.openxmlformats.org/officeDocument/2006/relationships/image" Target="../media/image9.png"/><Relationship Id="rId18" Type="http://schemas.openxmlformats.org/officeDocument/2006/relationships/chart" Target="../charts/chart3.xml"/><Relationship Id="rId26" Type="http://schemas.openxmlformats.org/officeDocument/2006/relationships/image" Target="../media/image15.png"/><Relationship Id="rId3" Type="http://schemas.openxmlformats.org/officeDocument/2006/relationships/image" Target="../media/image2.png"/><Relationship Id="rId21" Type="http://schemas.openxmlformats.org/officeDocument/2006/relationships/chart" Target="../charts/chart6.xml"/><Relationship Id="rId7" Type="http://schemas.openxmlformats.org/officeDocument/2006/relationships/hyperlink" Target="#Data!A1"/><Relationship Id="rId12" Type="http://schemas.openxmlformats.org/officeDocument/2006/relationships/image" Target="../media/image8.png"/><Relationship Id="rId17" Type="http://schemas.openxmlformats.org/officeDocument/2006/relationships/chart" Target="../charts/chart2.xml"/><Relationship Id="rId25" Type="http://schemas.openxmlformats.org/officeDocument/2006/relationships/image" Target="../media/image14.png"/><Relationship Id="rId2" Type="http://schemas.openxmlformats.org/officeDocument/2006/relationships/image" Target="../media/image1.png"/><Relationship Id="rId16" Type="http://schemas.openxmlformats.org/officeDocument/2006/relationships/chart" Target="../charts/chart1.xml"/><Relationship Id="rId20" Type="http://schemas.openxmlformats.org/officeDocument/2006/relationships/chart" Target="../charts/chart5.xml"/><Relationship Id="rId29" Type="http://schemas.openxmlformats.org/officeDocument/2006/relationships/image" Target="../media/image17.png"/><Relationship Id="rId1" Type="http://schemas.openxmlformats.org/officeDocument/2006/relationships/hyperlink" Target="#Dashboard!A1"/><Relationship Id="rId6" Type="http://schemas.openxmlformats.org/officeDocument/2006/relationships/hyperlink" Target="#Analysis!A1"/><Relationship Id="rId11" Type="http://schemas.openxmlformats.org/officeDocument/2006/relationships/image" Target="../media/image7.png"/><Relationship Id="rId24" Type="http://schemas.openxmlformats.org/officeDocument/2006/relationships/image" Target="../media/image13.png"/><Relationship Id="rId5" Type="http://schemas.openxmlformats.org/officeDocument/2006/relationships/image" Target="../media/image4.png"/><Relationship Id="rId15" Type="http://schemas.openxmlformats.org/officeDocument/2006/relationships/image" Target="../media/image11.png"/><Relationship Id="rId23" Type="http://schemas.openxmlformats.org/officeDocument/2006/relationships/chart" Target="../charts/chart8.xml"/><Relationship Id="rId28" Type="http://schemas.microsoft.com/office/2014/relationships/chartEx" Target="../charts/chartEx1.xml"/><Relationship Id="rId10" Type="http://schemas.openxmlformats.org/officeDocument/2006/relationships/image" Target="../media/image6.png"/><Relationship Id="rId19" Type="http://schemas.openxmlformats.org/officeDocument/2006/relationships/chart" Target="../charts/chart4.xml"/><Relationship Id="rId31"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image" Target="../media/image10.png"/><Relationship Id="rId22" Type="http://schemas.openxmlformats.org/officeDocument/2006/relationships/chart" Target="../charts/chart7.xml"/><Relationship Id="rId27" Type="http://schemas.openxmlformats.org/officeDocument/2006/relationships/image" Target="../media/image16.png"/><Relationship Id="rId30" Type="http://schemas.openxmlformats.org/officeDocument/2006/relationships/hyperlink" Target="https://x.com/Kollzemmy123" TargetMode="External"/></Relationships>
</file>

<file path=xl/drawings/_rels/drawing3.xml.rels><?xml version="1.0" encoding="UTF-8" standalone="yes"?>
<Relationships xmlns="http://schemas.openxmlformats.org/package/2006/relationships"><Relationship Id="rId8" Type="http://schemas.openxmlformats.org/officeDocument/2006/relationships/hyperlink" Target="mailto:KOLLSEMMY@@gmail.com?subject=Business%20Performance" TargetMode="External"/><Relationship Id="rId13" Type="http://schemas.openxmlformats.org/officeDocument/2006/relationships/image" Target="../media/image9.png"/><Relationship Id="rId18" Type="http://schemas.openxmlformats.org/officeDocument/2006/relationships/chart" Target="../charts/chart11.xml"/><Relationship Id="rId26" Type="http://schemas.openxmlformats.org/officeDocument/2006/relationships/image" Target="../media/image15.png"/><Relationship Id="rId3" Type="http://schemas.openxmlformats.org/officeDocument/2006/relationships/image" Target="../media/image2.png"/><Relationship Id="rId21" Type="http://schemas.openxmlformats.org/officeDocument/2006/relationships/chart" Target="../charts/chart14.xml"/><Relationship Id="rId7" Type="http://schemas.openxmlformats.org/officeDocument/2006/relationships/hyperlink" Target="#Data!A1"/><Relationship Id="rId12" Type="http://schemas.openxmlformats.org/officeDocument/2006/relationships/image" Target="../media/image8.png"/><Relationship Id="rId17" Type="http://schemas.openxmlformats.org/officeDocument/2006/relationships/chart" Target="../charts/chart10.xml"/><Relationship Id="rId25" Type="http://schemas.openxmlformats.org/officeDocument/2006/relationships/image" Target="../media/image14.png"/><Relationship Id="rId2" Type="http://schemas.openxmlformats.org/officeDocument/2006/relationships/image" Target="../media/image1.png"/><Relationship Id="rId16" Type="http://schemas.openxmlformats.org/officeDocument/2006/relationships/chart" Target="../charts/chart9.xml"/><Relationship Id="rId20" Type="http://schemas.openxmlformats.org/officeDocument/2006/relationships/chart" Target="../charts/chart13.xml"/><Relationship Id="rId29" Type="http://schemas.openxmlformats.org/officeDocument/2006/relationships/image" Target="../media/image17.png"/><Relationship Id="rId1" Type="http://schemas.openxmlformats.org/officeDocument/2006/relationships/hyperlink" Target="#Dashboard!A1"/><Relationship Id="rId6" Type="http://schemas.openxmlformats.org/officeDocument/2006/relationships/hyperlink" Target="#Analysis!A1"/><Relationship Id="rId11" Type="http://schemas.openxmlformats.org/officeDocument/2006/relationships/image" Target="../media/image7.png"/><Relationship Id="rId24" Type="http://schemas.openxmlformats.org/officeDocument/2006/relationships/image" Target="../media/image13.png"/><Relationship Id="rId5" Type="http://schemas.openxmlformats.org/officeDocument/2006/relationships/image" Target="../media/image4.png"/><Relationship Id="rId15" Type="http://schemas.openxmlformats.org/officeDocument/2006/relationships/image" Target="../media/image11.png"/><Relationship Id="rId23" Type="http://schemas.openxmlformats.org/officeDocument/2006/relationships/chart" Target="../charts/chart16.xml"/><Relationship Id="rId28" Type="http://schemas.microsoft.com/office/2014/relationships/chartEx" Target="../charts/chartEx2.xml"/><Relationship Id="rId10" Type="http://schemas.openxmlformats.org/officeDocument/2006/relationships/image" Target="../media/image6.png"/><Relationship Id="rId19" Type="http://schemas.openxmlformats.org/officeDocument/2006/relationships/chart" Target="../charts/chart12.xml"/><Relationship Id="rId31"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5.png"/><Relationship Id="rId14" Type="http://schemas.openxmlformats.org/officeDocument/2006/relationships/image" Target="../media/image10.png"/><Relationship Id="rId22" Type="http://schemas.openxmlformats.org/officeDocument/2006/relationships/chart" Target="../charts/chart15.xml"/><Relationship Id="rId27" Type="http://schemas.openxmlformats.org/officeDocument/2006/relationships/image" Target="../media/image16.png"/><Relationship Id="rId30" Type="http://schemas.openxmlformats.org/officeDocument/2006/relationships/hyperlink" Target="https://x.com/Kollzemmy123" TargetMode="External"/></Relationships>
</file>

<file path=xl/drawings/drawing1.xml><?xml version="1.0" encoding="utf-8"?>
<xdr:wsDr xmlns:xdr="http://schemas.openxmlformats.org/drawingml/2006/spreadsheetDrawing" xmlns:a="http://schemas.openxmlformats.org/drawingml/2006/main">
  <xdr:twoCellAnchor>
    <xdr:from>
      <xdr:col>14</xdr:col>
      <xdr:colOff>525780</xdr:colOff>
      <xdr:row>27</xdr:row>
      <xdr:rowOff>22860</xdr:rowOff>
    </xdr:from>
    <xdr:to>
      <xdr:col>15</xdr:col>
      <xdr:colOff>259080</xdr:colOff>
      <xdr:row>28</xdr:row>
      <xdr:rowOff>175260</xdr:rowOff>
    </xdr:to>
    <xdr:sp macro="" textlink="">
      <xdr:nvSpPr>
        <xdr:cNvPr id="9" name="Rectangle: Top Corners Rounded 8">
          <a:extLst>
            <a:ext uri="{FF2B5EF4-FFF2-40B4-BE49-F238E27FC236}">
              <a16:creationId xmlns:a16="http://schemas.microsoft.com/office/drawing/2014/main" id="{DF0C3F01-493E-456D-3A80-0E563B79A1AF}"/>
            </a:ext>
          </a:extLst>
        </xdr:cNvPr>
        <xdr:cNvSpPr/>
      </xdr:nvSpPr>
      <xdr:spPr>
        <a:xfrm>
          <a:off x="16680180" y="4960620"/>
          <a:ext cx="342900" cy="335280"/>
        </a:xfrm>
        <a:prstGeom prst="round2SameRect">
          <a:avLst/>
        </a:prstGeom>
        <a:solidFill>
          <a:srgbClr val="BFC7D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550333</xdr:colOff>
      <xdr:row>1</xdr:row>
      <xdr:rowOff>118531</xdr:rowOff>
    </xdr:from>
    <xdr:to>
      <xdr:col>13</xdr:col>
      <xdr:colOff>254000</xdr:colOff>
      <xdr:row>27</xdr:row>
      <xdr:rowOff>25399</xdr:rowOff>
    </xdr:to>
    <xdr:sp macro="" textlink="">
      <xdr:nvSpPr>
        <xdr:cNvPr id="2" name="Rectangle: Rounded Corners 1">
          <a:extLst>
            <a:ext uri="{FF2B5EF4-FFF2-40B4-BE49-F238E27FC236}">
              <a16:creationId xmlns:a16="http://schemas.microsoft.com/office/drawing/2014/main" id="{3E8F0918-0327-1C0B-4991-4C80687BE368}"/>
            </a:ext>
          </a:extLst>
        </xdr:cNvPr>
        <xdr:cNvSpPr/>
      </xdr:nvSpPr>
      <xdr:spPr>
        <a:xfrm>
          <a:off x="1159933" y="304798"/>
          <a:ext cx="7018867" cy="4749801"/>
        </a:xfrm>
        <a:prstGeom prst="roundRect">
          <a:avLst>
            <a:gd name="adj" fmla="val 43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575729</xdr:colOff>
      <xdr:row>4</xdr:row>
      <xdr:rowOff>33864</xdr:rowOff>
    </xdr:from>
    <xdr:to>
      <xdr:col>16</xdr:col>
      <xdr:colOff>262463</xdr:colOff>
      <xdr:row>27</xdr:row>
      <xdr:rowOff>16932</xdr:rowOff>
    </xdr:to>
    <xdr:sp macro="" textlink="">
      <xdr:nvSpPr>
        <xdr:cNvPr id="5" name="Rectangle 4">
          <a:extLst>
            <a:ext uri="{FF2B5EF4-FFF2-40B4-BE49-F238E27FC236}">
              <a16:creationId xmlns:a16="http://schemas.microsoft.com/office/drawing/2014/main" id="{DA23EF2E-943F-F75B-B0D8-1E9B55C85434}"/>
            </a:ext>
          </a:extLst>
        </xdr:cNvPr>
        <xdr:cNvSpPr/>
      </xdr:nvSpPr>
      <xdr:spPr>
        <a:xfrm>
          <a:off x="2404529" y="778931"/>
          <a:ext cx="7611534" cy="4267201"/>
        </a:xfrm>
        <a:prstGeom prst="rect">
          <a:avLst/>
        </a:prstGeom>
        <a:solidFill>
          <a:srgbClr val="DDE1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8</xdr:row>
      <xdr:rowOff>0</xdr:rowOff>
    </xdr:from>
    <xdr:to>
      <xdr:col>3</xdr:col>
      <xdr:colOff>457200</xdr:colOff>
      <xdr:row>9</xdr:row>
      <xdr:rowOff>59267</xdr:rowOff>
    </xdr:to>
    <xdr:sp macro="" textlink="">
      <xdr:nvSpPr>
        <xdr:cNvPr id="40" name="Rectangle 39">
          <a:hlinkClick xmlns:r="http://schemas.openxmlformats.org/officeDocument/2006/relationships" r:id="rId1"/>
          <a:extLst>
            <a:ext uri="{FF2B5EF4-FFF2-40B4-BE49-F238E27FC236}">
              <a16:creationId xmlns:a16="http://schemas.microsoft.com/office/drawing/2014/main" id="{D1C0D96F-8B03-2823-7FA0-F46EED803BB7}"/>
            </a:ext>
          </a:extLst>
        </xdr:cNvPr>
        <xdr:cNvSpPr/>
      </xdr:nvSpPr>
      <xdr:spPr>
        <a:xfrm>
          <a:off x="1295400" y="1490133"/>
          <a:ext cx="990600" cy="245534"/>
        </a:xfrm>
        <a:prstGeom prst="rect">
          <a:avLst/>
        </a:prstGeom>
        <a:solidFill>
          <a:srgbClr val="BFC7D2">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105827</xdr:colOff>
      <xdr:row>4</xdr:row>
      <xdr:rowOff>177799</xdr:rowOff>
    </xdr:from>
    <xdr:to>
      <xdr:col>16</xdr:col>
      <xdr:colOff>131228</xdr:colOff>
      <xdr:row>12</xdr:row>
      <xdr:rowOff>8466</xdr:rowOff>
    </xdr:to>
    <xdr:sp macro="" textlink="">
      <xdr:nvSpPr>
        <xdr:cNvPr id="6" name="Rectangle: Rounded Corners 5">
          <a:extLst>
            <a:ext uri="{FF2B5EF4-FFF2-40B4-BE49-F238E27FC236}">
              <a16:creationId xmlns:a16="http://schemas.microsoft.com/office/drawing/2014/main" id="{D2B8C7ED-78B5-A9D6-307B-EFC5D3D3DD7C}"/>
            </a:ext>
          </a:extLst>
        </xdr:cNvPr>
        <xdr:cNvSpPr/>
      </xdr:nvSpPr>
      <xdr:spPr>
        <a:xfrm>
          <a:off x="2544227" y="922866"/>
          <a:ext cx="7340601" cy="1320800"/>
        </a:xfrm>
        <a:prstGeom prst="roundRect">
          <a:avLst>
            <a:gd name="adj" fmla="val 1908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237061</xdr:colOff>
      <xdr:row>7</xdr:row>
      <xdr:rowOff>135465</xdr:rowOff>
    </xdr:from>
    <xdr:to>
      <xdr:col>7</xdr:col>
      <xdr:colOff>145621</xdr:colOff>
      <xdr:row>11</xdr:row>
      <xdr:rowOff>101599</xdr:rowOff>
    </xdr:to>
    <xdr:sp macro="" textlink="">
      <xdr:nvSpPr>
        <xdr:cNvPr id="8" name="Rectangle: Rounded Corners 7">
          <a:extLst>
            <a:ext uri="{FF2B5EF4-FFF2-40B4-BE49-F238E27FC236}">
              <a16:creationId xmlns:a16="http://schemas.microsoft.com/office/drawing/2014/main" id="{E42FBA16-5ACB-DF98-220E-975882A21447}"/>
            </a:ext>
          </a:extLst>
        </xdr:cNvPr>
        <xdr:cNvSpPr/>
      </xdr:nvSpPr>
      <xdr:spPr>
        <a:xfrm>
          <a:off x="2675461" y="1439332"/>
          <a:ext cx="1737360" cy="711200"/>
        </a:xfrm>
        <a:prstGeom prst="roundRect">
          <a:avLst/>
        </a:prstGeom>
        <a:solidFill>
          <a:srgbClr val="DDE1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217305</xdr:colOff>
      <xdr:row>7</xdr:row>
      <xdr:rowOff>135465</xdr:rowOff>
    </xdr:from>
    <xdr:to>
      <xdr:col>10</xdr:col>
      <xdr:colOff>125865</xdr:colOff>
      <xdr:row>11</xdr:row>
      <xdr:rowOff>101599</xdr:rowOff>
    </xdr:to>
    <xdr:sp macro="" textlink="">
      <xdr:nvSpPr>
        <xdr:cNvPr id="13" name="Rectangle: Rounded Corners 12">
          <a:extLst>
            <a:ext uri="{FF2B5EF4-FFF2-40B4-BE49-F238E27FC236}">
              <a16:creationId xmlns:a16="http://schemas.microsoft.com/office/drawing/2014/main" id="{98447717-DA95-505C-6A3E-D76C17C62BF4}"/>
            </a:ext>
          </a:extLst>
        </xdr:cNvPr>
        <xdr:cNvSpPr/>
      </xdr:nvSpPr>
      <xdr:spPr>
        <a:xfrm>
          <a:off x="4484505" y="1439332"/>
          <a:ext cx="1737360" cy="711200"/>
        </a:xfrm>
        <a:prstGeom prst="roundRect">
          <a:avLst/>
        </a:prstGeom>
        <a:solidFill>
          <a:srgbClr val="DDE1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197549</xdr:colOff>
      <xdr:row>7</xdr:row>
      <xdr:rowOff>135465</xdr:rowOff>
    </xdr:from>
    <xdr:to>
      <xdr:col>13</xdr:col>
      <xdr:colOff>106109</xdr:colOff>
      <xdr:row>11</xdr:row>
      <xdr:rowOff>101599</xdr:rowOff>
    </xdr:to>
    <xdr:sp macro="" textlink="">
      <xdr:nvSpPr>
        <xdr:cNvPr id="14" name="Rectangle: Rounded Corners 13">
          <a:extLst>
            <a:ext uri="{FF2B5EF4-FFF2-40B4-BE49-F238E27FC236}">
              <a16:creationId xmlns:a16="http://schemas.microsoft.com/office/drawing/2014/main" id="{23211A72-8BBD-4083-0481-4C3035A4554D}"/>
            </a:ext>
          </a:extLst>
        </xdr:cNvPr>
        <xdr:cNvSpPr/>
      </xdr:nvSpPr>
      <xdr:spPr>
        <a:xfrm>
          <a:off x="6293549" y="1439332"/>
          <a:ext cx="1737360" cy="711200"/>
        </a:xfrm>
        <a:prstGeom prst="roundRect">
          <a:avLst/>
        </a:prstGeom>
        <a:solidFill>
          <a:srgbClr val="DDE1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177793</xdr:colOff>
      <xdr:row>7</xdr:row>
      <xdr:rowOff>135465</xdr:rowOff>
    </xdr:from>
    <xdr:to>
      <xdr:col>16</xdr:col>
      <xdr:colOff>86353</xdr:colOff>
      <xdr:row>11</xdr:row>
      <xdr:rowOff>101599</xdr:rowOff>
    </xdr:to>
    <xdr:sp macro="" textlink="">
      <xdr:nvSpPr>
        <xdr:cNvPr id="15" name="Rectangle: Rounded Corners 14">
          <a:extLst>
            <a:ext uri="{FF2B5EF4-FFF2-40B4-BE49-F238E27FC236}">
              <a16:creationId xmlns:a16="http://schemas.microsoft.com/office/drawing/2014/main" id="{3E405373-DD2D-73B1-F347-E0419E478F25}"/>
            </a:ext>
          </a:extLst>
        </xdr:cNvPr>
        <xdr:cNvSpPr/>
      </xdr:nvSpPr>
      <xdr:spPr>
        <a:xfrm>
          <a:off x="8102593" y="1439332"/>
          <a:ext cx="1737360" cy="711200"/>
        </a:xfrm>
        <a:prstGeom prst="roundRect">
          <a:avLst/>
        </a:prstGeom>
        <a:solidFill>
          <a:srgbClr val="DDE1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105827</xdr:colOff>
      <xdr:row>12</xdr:row>
      <xdr:rowOff>82550</xdr:rowOff>
    </xdr:from>
    <xdr:to>
      <xdr:col>9</xdr:col>
      <xdr:colOff>296328</xdr:colOff>
      <xdr:row>19</xdr:row>
      <xdr:rowOff>40216</xdr:rowOff>
    </xdr:to>
    <xdr:sp macro="" textlink="">
      <xdr:nvSpPr>
        <xdr:cNvPr id="16" name="Rectangle: Rounded Corners 15">
          <a:extLst>
            <a:ext uri="{FF2B5EF4-FFF2-40B4-BE49-F238E27FC236}">
              <a16:creationId xmlns:a16="http://schemas.microsoft.com/office/drawing/2014/main" id="{D0319B91-81BD-69F5-108F-0E5FECDB1013}"/>
            </a:ext>
          </a:extLst>
        </xdr:cNvPr>
        <xdr:cNvSpPr/>
      </xdr:nvSpPr>
      <xdr:spPr>
        <a:xfrm>
          <a:off x="2544227" y="2317750"/>
          <a:ext cx="3238501" cy="1261533"/>
        </a:xfrm>
        <a:prstGeom prst="roundRect">
          <a:avLst>
            <a:gd name="adj" fmla="val 90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38091</xdr:colOff>
      <xdr:row>19</xdr:row>
      <xdr:rowOff>114300</xdr:rowOff>
    </xdr:from>
    <xdr:to>
      <xdr:col>9</xdr:col>
      <xdr:colOff>228592</xdr:colOff>
      <xdr:row>26</xdr:row>
      <xdr:rowOff>71967</xdr:rowOff>
    </xdr:to>
    <xdr:sp macro="" textlink="">
      <xdr:nvSpPr>
        <xdr:cNvPr id="19" name="Rectangle: Rounded Corners 18">
          <a:extLst>
            <a:ext uri="{FF2B5EF4-FFF2-40B4-BE49-F238E27FC236}">
              <a16:creationId xmlns:a16="http://schemas.microsoft.com/office/drawing/2014/main" id="{12ABFD19-7B6B-B94A-DD09-BF6BA0CCFB1C}"/>
            </a:ext>
          </a:extLst>
        </xdr:cNvPr>
        <xdr:cNvSpPr/>
      </xdr:nvSpPr>
      <xdr:spPr>
        <a:xfrm>
          <a:off x="2476491" y="3653367"/>
          <a:ext cx="3238501" cy="1261533"/>
        </a:xfrm>
        <a:prstGeom prst="roundRect">
          <a:avLst>
            <a:gd name="adj" fmla="val 90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342893</xdr:colOff>
      <xdr:row>12</xdr:row>
      <xdr:rowOff>99483</xdr:rowOff>
    </xdr:from>
    <xdr:to>
      <xdr:col>12</xdr:col>
      <xdr:colOff>434333</xdr:colOff>
      <xdr:row>19</xdr:row>
      <xdr:rowOff>57149</xdr:rowOff>
    </xdr:to>
    <xdr:sp macro="" textlink="">
      <xdr:nvSpPr>
        <xdr:cNvPr id="22" name="Rectangle: Rounded Corners 21">
          <a:extLst>
            <a:ext uri="{FF2B5EF4-FFF2-40B4-BE49-F238E27FC236}">
              <a16:creationId xmlns:a16="http://schemas.microsoft.com/office/drawing/2014/main" id="{BF6385DC-D522-16D4-3922-628426B9F239}"/>
            </a:ext>
          </a:extLst>
        </xdr:cNvPr>
        <xdr:cNvSpPr/>
      </xdr:nvSpPr>
      <xdr:spPr>
        <a:xfrm>
          <a:off x="5829293" y="2334683"/>
          <a:ext cx="1920240" cy="1261533"/>
        </a:xfrm>
        <a:prstGeom prst="roundRect">
          <a:avLst>
            <a:gd name="adj" fmla="val 4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342893</xdr:colOff>
      <xdr:row>19</xdr:row>
      <xdr:rowOff>116416</xdr:rowOff>
    </xdr:from>
    <xdr:to>
      <xdr:col>12</xdr:col>
      <xdr:colOff>434333</xdr:colOff>
      <xdr:row>26</xdr:row>
      <xdr:rowOff>74083</xdr:rowOff>
    </xdr:to>
    <xdr:sp macro="" textlink="">
      <xdr:nvSpPr>
        <xdr:cNvPr id="23" name="Rectangle: Rounded Corners 22">
          <a:extLst>
            <a:ext uri="{FF2B5EF4-FFF2-40B4-BE49-F238E27FC236}">
              <a16:creationId xmlns:a16="http://schemas.microsoft.com/office/drawing/2014/main" id="{45752500-7F44-987A-5B33-ED557659478D}"/>
            </a:ext>
          </a:extLst>
        </xdr:cNvPr>
        <xdr:cNvSpPr/>
      </xdr:nvSpPr>
      <xdr:spPr>
        <a:xfrm>
          <a:off x="5829293" y="3655483"/>
          <a:ext cx="1920240" cy="1261533"/>
        </a:xfrm>
        <a:prstGeom prst="roundRect">
          <a:avLst>
            <a:gd name="adj" fmla="val 4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478358</xdr:colOff>
      <xdr:row>12</xdr:row>
      <xdr:rowOff>74083</xdr:rowOff>
    </xdr:from>
    <xdr:to>
      <xdr:col>16</xdr:col>
      <xdr:colOff>135461</xdr:colOff>
      <xdr:row>26</xdr:row>
      <xdr:rowOff>76200</xdr:rowOff>
    </xdr:to>
    <xdr:sp macro="" textlink="">
      <xdr:nvSpPr>
        <xdr:cNvPr id="24" name="Rectangle: Rounded Corners 23">
          <a:extLst>
            <a:ext uri="{FF2B5EF4-FFF2-40B4-BE49-F238E27FC236}">
              <a16:creationId xmlns:a16="http://schemas.microsoft.com/office/drawing/2014/main" id="{A096E02C-3A19-7411-00F4-9C6AD3198D34}"/>
            </a:ext>
          </a:extLst>
        </xdr:cNvPr>
        <xdr:cNvSpPr/>
      </xdr:nvSpPr>
      <xdr:spPr>
        <a:xfrm>
          <a:off x="7793558" y="2309283"/>
          <a:ext cx="2095503" cy="2609850"/>
        </a:xfrm>
        <a:prstGeom prst="roundRect">
          <a:avLst>
            <a:gd name="adj" fmla="val 29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154527</xdr:colOff>
      <xdr:row>8</xdr:row>
      <xdr:rowOff>60580</xdr:rowOff>
    </xdr:from>
    <xdr:to>
      <xdr:col>2</xdr:col>
      <xdr:colOff>231852</xdr:colOff>
      <xdr:row>9</xdr:row>
      <xdr:rowOff>18313</xdr:rowOff>
    </xdr:to>
    <xdr:pic>
      <xdr:nvPicPr>
        <xdr:cNvPr id="25" name="Picture 24">
          <a:extLst>
            <a:ext uri="{FF2B5EF4-FFF2-40B4-BE49-F238E27FC236}">
              <a16:creationId xmlns:a16="http://schemas.microsoft.com/office/drawing/2014/main" id="{60B68C08-BFAC-44EA-ADBD-F676F5FD39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3727" y="1550713"/>
          <a:ext cx="77325" cy="144000"/>
        </a:xfrm>
        <a:prstGeom prst="rect">
          <a:avLst/>
        </a:prstGeom>
      </xdr:spPr>
    </xdr:pic>
    <xdr:clientData/>
  </xdr:twoCellAnchor>
  <xdr:twoCellAnchor editAs="oneCell">
    <xdr:from>
      <xdr:col>2</xdr:col>
      <xdr:colOff>136527</xdr:colOff>
      <xdr:row>11</xdr:row>
      <xdr:rowOff>67162</xdr:rowOff>
    </xdr:from>
    <xdr:to>
      <xdr:col>2</xdr:col>
      <xdr:colOff>249852</xdr:colOff>
      <xdr:row>12</xdr:row>
      <xdr:rowOff>60895</xdr:rowOff>
    </xdr:to>
    <xdr:pic>
      <xdr:nvPicPr>
        <xdr:cNvPr id="26" name="Picture 25">
          <a:extLst>
            <a:ext uri="{FF2B5EF4-FFF2-40B4-BE49-F238E27FC236}">
              <a16:creationId xmlns:a16="http://schemas.microsoft.com/office/drawing/2014/main" id="{0F8BADED-ABDE-4964-9CBA-E546FE3C263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55727" y="2116095"/>
          <a:ext cx="113325" cy="180000"/>
        </a:xfrm>
        <a:prstGeom prst="rect">
          <a:avLst/>
        </a:prstGeom>
      </xdr:spPr>
    </xdr:pic>
    <xdr:clientData/>
  </xdr:twoCellAnchor>
  <xdr:twoCellAnchor editAs="oneCell">
    <xdr:from>
      <xdr:col>2</xdr:col>
      <xdr:colOff>184840</xdr:colOff>
      <xdr:row>1</xdr:row>
      <xdr:rowOff>118533</xdr:rowOff>
    </xdr:from>
    <xdr:to>
      <xdr:col>3</xdr:col>
      <xdr:colOff>231055</xdr:colOff>
      <xdr:row>5</xdr:row>
      <xdr:rowOff>147392</xdr:rowOff>
    </xdr:to>
    <xdr:pic>
      <xdr:nvPicPr>
        <xdr:cNvPr id="27" name="Picture 26">
          <a:extLst>
            <a:ext uri="{FF2B5EF4-FFF2-40B4-BE49-F238E27FC236}">
              <a16:creationId xmlns:a16="http://schemas.microsoft.com/office/drawing/2014/main" id="{795E9DDA-0C8C-47AA-9810-7A736FC5D2A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04040" y="304800"/>
          <a:ext cx="655815" cy="773925"/>
        </a:xfrm>
        <a:prstGeom prst="rect">
          <a:avLst/>
        </a:prstGeom>
      </xdr:spPr>
    </xdr:pic>
    <xdr:clientData/>
  </xdr:twoCellAnchor>
  <xdr:twoCellAnchor editAs="oneCell">
    <xdr:from>
      <xdr:col>2</xdr:col>
      <xdr:colOff>136527</xdr:colOff>
      <xdr:row>14</xdr:row>
      <xdr:rowOff>109744</xdr:rowOff>
    </xdr:from>
    <xdr:to>
      <xdr:col>2</xdr:col>
      <xdr:colOff>249852</xdr:colOff>
      <xdr:row>15</xdr:row>
      <xdr:rowOff>103477</xdr:rowOff>
    </xdr:to>
    <xdr:pic>
      <xdr:nvPicPr>
        <xdr:cNvPr id="28" name="Picture 27">
          <a:extLst>
            <a:ext uri="{FF2B5EF4-FFF2-40B4-BE49-F238E27FC236}">
              <a16:creationId xmlns:a16="http://schemas.microsoft.com/office/drawing/2014/main" id="{5E8FFDBB-EF38-4813-9E85-0FB7F39742A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5727" y="2717477"/>
          <a:ext cx="113325" cy="180000"/>
        </a:xfrm>
        <a:prstGeom prst="rect">
          <a:avLst/>
        </a:prstGeom>
      </xdr:spPr>
    </xdr:pic>
    <xdr:clientData/>
  </xdr:twoCellAnchor>
  <xdr:oneCellAnchor>
    <xdr:from>
      <xdr:col>2</xdr:col>
      <xdr:colOff>186267</xdr:colOff>
      <xdr:row>8</xdr:row>
      <xdr:rowOff>8467</xdr:rowOff>
    </xdr:from>
    <xdr:ext cx="823559" cy="264560"/>
    <xdr:sp macro="" textlink="">
      <xdr:nvSpPr>
        <xdr:cNvPr id="29" name="TextBox 28">
          <a:hlinkClick xmlns:r="http://schemas.openxmlformats.org/officeDocument/2006/relationships" r:id="rId1"/>
          <a:extLst>
            <a:ext uri="{FF2B5EF4-FFF2-40B4-BE49-F238E27FC236}">
              <a16:creationId xmlns:a16="http://schemas.microsoft.com/office/drawing/2014/main" id="{CEC4DD82-2028-22CD-16BC-B2D1307AB25F}"/>
            </a:ext>
          </a:extLst>
        </xdr:cNvPr>
        <xdr:cNvSpPr txBox="1"/>
      </xdr:nvSpPr>
      <xdr:spPr>
        <a:xfrm>
          <a:off x="1405467" y="1498600"/>
          <a:ext cx="8235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Dashboard</a:t>
          </a:r>
        </a:p>
      </xdr:txBody>
    </xdr:sp>
    <xdr:clientData/>
  </xdr:oneCellAnchor>
  <xdr:oneCellAnchor>
    <xdr:from>
      <xdr:col>2</xdr:col>
      <xdr:colOff>194734</xdr:colOff>
      <xdr:row>11</xdr:row>
      <xdr:rowOff>33867</xdr:rowOff>
    </xdr:from>
    <xdr:ext cx="673389" cy="264560"/>
    <xdr:sp macro="" textlink="">
      <xdr:nvSpPr>
        <xdr:cNvPr id="38" name="TextBox 37">
          <a:hlinkClick xmlns:r="http://schemas.openxmlformats.org/officeDocument/2006/relationships" r:id="rId6"/>
          <a:extLst>
            <a:ext uri="{FF2B5EF4-FFF2-40B4-BE49-F238E27FC236}">
              <a16:creationId xmlns:a16="http://schemas.microsoft.com/office/drawing/2014/main" id="{97F9DEF0-6D82-FF16-CDB3-77E6098A8D60}"/>
            </a:ext>
          </a:extLst>
        </xdr:cNvPr>
        <xdr:cNvSpPr txBox="1"/>
      </xdr:nvSpPr>
      <xdr:spPr>
        <a:xfrm>
          <a:off x="1413934" y="2082800"/>
          <a:ext cx="6733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Analysis</a:t>
          </a:r>
        </a:p>
      </xdr:txBody>
    </xdr:sp>
    <xdr:clientData/>
  </xdr:oneCellAnchor>
  <xdr:oneCellAnchor>
    <xdr:from>
      <xdr:col>2</xdr:col>
      <xdr:colOff>203201</xdr:colOff>
      <xdr:row>14</xdr:row>
      <xdr:rowOff>59267</xdr:rowOff>
    </xdr:from>
    <xdr:ext cx="641073" cy="264560"/>
    <xdr:sp macro="" textlink="">
      <xdr:nvSpPr>
        <xdr:cNvPr id="39" name="TextBox 38">
          <a:hlinkClick xmlns:r="http://schemas.openxmlformats.org/officeDocument/2006/relationships" r:id="rId7"/>
          <a:extLst>
            <a:ext uri="{FF2B5EF4-FFF2-40B4-BE49-F238E27FC236}">
              <a16:creationId xmlns:a16="http://schemas.microsoft.com/office/drawing/2014/main" id="{DCE3E5F2-C81B-CF4E-9B96-C474C99C3E35}"/>
            </a:ext>
          </a:extLst>
        </xdr:cNvPr>
        <xdr:cNvSpPr txBox="1"/>
      </xdr:nvSpPr>
      <xdr:spPr>
        <a:xfrm>
          <a:off x="1422401" y="2667000"/>
          <a:ext cx="6410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Dataset</a:t>
          </a:r>
        </a:p>
      </xdr:txBody>
    </xdr:sp>
    <xdr:clientData/>
  </xdr:oneCellAnchor>
  <xdr:twoCellAnchor>
    <xdr:from>
      <xdr:col>4</xdr:col>
      <xdr:colOff>182030</xdr:colOff>
      <xdr:row>4</xdr:row>
      <xdr:rowOff>177799</xdr:rowOff>
    </xdr:from>
    <xdr:to>
      <xdr:col>10</xdr:col>
      <xdr:colOff>42336</xdr:colOff>
      <xdr:row>6</xdr:row>
      <xdr:rowOff>79374</xdr:rowOff>
    </xdr:to>
    <xdr:sp macro="" textlink="">
      <xdr:nvSpPr>
        <xdr:cNvPr id="41" name="TextBox 40">
          <a:extLst>
            <a:ext uri="{FF2B5EF4-FFF2-40B4-BE49-F238E27FC236}">
              <a16:creationId xmlns:a16="http://schemas.microsoft.com/office/drawing/2014/main" id="{77ACA53D-51D5-4237-82F9-0261ECA3E31F}"/>
            </a:ext>
          </a:extLst>
        </xdr:cNvPr>
        <xdr:cNvSpPr txBox="1"/>
      </xdr:nvSpPr>
      <xdr:spPr>
        <a:xfrm>
          <a:off x="2620430" y="922866"/>
          <a:ext cx="3517906" cy="274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Bahnschrift" panose="020B0502040204020203" pitchFamily="34" charset="0"/>
            </a:rPr>
            <a:t>Business Performance &amp; Customer Insights </a:t>
          </a:r>
        </a:p>
      </xdr:txBody>
    </xdr:sp>
    <xdr:clientData/>
  </xdr:twoCellAnchor>
  <xdr:twoCellAnchor>
    <xdr:from>
      <xdr:col>4</xdr:col>
      <xdr:colOff>190497</xdr:colOff>
      <xdr:row>5</xdr:row>
      <xdr:rowOff>184150</xdr:rowOff>
    </xdr:from>
    <xdr:to>
      <xdr:col>11</xdr:col>
      <xdr:colOff>228603</xdr:colOff>
      <xdr:row>7</xdr:row>
      <xdr:rowOff>16934</xdr:rowOff>
    </xdr:to>
    <xdr:sp macro="" textlink="">
      <xdr:nvSpPr>
        <xdr:cNvPr id="42" name="TextBox 41">
          <a:extLst>
            <a:ext uri="{FF2B5EF4-FFF2-40B4-BE49-F238E27FC236}">
              <a16:creationId xmlns:a16="http://schemas.microsoft.com/office/drawing/2014/main" id="{CFCA3E9D-0159-45FB-A580-280B7C7555C3}"/>
            </a:ext>
          </a:extLst>
        </xdr:cNvPr>
        <xdr:cNvSpPr txBox="1"/>
      </xdr:nvSpPr>
      <xdr:spPr>
        <a:xfrm>
          <a:off x="2628897" y="1115483"/>
          <a:ext cx="4305306" cy="205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i="0">
              <a:solidFill>
                <a:schemeClr val="tx1">
                  <a:lumMod val="50000"/>
                  <a:lumOff val="50000"/>
                </a:schemeClr>
              </a:solidFill>
              <a:latin typeface="Bahnschrift Light" panose="020B0502040204020203" pitchFamily="34" charset="0"/>
            </a:rPr>
            <a:t>Tracking sales, profitability, and customer satisfaction across regions and time</a:t>
          </a:r>
        </a:p>
      </xdr:txBody>
    </xdr:sp>
    <xdr:clientData/>
  </xdr:twoCellAnchor>
  <xdr:twoCellAnchor editAs="oneCell">
    <xdr:from>
      <xdr:col>10</xdr:col>
      <xdr:colOff>601133</xdr:colOff>
      <xdr:row>2</xdr:row>
      <xdr:rowOff>67731</xdr:rowOff>
    </xdr:from>
    <xdr:to>
      <xdr:col>11</xdr:col>
      <xdr:colOff>171533</xdr:colOff>
      <xdr:row>3</xdr:row>
      <xdr:rowOff>61464</xdr:rowOff>
    </xdr:to>
    <xdr:pic>
      <xdr:nvPicPr>
        <xdr:cNvPr id="43" name="Picture 42">
          <a:hlinkClick xmlns:r="http://schemas.openxmlformats.org/officeDocument/2006/relationships" r:id="rId8"/>
          <a:extLst>
            <a:ext uri="{FF2B5EF4-FFF2-40B4-BE49-F238E27FC236}">
              <a16:creationId xmlns:a16="http://schemas.microsoft.com/office/drawing/2014/main" id="{E055AFFD-D123-45F9-9F1A-EB639629DED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97133" y="440264"/>
          <a:ext cx="180000" cy="180000"/>
        </a:xfrm>
        <a:prstGeom prst="rect">
          <a:avLst/>
        </a:prstGeom>
      </xdr:spPr>
    </xdr:pic>
    <xdr:clientData/>
  </xdr:twoCellAnchor>
  <xdr:twoCellAnchor editAs="oneCell">
    <xdr:from>
      <xdr:col>11</xdr:col>
      <xdr:colOff>507660</xdr:colOff>
      <xdr:row>2</xdr:row>
      <xdr:rowOff>67731</xdr:rowOff>
    </xdr:from>
    <xdr:to>
      <xdr:col>12</xdr:col>
      <xdr:colOff>78060</xdr:colOff>
      <xdr:row>3</xdr:row>
      <xdr:rowOff>61464</xdr:rowOff>
    </xdr:to>
    <xdr:pic>
      <xdr:nvPicPr>
        <xdr:cNvPr id="44" name="Picture 43">
          <a:extLst>
            <a:ext uri="{FF2B5EF4-FFF2-40B4-BE49-F238E27FC236}">
              <a16:creationId xmlns:a16="http://schemas.microsoft.com/office/drawing/2014/main" id="{6FBE4C39-A539-4E62-ACBB-204DC53ACA4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13260" y="440264"/>
          <a:ext cx="180000" cy="180000"/>
        </a:xfrm>
        <a:prstGeom prst="rect">
          <a:avLst/>
        </a:prstGeom>
      </xdr:spPr>
    </xdr:pic>
    <xdr:clientData/>
  </xdr:twoCellAnchor>
  <xdr:twoCellAnchor editAs="oneCell">
    <xdr:from>
      <xdr:col>12</xdr:col>
      <xdr:colOff>442762</xdr:colOff>
      <xdr:row>2</xdr:row>
      <xdr:rowOff>67731</xdr:rowOff>
    </xdr:from>
    <xdr:to>
      <xdr:col>12</xdr:col>
      <xdr:colOff>594187</xdr:colOff>
      <xdr:row>3</xdr:row>
      <xdr:rowOff>61464</xdr:rowOff>
    </xdr:to>
    <xdr:pic>
      <xdr:nvPicPr>
        <xdr:cNvPr id="45" name="Picture 44">
          <a:extLst>
            <a:ext uri="{FF2B5EF4-FFF2-40B4-BE49-F238E27FC236}">
              <a16:creationId xmlns:a16="http://schemas.microsoft.com/office/drawing/2014/main" id="{3A4F6346-B568-45CB-B596-5EED7C7EE92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757962" y="440264"/>
          <a:ext cx="151425" cy="180000"/>
        </a:xfrm>
        <a:prstGeom prst="rect">
          <a:avLst/>
        </a:prstGeom>
      </xdr:spPr>
    </xdr:pic>
    <xdr:clientData/>
  </xdr:twoCellAnchor>
  <xdr:twoCellAnchor editAs="oneCell">
    <xdr:from>
      <xdr:col>7</xdr:col>
      <xdr:colOff>346075</xdr:colOff>
      <xdr:row>7</xdr:row>
      <xdr:rowOff>180198</xdr:rowOff>
    </xdr:from>
    <xdr:to>
      <xdr:col>7</xdr:col>
      <xdr:colOff>457284</xdr:colOff>
      <xdr:row>8</xdr:row>
      <xdr:rowOff>167582</xdr:rowOff>
    </xdr:to>
    <xdr:pic>
      <xdr:nvPicPr>
        <xdr:cNvPr id="54" name="Picture 53">
          <a:extLst>
            <a:ext uri="{FF2B5EF4-FFF2-40B4-BE49-F238E27FC236}">
              <a16:creationId xmlns:a16="http://schemas.microsoft.com/office/drawing/2014/main" id="{BE5A23BC-4362-4B20-AEF3-CA02D69887A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613275" y="1484065"/>
          <a:ext cx="111209" cy="173650"/>
        </a:xfrm>
        <a:prstGeom prst="rect">
          <a:avLst/>
        </a:prstGeom>
      </xdr:spPr>
    </xdr:pic>
    <xdr:clientData/>
  </xdr:twoCellAnchor>
  <xdr:twoCellAnchor editAs="oneCell">
    <xdr:from>
      <xdr:col>13</xdr:col>
      <xdr:colOff>269241</xdr:colOff>
      <xdr:row>7</xdr:row>
      <xdr:rowOff>180198</xdr:rowOff>
    </xdr:from>
    <xdr:to>
      <xdr:col>13</xdr:col>
      <xdr:colOff>449241</xdr:colOff>
      <xdr:row>8</xdr:row>
      <xdr:rowOff>161232</xdr:rowOff>
    </xdr:to>
    <xdr:pic>
      <xdr:nvPicPr>
        <xdr:cNvPr id="55" name="Picture 54">
          <a:extLst>
            <a:ext uri="{FF2B5EF4-FFF2-40B4-BE49-F238E27FC236}">
              <a16:creationId xmlns:a16="http://schemas.microsoft.com/office/drawing/2014/main" id="{0BDFA799-FF90-4570-8549-C9143D7BB7C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94041" y="1484065"/>
          <a:ext cx="180000" cy="167300"/>
        </a:xfrm>
        <a:prstGeom prst="rect">
          <a:avLst/>
        </a:prstGeom>
      </xdr:spPr>
    </xdr:pic>
    <xdr:clientData/>
  </xdr:twoCellAnchor>
  <xdr:twoCellAnchor editAs="oneCell">
    <xdr:from>
      <xdr:col>10</xdr:col>
      <xdr:colOff>284692</xdr:colOff>
      <xdr:row>7</xdr:row>
      <xdr:rowOff>180198</xdr:rowOff>
    </xdr:from>
    <xdr:to>
      <xdr:col>10</xdr:col>
      <xdr:colOff>441832</xdr:colOff>
      <xdr:row>8</xdr:row>
      <xdr:rowOff>167582</xdr:rowOff>
    </xdr:to>
    <xdr:pic>
      <xdr:nvPicPr>
        <xdr:cNvPr id="56" name="Picture 55">
          <a:extLst>
            <a:ext uri="{FF2B5EF4-FFF2-40B4-BE49-F238E27FC236}">
              <a16:creationId xmlns:a16="http://schemas.microsoft.com/office/drawing/2014/main" id="{F536C8CC-52BB-426A-9A2F-CC9D5F32F84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6380692" y="1484065"/>
          <a:ext cx="157140" cy="173650"/>
        </a:xfrm>
        <a:prstGeom prst="rect">
          <a:avLst/>
        </a:prstGeom>
      </xdr:spPr>
    </xdr:pic>
    <xdr:clientData/>
  </xdr:twoCellAnchor>
  <xdr:twoCellAnchor editAs="oneCell">
    <xdr:from>
      <xdr:col>4</xdr:col>
      <xdr:colOff>338667</xdr:colOff>
      <xdr:row>7</xdr:row>
      <xdr:rowOff>180198</xdr:rowOff>
    </xdr:from>
    <xdr:to>
      <xdr:col>4</xdr:col>
      <xdr:colOff>518667</xdr:colOff>
      <xdr:row>8</xdr:row>
      <xdr:rowOff>167582</xdr:rowOff>
    </xdr:to>
    <xdr:pic>
      <xdr:nvPicPr>
        <xdr:cNvPr id="57" name="Picture 56">
          <a:extLst>
            <a:ext uri="{FF2B5EF4-FFF2-40B4-BE49-F238E27FC236}">
              <a16:creationId xmlns:a16="http://schemas.microsoft.com/office/drawing/2014/main" id="{8EAB0044-6F29-4618-8898-50E941B93C9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777067" y="1484065"/>
          <a:ext cx="180000" cy="173650"/>
        </a:xfrm>
        <a:prstGeom prst="rect">
          <a:avLst/>
        </a:prstGeom>
      </xdr:spPr>
    </xdr:pic>
    <xdr:clientData/>
  </xdr:twoCellAnchor>
  <xdr:twoCellAnchor>
    <xdr:from>
      <xdr:col>4</xdr:col>
      <xdr:colOff>457200</xdr:colOff>
      <xdr:row>7</xdr:row>
      <xdr:rowOff>110065</xdr:rowOff>
    </xdr:from>
    <xdr:to>
      <xdr:col>5</xdr:col>
      <xdr:colOff>431800</xdr:colOff>
      <xdr:row>8</xdr:row>
      <xdr:rowOff>177799</xdr:rowOff>
    </xdr:to>
    <xdr:sp macro="" textlink="">
      <xdr:nvSpPr>
        <xdr:cNvPr id="64" name="TextBox 63">
          <a:extLst>
            <a:ext uri="{FF2B5EF4-FFF2-40B4-BE49-F238E27FC236}">
              <a16:creationId xmlns:a16="http://schemas.microsoft.com/office/drawing/2014/main" id="{1032B46F-89A5-09E8-0921-B773558C5BCF}"/>
            </a:ext>
          </a:extLst>
        </xdr:cNvPr>
        <xdr:cNvSpPr txBox="1"/>
      </xdr:nvSpPr>
      <xdr:spPr>
        <a:xfrm>
          <a:off x="2895600" y="1413932"/>
          <a:ext cx="5842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p>
      </xdr:txBody>
    </xdr:sp>
    <xdr:clientData/>
  </xdr:twoCellAnchor>
  <xdr:twoCellAnchor>
    <xdr:from>
      <xdr:col>7</xdr:col>
      <xdr:colOff>440266</xdr:colOff>
      <xdr:row>7</xdr:row>
      <xdr:rowOff>110065</xdr:rowOff>
    </xdr:from>
    <xdr:to>
      <xdr:col>8</xdr:col>
      <xdr:colOff>414866</xdr:colOff>
      <xdr:row>8</xdr:row>
      <xdr:rowOff>177799</xdr:rowOff>
    </xdr:to>
    <xdr:sp macro="" textlink="">
      <xdr:nvSpPr>
        <xdr:cNvPr id="65" name="TextBox 64">
          <a:extLst>
            <a:ext uri="{FF2B5EF4-FFF2-40B4-BE49-F238E27FC236}">
              <a16:creationId xmlns:a16="http://schemas.microsoft.com/office/drawing/2014/main" id="{8DC9709E-EA36-9DE8-B41B-FED4076C4CFD}"/>
            </a:ext>
          </a:extLst>
        </xdr:cNvPr>
        <xdr:cNvSpPr txBox="1"/>
      </xdr:nvSpPr>
      <xdr:spPr>
        <a:xfrm>
          <a:off x="4707466" y="1413932"/>
          <a:ext cx="5842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Profit</a:t>
          </a:r>
        </a:p>
      </xdr:txBody>
    </xdr:sp>
    <xdr:clientData/>
  </xdr:twoCellAnchor>
  <xdr:twoCellAnchor>
    <xdr:from>
      <xdr:col>10</xdr:col>
      <xdr:colOff>397933</xdr:colOff>
      <xdr:row>7</xdr:row>
      <xdr:rowOff>110065</xdr:rowOff>
    </xdr:from>
    <xdr:to>
      <xdr:col>12</xdr:col>
      <xdr:colOff>84667</xdr:colOff>
      <xdr:row>9</xdr:row>
      <xdr:rowOff>152399</xdr:rowOff>
    </xdr:to>
    <xdr:sp macro="" textlink="">
      <xdr:nvSpPr>
        <xdr:cNvPr id="66" name="TextBox 65">
          <a:extLst>
            <a:ext uri="{FF2B5EF4-FFF2-40B4-BE49-F238E27FC236}">
              <a16:creationId xmlns:a16="http://schemas.microsoft.com/office/drawing/2014/main" id="{3CA9F51E-A707-FB45-EAAC-A671C2DDCABA}"/>
            </a:ext>
          </a:extLst>
        </xdr:cNvPr>
        <xdr:cNvSpPr txBox="1"/>
      </xdr:nvSpPr>
      <xdr:spPr>
        <a:xfrm>
          <a:off x="6493933" y="1413932"/>
          <a:ext cx="905934"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Customers</a:t>
          </a:r>
        </a:p>
      </xdr:txBody>
    </xdr:sp>
    <xdr:clientData/>
  </xdr:twoCellAnchor>
  <xdr:twoCellAnchor>
    <xdr:from>
      <xdr:col>13</xdr:col>
      <xdr:colOff>423333</xdr:colOff>
      <xdr:row>7</xdr:row>
      <xdr:rowOff>110065</xdr:rowOff>
    </xdr:from>
    <xdr:to>
      <xdr:col>15</xdr:col>
      <xdr:colOff>110067</xdr:colOff>
      <xdr:row>9</xdr:row>
      <xdr:rowOff>152399</xdr:rowOff>
    </xdr:to>
    <xdr:sp macro="" textlink="">
      <xdr:nvSpPr>
        <xdr:cNvPr id="67" name="TextBox 66">
          <a:extLst>
            <a:ext uri="{FF2B5EF4-FFF2-40B4-BE49-F238E27FC236}">
              <a16:creationId xmlns:a16="http://schemas.microsoft.com/office/drawing/2014/main" id="{BD21F5DD-1799-DABC-759E-C148D396BC06}"/>
            </a:ext>
          </a:extLst>
        </xdr:cNvPr>
        <xdr:cNvSpPr txBox="1"/>
      </xdr:nvSpPr>
      <xdr:spPr>
        <a:xfrm>
          <a:off x="8348133" y="1413932"/>
          <a:ext cx="905934" cy="41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Target</a:t>
          </a:r>
        </a:p>
      </xdr:txBody>
    </xdr:sp>
    <xdr:clientData/>
  </xdr:twoCellAnchor>
  <xdr:oneCellAnchor>
    <xdr:from>
      <xdr:col>4</xdr:col>
      <xdr:colOff>423334</xdr:colOff>
      <xdr:row>7</xdr:row>
      <xdr:rowOff>25395</xdr:rowOff>
    </xdr:from>
    <xdr:ext cx="990600" cy="593368"/>
    <xdr:sp macro="" textlink="Sales">
      <xdr:nvSpPr>
        <xdr:cNvPr id="68" name="TextBox 67">
          <a:extLst>
            <a:ext uri="{FF2B5EF4-FFF2-40B4-BE49-F238E27FC236}">
              <a16:creationId xmlns:a16="http://schemas.microsoft.com/office/drawing/2014/main" id="{C8282689-DB98-61C4-8AF9-16023907A1B8}"/>
            </a:ext>
          </a:extLst>
        </xdr:cNvPr>
        <xdr:cNvSpPr txBox="1"/>
      </xdr:nvSpPr>
      <xdr:spPr>
        <a:xfrm>
          <a:off x="2861734" y="1329262"/>
          <a:ext cx="99060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B53A1EE-AD55-44B2-AFC7-D99993055C3B}" type="TxLink">
            <a:rPr lang="en-US" sz="1600" b="1" i="0" u="none" strike="noStrike">
              <a:solidFill>
                <a:srgbClr val="000000"/>
              </a:solidFill>
              <a:latin typeface="Aptos Narrow"/>
            </a:rPr>
            <a:t> $157,361 </a:t>
          </a:fld>
          <a:endParaRPr lang="en-US" sz="1600" b="1"/>
        </a:p>
      </xdr:txBody>
    </xdr:sp>
    <xdr:clientData/>
  </xdr:oneCellAnchor>
  <xdr:oneCellAnchor>
    <xdr:from>
      <xdr:col>7</xdr:col>
      <xdr:colOff>423335</xdr:colOff>
      <xdr:row>6</xdr:row>
      <xdr:rowOff>169332</xdr:rowOff>
    </xdr:from>
    <xdr:ext cx="990600" cy="593368"/>
    <xdr:sp macro="" textlink="Profit">
      <xdr:nvSpPr>
        <xdr:cNvPr id="69" name="TextBox 68">
          <a:extLst>
            <a:ext uri="{FF2B5EF4-FFF2-40B4-BE49-F238E27FC236}">
              <a16:creationId xmlns:a16="http://schemas.microsoft.com/office/drawing/2014/main" id="{632A26AA-8B5C-06A9-DDD3-27D7B8360A04}"/>
            </a:ext>
          </a:extLst>
        </xdr:cNvPr>
        <xdr:cNvSpPr txBox="1"/>
      </xdr:nvSpPr>
      <xdr:spPr>
        <a:xfrm>
          <a:off x="4690535" y="1286932"/>
          <a:ext cx="99060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C427561-ED21-4D68-8D1D-6B38313534A9}" type="TxLink">
            <a:rPr lang="en-US" sz="1600" b="1" i="0" u="none" strike="noStrike">
              <a:solidFill>
                <a:srgbClr val="000000"/>
              </a:solidFill>
              <a:latin typeface="Aptos Narrow"/>
              <a:ea typeface="+mn-ea"/>
              <a:cs typeface="+mn-cs"/>
            </a:rPr>
            <a:pPr marL="0" indent="0"/>
            <a:t> $113,301 </a:t>
          </a:fld>
          <a:endParaRPr lang="en-US" sz="1600" b="1" i="0" u="none" strike="noStrike">
            <a:solidFill>
              <a:srgbClr val="000000"/>
            </a:solidFill>
            <a:latin typeface="Aptos Narrow"/>
            <a:ea typeface="+mn-ea"/>
            <a:cs typeface="+mn-cs"/>
          </a:endParaRPr>
        </a:p>
      </xdr:txBody>
    </xdr:sp>
    <xdr:clientData/>
  </xdr:oneCellAnchor>
  <xdr:oneCellAnchor>
    <xdr:from>
      <xdr:col>10</xdr:col>
      <xdr:colOff>414867</xdr:colOff>
      <xdr:row>8</xdr:row>
      <xdr:rowOff>50801</xdr:rowOff>
    </xdr:from>
    <xdr:ext cx="990600" cy="342851"/>
    <xdr:sp macro="" textlink="Customers">
      <xdr:nvSpPr>
        <xdr:cNvPr id="70" name="TextBox 69">
          <a:extLst>
            <a:ext uri="{FF2B5EF4-FFF2-40B4-BE49-F238E27FC236}">
              <a16:creationId xmlns:a16="http://schemas.microsoft.com/office/drawing/2014/main" id="{6F8BF5A0-84E8-4FEC-3C2F-80D6D28BD7A2}"/>
            </a:ext>
          </a:extLst>
        </xdr:cNvPr>
        <xdr:cNvSpPr txBox="1"/>
      </xdr:nvSpPr>
      <xdr:spPr>
        <a:xfrm>
          <a:off x="6510867" y="1540934"/>
          <a:ext cx="9906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003BF7C-F7A4-4ACB-BAA5-F40EA3CE22A2}" type="TxLink">
            <a:rPr lang="en-US" sz="1600" b="1" i="0" u="none" strike="noStrike">
              <a:solidFill>
                <a:srgbClr val="000000"/>
              </a:solidFill>
              <a:latin typeface="Aptos Narrow"/>
              <a:ea typeface="+mn-ea"/>
              <a:cs typeface="+mn-cs"/>
            </a:rPr>
            <a:pPr marL="0" indent="0"/>
            <a:t>63</a:t>
          </a:fld>
          <a:endParaRPr lang="en-US" sz="1600" b="1" i="0" u="none" strike="noStrike">
            <a:solidFill>
              <a:srgbClr val="000000"/>
            </a:solidFill>
            <a:latin typeface="Aptos Narrow"/>
            <a:ea typeface="+mn-ea"/>
            <a:cs typeface="+mn-cs"/>
          </a:endParaRPr>
        </a:p>
      </xdr:txBody>
    </xdr:sp>
    <xdr:clientData/>
  </xdr:oneCellAnchor>
  <xdr:oneCellAnchor>
    <xdr:from>
      <xdr:col>13</xdr:col>
      <xdr:colOff>440269</xdr:colOff>
      <xdr:row>6</xdr:row>
      <xdr:rowOff>186262</xdr:rowOff>
    </xdr:from>
    <xdr:ext cx="990600" cy="593368"/>
    <xdr:sp macro="" textlink="Target">
      <xdr:nvSpPr>
        <xdr:cNvPr id="71" name="TextBox 70">
          <a:extLst>
            <a:ext uri="{FF2B5EF4-FFF2-40B4-BE49-F238E27FC236}">
              <a16:creationId xmlns:a16="http://schemas.microsoft.com/office/drawing/2014/main" id="{BCBBBD35-4225-3BFC-92B1-DC2F8C369D30}"/>
            </a:ext>
          </a:extLst>
        </xdr:cNvPr>
        <xdr:cNvSpPr txBox="1"/>
      </xdr:nvSpPr>
      <xdr:spPr>
        <a:xfrm>
          <a:off x="8365069" y="1303862"/>
          <a:ext cx="99060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1550A9E-18BE-4FCD-A22C-5F3A93287590}" type="TxLink">
            <a:rPr lang="en-US" sz="1600" b="1" i="0" u="none" strike="noStrike">
              <a:solidFill>
                <a:srgbClr val="000000"/>
              </a:solidFill>
              <a:latin typeface="Aptos Narrow"/>
              <a:ea typeface="+mn-ea"/>
              <a:cs typeface="+mn-cs"/>
            </a:rPr>
            <a:pPr marL="0" indent="0"/>
            <a:t> $166,999 </a:t>
          </a:fld>
          <a:endParaRPr lang="en-US" sz="1600" b="1" i="0" u="none" strike="noStrike">
            <a:solidFill>
              <a:srgbClr val="000000"/>
            </a:solidFill>
            <a:latin typeface="Aptos Narrow"/>
            <a:ea typeface="+mn-ea"/>
            <a:cs typeface="+mn-cs"/>
          </a:endParaRPr>
        </a:p>
      </xdr:txBody>
    </xdr:sp>
    <xdr:clientData/>
  </xdr:oneCellAnchor>
  <xdr:twoCellAnchor>
    <xdr:from>
      <xdr:col>4</xdr:col>
      <xdr:colOff>160865</xdr:colOff>
      <xdr:row>9</xdr:row>
      <xdr:rowOff>135466</xdr:rowOff>
    </xdr:from>
    <xdr:to>
      <xdr:col>7</xdr:col>
      <xdr:colOff>211667</xdr:colOff>
      <xdr:row>13</xdr:row>
      <xdr:rowOff>76200</xdr:rowOff>
    </xdr:to>
    <xdr:graphicFrame macro="">
      <xdr:nvGraphicFramePr>
        <xdr:cNvPr id="72" name="Chart 71">
          <a:extLst>
            <a:ext uri="{FF2B5EF4-FFF2-40B4-BE49-F238E27FC236}">
              <a16:creationId xmlns:a16="http://schemas.microsoft.com/office/drawing/2014/main" id="{29752D37-6168-460F-B9D0-248E085E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372531</xdr:colOff>
      <xdr:row>10</xdr:row>
      <xdr:rowOff>25399</xdr:rowOff>
    </xdr:from>
    <xdr:to>
      <xdr:col>10</xdr:col>
      <xdr:colOff>541867</xdr:colOff>
      <xdr:row>14</xdr:row>
      <xdr:rowOff>16934</xdr:rowOff>
    </xdr:to>
    <xdr:graphicFrame macro="">
      <xdr:nvGraphicFramePr>
        <xdr:cNvPr id="73" name="Chart 72">
          <a:extLst>
            <a:ext uri="{FF2B5EF4-FFF2-40B4-BE49-F238E27FC236}">
              <a16:creationId xmlns:a16="http://schemas.microsoft.com/office/drawing/2014/main" id="{2BE7BD99-705E-43F6-8D9E-47F14E672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152398</xdr:colOff>
      <xdr:row>9</xdr:row>
      <xdr:rowOff>152400</xdr:rowOff>
    </xdr:from>
    <xdr:to>
      <xdr:col>13</xdr:col>
      <xdr:colOff>177800</xdr:colOff>
      <xdr:row>13</xdr:row>
      <xdr:rowOff>42334</xdr:rowOff>
    </xdr:to>
    <xdr:graphicFrame macro="">
      <xdr:nvGraphicFramePr>
        <xdr:cNvPr id="74" name="Chart 73">
          <a:extLst>
            <a:ext uri="{FF2B5EF4-FFF2-40B4-BE49-F238E27FC236}">
              <a16:creationId xmlns:a16="http://schemas.microsoft.com/office/drawing/2014/main" id="{EC1879A7-22BB-4CBF-B20E-4A8B90B86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101599</xdr:colOff>
      <xdr:row>9</xdr:row>
      <xdr:rowOff>143933</xdr:rowOff>
    </xdr:from>
    <xdr:to>
      <xdr:col>16</xdr:col>
      <xdr:colOff>201506</xdr:colOff>
      <xdr:row>13</xdr:row>
      <xdr:rowOff>8466</xdr:rowOff>
    </xdr:to>
    <xdr:graphicFrame macro="">
      <xdr:nvGraphicFramePr>
        <xdr:cNvPr id="75" name="Chart 74">
          <a:extLst>
            <a:ext uri="{FF2B5EF4-FFF2-40B4-BE49-F238E27FC236}">
              <a16:creationId xmlns:a16="http://schemas.microsoft.com/office/drawing/2014/main" id="{79170BD4-771E-4AE7-8AD5-3ACB81712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33859</xdr:colOff>
      <xdr:row>12</xdr:row>
      <xdr:rowOff>169333</xdr:rowOff>
    </xdr:from>
    <xdr:to>
      <xdr:col>9</xdr:col>
      <xdr:colOff>270933</xdr:colOff>
      <xdr:row>19</xdr:row>
      <xdr:rowOff>72812</xdr:rowOff>
    </xdr:to>
    <xdr:graphicFrame macro="">
      <xdr:nvGraphicFramePr>
        <xdr:cNvPr id="76" name="Chart 75">
          <a:extLst>
            <a:ext uri="{FF2B5EF4-FFF2-40B4-BE49-F238E27FC236}">
              <a16:creationId xmlns:a16="http://schemas.microsoft.com/office/drawing/2014/main" id="{4519FAA5-06CB-4F38-AEC9-5B2A8CF9A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601127</xdr:colOff>
      <xdr:row>20</xdr:row>
      <xdr:rowOff>93140</xdr:rowOff>
    </xdr:from>
    <xdr:to>
      <xdr:col>9</xdr:col>
      <xdr:colOff>448733</xdr:colOff>
      <xdr:row>26</xdr:row>
      <xdr:rowOff>122350</xdr:rowOff>
    </xdr:to>
    <xdr:graphicFrame macro="">
      <xdr:nvGraphicFramePr>
        <xdr:cNvPr id="77" name="Chart 76">
          <a:extLst>
            <a:ext uri="{FF2B5EF4-FFF2-40B4-BE49-F238E27FC236}">
              <a16:creationId xmlns:a16="http://schemas.microsoft.com/office/drawing/2014/main" id="{A63FF04A-E194-41CE-87FB-F652992B9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50800</xdr:colOff>
      <xdr:row>12</xdr:row>
      <xdr:rowOff>76198</xdr:rowOff>
    </xdr:from>
    <xdr:to>
      <xdr:col>7</xdr:col>
      <xdr:colOff>491067</xdr:colOff>
      <xdr:row>13</xdr:row>
      <xdr:rowOff>101598</xdr:rowOff>
    </xdr:to>
    <xdr:sp macro="" textlink="">
      <xdr:nvSpPr>
        <xdr:cNvPr id="78" name="TextBox 77">
          <a:extLst>
            <a:ext uri="{FF2B5EF4-FFF2-40B4-BE49-F238E27FC236}">
              <a16:creationId xmlns:a16="http://schemas.microsoft.com/office/drawing/2014/main" id="{0A17A540-BAE8-42B9-9102-69D3D761EA5A}"/>
            </a:ext>
          </a:extLst>
        </xdr:cNvPr>
        <xdr:cNvSpPr txBox="1"/>
      </xdr:nvSpPr>
      <xdr:spPr>
        <a:xfrm>
          <a:off x="2489200" y="2311398"/>
          <a:ext cx="2269067" cy="211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latin typeface="Bahnschrift" panose="020B0502040204020203" pitchFamily="34" charset="0"/>
            </a:rPr>
            <a:t>Monthly Sales Performance vs Target</a:t>
          </a:r>
          <a:endParaRPr lang="en-GB" sz="900" i="0">
            <a:solidFill>
              <a:schemeClr val="tx1">
                <a:lumMod val="50000"/>
                <a:lumOff val="50000"/>
              </a:schemeClr>
            </a:solidFill>
            <a:latin typeface="Bahnschrift" panose="020B0502040204020203" pitchFamily="34" charset="0"/>
          </a:endParaRPr>
        </a:p>
      </xdr:txBody>
    </xdr:sp>
    <xdr:clientData/>
  </xdr:twoCellAnchor>
  <xdr:twoCellAnchor>
    <xdr:from>
      <xdr:col>4</xdr:col>
      <xdr:colOff>8466</xdr:colOff>
      <xdr:row>19</xdr:row>
      <xdr:rowOff>137584</xdr:rowOff>
    </xdr:from>
    <xdr:to>
      <xdr:col>7</xdr:col>
      <xdr:colOff>73869</xdr:colOff>
      <xdr:row>21</xdr:row>
      <xdr:rowOff>12701</xdr:rowOff>
    </xdr:to>
    <xdr:sp macro="" textlink="">
      <xdr:nvSpPr>
        <xdr:cNvPr id="79" name="TextBox 78">
          <a:extLst>
            <a:ext uri="{FF2B5EF4-FFF2-40B4-BE49-F238E27FC236}">
              <a16:creationId xmlns:a16="http://schemas.microsoft.com/office/drawing/2014/main" id="{518E0C47-0FFA-476A-A258-D12F85F70DCA}"/>
            </a:ext>
          </a:extLst>
        </xdr:cNvPr>
        <xdr:cNvSpPr txBox="1"/>
      </xdr:nvSpPr>
      <xdr:spPr>
        <a:xfrm>
          <a:off x="2446866" y="3676651"/>
          <a:ext cx="1894203"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latin typeface="Bahnschrift" panose="020B0502040204020203" pitchFamily="34" charset="0"/>
            </a:rPr>
            <a:t>Monthly Customer Growth Trend</a:t>
          </a:r>
          <a:endParaRPr lang="en-GB" sz="900" i="0">
            <a:solidFill>
              <a:schemeClr val="tx1">
                <a:lumMod val="50000"/>
                <a:lumOff val="50000"/>
              </a:schemeClr>
            </a:solidFill>
            <a:latin typeface="Bahnschrift" panose="020B0502040204020203" pitchFamily="34" charset="0"/>
          </a:endParaRPr>
        </a:p>
      </xdr:txBody>
    </xdr:sp>
    <xdr:clientData/>
  </xdr:twoCellAnchor>
  <xdr:twoCellAnchor>
    <xdr:from>
      <xdr:col>9</xdr:col>
      <xdr:colOff>228598</xdr:colOff>
      <xdr:row>13</xdr:row>
      <xdr:rowOff>42333</xdr:rowOff>
    </xdr:from>
    <xdr:to>
      <xdr:col>12</xdr:col>
      <xdr:colOff>414865</xdr:colOff>
      <xdr:row>20</xdr:row>
      <xdr:rowOff>8467</xdr:rowOff>
    </xdr:to>
    <xdr:graphicFrame macro="">
      <xdr:nvGraphicFramePr>
        <xdr:cNvPr id="80" name="Chart 79">
          <a:extLst>
            <a:ext uri="{FF2B5EF4-FFF2-40B4-BE49-F238E27FC236}">
              <a16:creationId xmlns:a16="http://schemas.microsoft.com/office/drawing/2014/main" id="{E7911E4F-2F8A-4A14-B852-42EE7BC6A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10</xdr:col>
      <xdr:colOff>152404</xdr:colOff>
      <xdr:row>15</xdr:row>
      <xdr:rowOff>33861</xdr:rowOff>
    </xdr:from>
    <xdr:ext cx="719663" cy="342851"/>
    <xdr:sp macro="" textlink="HIGHESTREGION">
      <xdr:nvSpPr>
        <xdr:cNvPr id="81" name="TextBox 80">
          <a:extLst>
            <a:ext uri="{FF2B5EF4-FFF2-40B4-BE49-F238E27FC236}">
              <a16:creationId xmlns:a16="http://schemas.microsoft.com/office/drawing/2014/main" id="{ED4984F4-E400-7E88-8FA8-8687C46F8577}"/>
            </a:ext>
          </a:extLst>
        </xdr:cNvPr>
        <xdr:cNvSpPr txBox="1"/>
      </xdr:nvSpPr>
      <xdr:spPr>
        <a:xfrm>
          <a:off x="6248404" y="2827861"/>
          <a:ext cx="71966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334F2A6-1609-4231-A195-F8DCBB91BBB9}" type="TxLink">
            <a:rPr lang="en-US" sz="1600" b="1" i="0" u="none" strike="noStrike">
              <a:solidFill>
                <a:srgbClr val="000000"/>
              </a:solidFill>
              <a:latin typeface="Aptos Narrow"/>
              <a:ea typeface="+mn-ea"/>
              <a:cs typeface="+mn-cs"/>
            </a:rPr>
            <a:t>East</a:t>
          </a:fld>
          <a:endParaRPr lang="en-US" sz="2400" b="1" i="0" u="none" strike="noStrike">
            <a:solidFill>
              <a:srgbClr val="000000"/>
            </a:solidFill>
            <a:latin typeface="Aptos Narrow"/>
            <a:ea typeface="+mn-ea"/>
            <a:cs typeface="+mn-cs"/>
          </a:endParaRPr>
        </a:p>
      </xdr:txBody>
    </xdr:sp>
    <xdr:clientData/>
  </xdr:oneCellAnchor>
  <xdr:oneCellAnchor>
    <xdr:from>
      <xdr:col>10</xdr:col>
      <xdr:colOff>228604</xdr:colOff>
      <xdr:row>16</xdr:row>
      <xdr:rowOff>59261</xdr:rowOff>
    </xdr:from>
    <xdr:ext cx="541863" cy="280205"/>
    <xdr:sp macro="" textlink="MAXREGION">
      <xdr:nvSpPr>
        <xdr:cNvPr id="82" name="TextBox 81">
          <a:extLst>
            <a:ext uri="{FF2B5EF4-FFF2-40B4-BE49-F238E27FC236}">
              <a16:creationId xmlns:a16="http://schemas.microsoft.com/office/drawing/2014/main" id="{2BD2D8A5-737E-BDDD-C696-C407A960E973}"/>
            </a:ext>
          </a:extLst>
        </xdr:cNvPr>
        <xdr:cNvSpPr txBox="1"/>
      </xdr:nvSpPr>
      <xdr:spPr>
        <a:xfrm>
          <a:off x="6324604" y="3039528"/>
          <a:ext cx="5418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0BB79F9-641B-4EDE-B090-9BE1C0C6C3C4}" type="TxLink">
            <a:rPr lang="en-US" sz="1200" b="1" i="0" u="none" strike="noStrike">
              <a:solidFill>
                <a:srgbClr val="000000"/>
              </a:solidFill>
              <a:latin typeface="Aptos Narrow"/>
              <a:ea typeface="+mn-ea"/>
              <a:cs typeface="+mn-cs"/>
            </a:rPr>
            <a:t>32%</a:t>
          </a:fld>
          <a:endParaRPr lang="en-US" sz="2400" b="1" i="0" u="none" strike="noStrike">
            <a:solidFill>
              <a:srgbClr val="000000"/>
            </a:solidFill>
            <a:latin typeface="Aptos Narrow"/>
            <a:ea typeface="+mn-ea"/>
            <a:cs typeface="+mn-cs"/>
          </a:endParaRPr>
        </a:p>
      </xdr:txBody>
    </xdr:sp>
    <xdr:clientData/>
  </xdr:oneCellAnchor>
  <xdr:twoCellAnchor>
    <xdr:from>
      <xdr:col>9</xdr:col>
      <xdr:colOff>258227</xdr:colOff>
      <xdr:row>12</xdr:row>
      <xdr:rowOff>91017</xdr:rowOff>
    </xdr:from>
    <xdr:to>
      <xdr:col>12</xdr:col>
      <xdr:colOff>263519</xdr:colOff>
      <xdr:row>13</xdr:row>
      <xdr:rowOff>120649</xdr:rowOff>
    </xdr:to>
    <xdr:sp macro="" textlink="">
      <xdr:nvSpPr>
        <xdr:cNvPr id="83" name="TextBox 82">
          <a:extLst>
            <a:ext uri="{FF2B5EF4-FFF2-40B4-BE49-F238E27FC236}">
              <a16:creationId xmlns:a16="http://schemas.microsoft.com/office/drawing/2014/main" id="{0F455232-53D8-4B94-909B-1F9707185926}"/>
            </a:ext>
          </a:extLst>
        </xdr:cNvPr>
        <xdr:cNvSpPr txBox="1"/>
      </xdr:nvSpPr>
      <xdr:spPr>
        <a:xfrm>
          <a:off x="5744627" y="2326217"/>
          <a:ext cx="1834092" cy="21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b="0">
              <a:latin typeface="Bahnschrift" panose="020B0502040204020203" pitchFamily="34" charset="0"/>
            </a:rPr>
            <a:t>Regional Sales  </a:t>
          </a:r>
        </a:p>
      </xdr:txBody>
    </xdr:sp>
    <xdr:clientData/>
  </xdr:twoCellAnchor>
  <xdr:twoCellAnchor>
    <xdr:from>
      <xdr:col>9</xdr:col>
      <xdr:colOff>300559</xdr:colOff>
      <xdr:row>19</xdr:row>
      <xdr:rowOff>93134</xdr:rowOff>
    </xdr:from>
    <xdr:to>
      <xdr:col>12</xdr:col>
      <xdr:colOff>305850</xdr:colOff>
      <xdr:row>20</xdr:row>
      <xdr:rowOff>103718</xdr:rowOff>
    </xdr:to>
    <xdr:sp macro="" textlink="">
      <xdr:nvSpPr>
        <xdr:cNvPr id="84" name="TextBox 83">
          <a:extLst>
            <a:ext uri="{FF2B5EF4-FFF2-40B4-BE49-F238E27FC236}">
              <a16:creationId xmlns:a16="http://schemas.microsoft.com/office/drawing/2014/main" id="{CF4C8C84-ACA0-4797-972C-6D5420CFCB87}"/>
            </a:ext>
          </a:extLst>
        </xdr:cNvPr>
        <xdr:cNvSpPr txBox="1"/>
      </xdr:nvSpPr>
      <xdr:spPr>
        <a:xfrm>
          <a:off x="5786959" y="3632201"/>
          <a:ext cx="1834091"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a:latin typeface="Bahnschrift" panose="020B0502040204020203" pitchFamily="34" charset="0"/>
            </a:rPr>
            <a:t>Customer Experience  </a:t>
          </a:r>
          <a:endParaRPr lang="en-GB" sz="900" i="0">
            <a:solidFill>
              <a:schemeClr val="tx1">
                <a:lumMod val="50000"/>
                <a:lumOff val="50000"/>
              </a:schemeClr>
            </a:solidFill>
            <a:latin typeface="Bahnschrift" panose="020B0502040204020203" pitchFamily="34" charset="0"/>
          </a:endParaRPr>
        </a:p>
      </xdr:txBody>
    </xdr:sp>
    <xdr:clientData/>
  </xdr:twoCellAnchor>
  <xdr:twoCellAnchor>
    <xdr:from>
      <xdr:col>9</xdr:col>
      <xdr:colOff>262467</xdr:colOff>
      <xdr:row>19</xdr:row>
      <xdr:rowOff>110066</xdr:rowOff>
    </xdr:from>
    <xdr:to>
      <xdr:col>12</xdr:col>
      <xdr:colOff>287867</xdr:colOff>
      <xdr:row>27</xdr:row>
      <xdr:rowOff>0</xdr:rowOff>
    </xdr:to>
    <xdr:graphicFrame macro="">
      <xdr:nvGraphicFramePr>
        <xdr:cNvPr id="85" name="Chart 84">
          <a:extLst>
            <a:ext uri="{FF2B5EF4-FFF2-40B4-BE49-F238E27FC236}">
              <a16:creationId xmlns:a16="http://schemas.microsoft.com/office/drawing/2014/main" id="{E5158096-967F-4FFD-9786-B969D6B8C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22442</xdr:colOff>
      <xdr:row>12</xdr:row>
      <xdr:rowOff>118533</xdr:rowOff>
    </xdr:from>
    <xdr:to>
      <xdr:col>16</xdr:col>
      <xdr:colOff>95465</xdr:colOff>
      <xdr:row>13</xdr:row>
      <xdr:rowOff>173566</xdr:rowOff>
    </xdr:to>
    <xdr:sp macro="" textlink="">
      <xdr:nvSpPr>
        <xdr:cNvPr id="86" name="TextBox 85">
          <a:extLst>
            <a:ext uri="{FF2B5EF4-FFF2-40B4-BE49-F238E27FC236}">
              <a16:creationId xmlns:a16="http://schemas.microsoft.com/office/drawing/2014/main" id="{F0C78B44-F8E5-499C-AEE1-1FB8E51B41AB}"/>
            </a:ext>
          </a:extLst>
        </xdr:cNvPr>
        <xdr:cNvSpPr txBox="1"/>
      </xdr:nvSpPr>
      <xdr:spPr>
        <a:xfrm>
          <a:off x="7947242" y="2353733"/>
          <a:ext cx="1901823"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latin typeface="Bahnschrift" panose="020B0502040204020203" pitchFamily="34" charset="0"/>
            </a:rPr>
            <a:t>Geographical Sales Distribution</a:t>
          </a:r>
          <a:endParaRPr lang="en-GB" sz="900" i="0">
            <a:solidFill>
              <a:schemeClr val="tx1">
                <a:lumMod val="50000"/>
                <a:lumOff val="50000"/>
              </a:schemeClr>
            </a:solidFill>
            <a:latin typeface="Bahnschrift" panose="020B0502040204020203" pitchFamily="34" charset="0"/>
          </a:endParaRPr>
        </a:p>
      </xdr:txBody>
    </xdr:sp>
    <xdr:clientData/>
  </xdr:twoCellAnchor>
  <xdr:twoCellAnchor editAs="oneCell">
    <xdr:from>
      <xdr:col>9</xdr:col>
      <xdr:colOff>101816</xdr:colOff>
      <xdr:row>12</xdr:row>
      <xdr:rowOff>162982</xdr:rowOff>
    </xdr:from>
    <xdr:to>
      <xdr:col>9</xdr:col>
      <xdr:colOff>250270</xdr:colOff>
      <xdr:row>13</xdr:row>
      <xdr:rowOff>120715</xdr:rowOff>
    </xdr:to>
    <xdr:pic>
      <xdr:nvPicPr>
        <xdr:cNvPr id="87" name="Picture 86">
          <a:extLst>
            <a:ext uri="{FF2B5EF4-FFF2-40B4-BE49-F238E27FC236}">
              <a16:creationId xmlns:a16="http://schemas.microsoft.com/office/drawing/2014/main" id="{2FCF54DF-DF41-4E29-AFB2-FAD3AEE2CD1F}"/>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588216" y="2398182"/>
          <a:ext cx="148454" cy="144000"/>
        </a:xfrm>
        <a:prstGeom prst="rect">
          <a:avLst/>
        </a:prstGeom>
      </xdr:spPr>
    </xdr:pic>
    <xdr:clientData/>
  </xdr:twoCellAnchor>
  <xdr:twoCellAnchor editAs="oneCell">
    <xdr:from>
      <xdr:col>8</xdr:col>
      <xdr:colOff>550334</xdr:colOff>
      <xdr:row>19</xdr:row>
      <xdr:rowOff>147952</xdr:rowOff>
    </xdr:from>
    <xdr:to>
      <xdr:col>9</xdr:col>
      <xdr:colOff>126322</xdr:colOff>
      <xdr:row>20</xdr:row>
      <xdr:rowOff>141686</xdr:rowOff>
    </xdr:to>
    <xdr:pic>
      <xdr:nvPicPr>
        <xdr:cNvPr id="88" name="Picture 87">
          <a:extLst>
            <a:ext uri="{FF2B5EF4-FFF2-40B4-BE49-F238E27FC236}">
              <a16:creationId xmlns:a16="http://schemas.microsoft.com/office/drawing/2014/main" id="{6739AB04-8CF0-42CF-A1E1-2C6E1A67561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427134" y="3687019"/>
          <a:ext cx="185588" cy="180000"/>
        </a:xfrm>
        <a:prstGeom prst="rect">
          <a:avLst/>
        </a:prstGeom>
      </xdr:spPr>
    </xdr:pic>
    <xdr:clientData/>
  </xdr:twoCellAnchor>
  <xdr:twoCellAnchor editAs="oneCell">
    <xdr:from>
      <xdr:col>12</xdr:col>
      <xdr:colOff>254568</xdr:colOff>
      <xdr:row>12</xdr:row>
      <xdr:rowOff>141109</xdr:rowOff>
    </xdr:from>
    <xdr:to>
      <xdr:col>12</xdr:col>
      <xdr:colOff>407564</xdr:colOff>
      <xdr:row>13</xdr:row>
      <xdr:rowOff>98842</xdr:rowOff>
    </xdr:to>
    <xdr:pic>
      <xdr:nvPicPr>
        <xdr:cNvPr id="89" name="Picture 88">
          <a:extLst>
            <a:ext uri="{FF2B5EF4-FFF2-40B4-BE49-F238E27FC236}">
              <a16:creationId xmlns:a16="http://schemas.microsoft.com/office/drawing/2014/main" id="{4FA39608-1204-4711-92F8-9B6C9F840E5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7569768" y="2376309"/>
          <a:ext cx="152996" cy="144000"/>
        </a:xfrm>
        <a:prstGeom prst="rect">
          <a:avLst/>
        </a:prstGeom>
      </xdr:spPr>
    </xdr:pic>
    <xdr:clientData/>
  </xdr:twoCellAnchor>
  <xdr:twoCellAnchor editAs="oneCell">
    <xdr:from>
      <xdr:col>12</xdr:col>
      <xdr:colOff>198123</xdr:colOff>
      <xdr:row>19</xdr:row>
      <xdr:rowOff>143931</xdr:rowOff>
    </xdr:from>
    <xdr:to>
      <xdr:col>12</xdr:col>
      <xdr:colOff>426726</xdr:colOff>
      <xdr:row>21</xdr:row>
      <xdr:rowOff>1</xdr:rowOff>
    </xdr:to>
    <xdr:pic>
      <xdr:nvPicPr>
        <xdr:cNvPr id="90" name="Picture 89">
          <a:extLst>
            <a:ext uri="{FF2B5EF4-FFF2-40B4-BE49-F238E27FC236}">
              <a16:creationId xmlns:a16="http://schemas.microsoft.com/office/drawing/2014/main" id="{5D1E63BA-B569-44B8-B4A2-628C63DD074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7513323" y="3682998"/>
          <a:ext cx="228603" cy="228603"/>
        </a:xfrm>
        <a:prstGeom prst="rect">
          <a:avLst/>
        </a:prstGeom>
      </xdr:spPr>
    </xdr:pic>
    <xdr:clientData/>
  </xdr:twoCellAnchor>
  <xdr:twoCellAnchor>
    <xdr:from>
      <xdr:col>12</xdr:col>
      <xdr:colOff>152400</xdr:colOff>
      <xdr:row>13</xdr:row>
      <xdr:rowOff>50800</xdr:rowOff>
    </xdr:from>
    <xdr:to>
      <xdr:col>16</xdr:col>
      <xdr:colOff>177799</xdr:colOff>
      <xdr:row>26</xdr:row>
      <xdr:rowOff>59267</xdr:rowOff>
    </xdr:to>
    <mc:AlternateContent xmlns:mc="http://schemas.openxmlformats.org/markup-compatibility/2006">
      <mc:Choice xmlns:cx4="http://schemas.microsoft.com/office/drawing/2016/5/10/chartex" Requires="cx4">
        <xdr:graphicFrame macro="">
          <xdr:nvGraphicFramePr>
            <xdr:cNvPr id="91" name="Chart 90">
              <a:extLst>
                <a:ext uri="{FF2B5EF4-FFF2-40B4-BE49-F238E27FC236}">
                  <a16:creationId xmlns:a16="http://schemas.microsoft.com/office/drawing/2014/main" id="{AB157602-F23F-4763-A470-BA609BA908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7467600" y="2472267"/>
              <a:ext cx="2463799" cy="24299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42333</xdr:colOff>
      <xdr:row>5</xdr:row>
      <xdr:rowOff>50800</xdr:rowOff>
    </xdr:from>
    <xdr:to>
      <xdr:col>16</xdr:col>
      <xdr:colOff>27093</xdr:colOff>
      <xdr:row>7</xdr:row>
      <xdr:rowOff>101599</xdr:rowOff>
    </xdr:to>
    <mc:AlternateContent xmlns:mc="http://schemas.openxmlformats.org/markup-compatibility/2006">
      <mc:Choice xmlns:a14="http://schemas.microsoft.com/office/drawing/2010/main" Requires="a14">
        <xdr:graphicFrame macro="">
          <xdr:nvGraphicFramePr>
            <xdr:cNvPr id="92" name="Quarter">
              <a:extLst>
                <a:ext uri="{FF2B5EF4-FFF2-40B4-BE49-F238E27FC236}">
                  <a16:creationId xmlns:a16="http://schemas.microsoft.com/office/drawing/2014/main" id="{97D2646C-78F4-4296-9790-EB126FA0712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7967133" y="982133"/>
              <a:ext cx="1813560" cy="423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21</xdr:row>
      <xdr:rowOff>118533</xdr:rowOff>
    </xdr:from>
    <xdr:to>
      <xdr:col>2</xdr:col>
      <xdr:colOff>225525</xdr:colOff>
      <xdr:row>22</xdr:row>
      <xdr:rowOff>148266</xdr:rowOff>
    </xdr:to>
    <xdr:pic>
      <xdr:nvPicPr>
        <xdr:cNvPr id="93" name="Picture 92">
          <a:extLst>
            <a:ext uri="{FF2B5EF4-FFF2-40B4-BE49-F238E27FC236}">
              <a16:creationId xmlns:a16="http://schemas.microsoft.com/office/drawing/2014/main" id="{54B945B6-64D5-4E55-AC2E-851DA3B6C02B}"/>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295400" y="4030133"/>
          <a:ext cx="149325" cy="216000"/>
        </a:xfrm>
        <a:prstGeom prst="rect">
          <a:avLst/>
        </a:prstGeom>
      </xdr:spPr>
    </xdr:pic>
    <xdr:clientData/>
  </xdr:twoCellAnchor>
  <xdr:twoCellAnchor editAs="oneCell">
    <xdr:from>
      <xdr:col>2</xdr:col>
      <xdr:colOff>88124</xdr:colOff>
      <xdr:row>24</xdr:row>
      <xdr:rowOff>135467</xdr:rowOff>
    </xdr:from>
    <xdr:to>
      <xdr:col>2</xdr:col>
      <xdr:colOff>201449</xdr:colOff>
      <xdr:row>25</xdr:row>
      <xdr:rowOff>129200</xdr:rowOff>
    </xdr:to>
    <xdr:pic>
      <xdr:nvPicPr>
        <xdr:cNvPr id="94" name="Picture 93">
          <a:hlinkClick xmlns:r="http://schemas.openxmlformats.org/officeDocument/2006/relationships" r:id="rId30"/>
          <a:extLst>
            <a:ext uri="{FF2B5EF4-FFF2-40B4-BE49-F238E27FC236}">
              <a16:creationId xmlns:a16="http://schemas.microsoft.com/office/drawing/2014/main" id="{8A56DD51-10A9-4F36-A58F-97AEEB7DBAF1}"/>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307324" y="4605867"/>
          <a:ext cx="113325" cy="180000"/>
        </a:xfrm>
        <a:prstGeom prst="rect">
          <a:avLst/>
        </a:prstGeom>
      </xdr:spPr>
    </xdr:pic>
    <xdr:clientData/>
  </xdr:twoCellAnchor>
  <xdr:twoCellAnchor>
    <xdr:from>
      <xdr:col>2</xdr:col>
      <xdr:colOff>143934</xdr:colOff>
      <xdr:row>21</xdr:row>
      <xdr:rowOff>118532</xdr:rowOff>
    </xdr:from>
    <xdr:to>
      <xdr:col>3</xdr:col>
      <xdr:colOff>499534</xdr:colOff>
      <xdr:row>22</xdr:row>
      <xdr:rowOff>160865</xdr:rowOff>
    </xdr:to>
    <xdr:sp macro="" textlink="">
      <xdr:nvSpPr>
        <xdr:cNvPr id="95" name="TextBox 94">
          <a:extLst>
            <a:ext uri="{FF2B5EF4-FFF2-40B4-BE49-F238E27FC236}">
              <a16:creationId xmlns:a16="http://schemas.microsoft.com/office/drawing/2014/main" id="{16A5AA33-8100-ED39-A0A9-A1A15E728613}"/>
            </a:ext>
          </a:extLst>
        </xdr:cNvPr>
        <xdr:cNvSpPr txBox="1"/>
      </xdr:nvSpPr>
      <xdr:spPr>
        <a:xfrm>
          <a:off x="1363134" y="4030132"/>
          <a:ext cx="965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Kolawole</a:t>
          </a:r>
          <a:r>
            <a:rPr lang="en-US" sz="1100" baseline="0"/>
            <a:t> E.O</a:t>
          </a:r>
          <a:endParaRPr lang="en-US" sz="1100"/>
        </a:p>
      </xdr:txBody>
    </xdr:sp>
    <xdr:clientData/>
  </xdr:twoCellAnchor>
  <xdr:twoCellAnchor>
    <xdr:from>
      <xdr:col>2</xdr:col>
      <xdr:colOff>135466</xdr:colOff>
      <xdr:row>24</xdr:row>
      <xdr:rowOff>101599</xdr:rowOff>
    </xdr:from>
    <xdr:to>
      <xdr:col>3</xdr:col>
      <xdr:colOff>584199</xdr:colOff>
      <xdr:row>25</xdr:row>
      <xdr:rowOff>177800</xdr:rowOff>
    </xdr:to>
    <xdr:sp macro="" textlink="">
      <xdr:nvSpPr>
        <xdr:cNvPr id="96" name="TextBox 95">
          <a:hlinkClick xmlns:r="http://schemas.openxmlformats.org/officeDocument/2006/relationships" r:id="rId30"/>
          <a:extLst>
            <a:ext uri="{FF2B5EF4-FFF2-40B4-BE49-F238E27FC236}">
              <a16:creationId xmlns:a16="http://schemas.microsoft.com/office/drawing/2014/main" id="{C54E49E9-4CF7-AA7C-041A-1D2DE35FE14E}"/>
            </a:ext>
          </a:extLst>
        </xdr:cNvPr>
        <xdr:cNvSpPr txBox="1"/>
      </xdr:nvSpPr>
      <xdr:spPr>
        <a:xfrm>
          <a:off x="1354666" y="4571999"/>
          <a:ext cx="1058333" cy="262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Kollzemmy123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550333</xdr:colOff>
      <xdr:row>1</xdr:row>
      <xdr:rowOff>118531</xdr:rowOff>
    </xdr:from>
    <xdr:to>
      <xdr:col>13</xdr:col>
      <xdr:colOff>254000</xdr:colOff>
      <xdr:row>27</xdr:row>
      <xdr:rowOff>25399</xdr:rowOff>
    </xdr:to>
    <xdr:sp macro="" textlink="">
      <xdr:nvSpPr>
        <xdr:cNvPr id="2" name="Rectangle: Rounded Corners 1">
          <a:extLst>
            <a:ext uri="{FF2B5EF4-FFF2-40B4-BE49-F238E27FC236}">
              <a16:creationId xmlns:a16="http://schemas.microsoft.com/office/drawing/2014/main" id="{0087838D-6DA3-485A-B0BD-25517A584A05}"/>
            </a:ext>
          </a:extLst>
        </xdr:cNvPr>
        <xdr:cNvSpPr/>
      </xdr:nvSpPr>
      <xdr:spPr>
        <a:xfrm>
          <a:off x="1159933" y="301411"/>
          <a:ext cx="7018867" cy="4661748"/>
        </a:xfrm>
        <a:prstGeom prst="roundRect">
          <a:avLst>
            <a:gd name="adj" fmla="val 434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575729</xdr:colOff>
      <xdr:row>4</xdr:row>
      <xdr:rowOff>33864</xdr:rowOff>
    </xdr:from>
    <xdr:to>
      <xdr:col>16</xdr:col>
      <xdr:colOff>262463</xdr:colOff>
      <xdr:row>27</xdr:row>
      <xdr:rowOff>16932</xdr:rowOff>
    </xdr:to>
    <xdr:sp macro="" textlink="">
      <xdr:nvSpPr>
        <xdr:cNvPr id="3" name="Rectangle 2">
          <a:extLst>
            <a:ext uri="{FF2B5EF4-FFF2-40B4-BE49-F238E27FC236}">
              <a16:creationId xmlns:a16="http://schemas.microsoft.com/office/drawing/2014/main" id="{90639FA3-8863-4882-8D9F-FCE1C0ABBE5C}"/>
            </a:ext>
          </a:extLst>
        </xdr:cNvPr>
        <xdr:cNvSpPr/>
      </xdr:nvSpPr>
      <xdr:spPr>
        <a:xfrm>
          <a:off x="2404529" y="765384"/>
          <a:ext cx="7611534" cy="4189308"/>
        </a:xfrm>
        <a:prstGeom prst="rect">
          <a:avLst/>
        </a:prstGeom>
        <a:solidFill>
          <a:srgbClr val="F0F5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2</xdr:col>
      <xdr:colOff>76200</xdr:colOff>
      <xdr:row>8</xdr:row>
      <xdr:rowOff>0</xdr:rowOff>
    </xdr:from>
    <xdr:to>
      <xdr:col>3</xdr:col>
      <xdr:colOff>457200</xdr:colOff>
      <xdr:row>9</xdr:row>
      <xdr:rowOff>59267</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92037F61-471A-41BB-9082-CB88B2346C52}"/>
            </a:ext>
          </a:extLst>
        </xdr:cNvPr>
        <xdr:cNvSpPr/>
      </xdr:nvSpPr>
      <xdr:spPr>
        <a:xfrm>
          <a:off x="1295400" y="1463040"/>
          <a:ext cx="990600" cy="242147"/>
        </a:xfrm>
        <a:prstGeom prst="rect">
          <a:avLst/>
        </a:prstGeom>
        <a:solidFill>
          <a:srgbClr val="BFC7D2">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105827</xdr:colOff>
      <xdr:row>4</xdr:row>
      <xdr:rowOff>177799</xdr:rowOff>
    </xdr:from>
    <xdr:to>
      <xdr:col>16</xdr:col>
      <xdr:colOff>131228</xdr:colOff>
      <xdr:row>12</xdr:row>
      <xdr:rowOff>8466</xdr:rowOff>
    </xdr:to>
    <xdr:sp macro="" textlink="">
      <xdr:nvSpPr>
        <xdr:cNvPr id="5" name="Rectangle: Rounded Corners 4">
          <a:extLst>
            <a:ext uri="{FF2B5EF4-FFF2-40B4-BE49-F238E27FC236}">
              <a16:creationId xmlns:a16="http://schemas.microsoft.com/office/drawing/2014/main" id="{9FD2C680-AF3C-4DA6-AE22-80E6147180E1}"/>
            </a:ext>
          </a:extLst>
        </xdr:cNvPr>
        <xdr:cNvSpPr/>
      </xdr:nvSpPr>
      <xdr:spPr>
        <a:xfrm>
          <a:off x="2544227" y="909319"/>
          <a:ext cx="7340601" cy="1293707"/>
        </a:xfrm>
        <a:prstGeom prst="roundRect">
          <a:avLst>
            <a:gd name="adj" fmla="val 1908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237061</xdr:colOff>
      <xdr:row>7</xdr:row>
      <xdr:rowOff>135465</xdr:rowOff>
    </xdr:from>
    <xdr:to>
      <xdr:col>7</xdr:col>
      <xdr:colOff>145621</xdr:colOff>
      <xdr:row>11</xdr:row>
      <xdr:rowOff>101599</xdr:rowOff>
    </xdr:to>
    <xdr:sp macro="" textlink="">
      <xdr:nvSpPr>
        <xdr:cNvPr id="6" name="Rectangle: Rounded Corners 5">
          <a:extLst>
            <a:ext uri="{FF2B5EF4-FFF2-40B4-BE49-F238E27FC236}">
              <a16:creationId xmlns:a16="http://schemas.microsoft.com/office/drawing/2014/main" id="{A6EFD812-7900-4065-AB6D-E27D3119DB71}"/>
            </a:ext>
          </a:extLst>
        </xdr:cNvPr>
        <xdr:cNvSpPr/>
      </xdr:nvSpPr>
      <xdr:spPr>
        <a:xfrm>
          <a:off x="2675461" y="1415625"/>
          <a:ext cx="1737360" cy="697654"/>
        </a:xfrm>
        <a:prstGeom prst="roundRect">
          <a:avLst/>
        </a:prstGeom>
        <a:solidFill>
          <a:srgbClr val="BFC7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217305</xdr:colOff>
      <xdr:row>7</xdr:row>
      <xdr:rowOff>135465</xdr:rowOff>
    </xdr:from>
    <xdr:to>
      <xdr:col>10</xdr:col>
      <xdr:colOff>125865</xdr:colOff>
      <xdr:row>11</xdr:row>
      <xdr:rowOff>101599</xdr:rowOff>
    </xdr:to>
    <xdr:sp macro="" textlink="">
      <xdr:nvSpPr>
        <xdr:cNvPr id="7" name="Rectangle: Rounded Corners 6">
          <a:extLst>
            <a:ext uri="{FF2B5EF4-FFF2-40B4-BE49-F238E27FC236}">
              <a16:creationId xmlns:a16="http://schemas.microsoft.com/office/drawing/2014/main" id="{FBA13A30-8D8B-48FB-AC79-4D9340815DD1}"/>
            </a:ext>
          </a:extLst>
        </xdr:cNvPr>
        <xdr:cNvSpPr/>
      </xdr:nvSpPr>
      <xdr:spPr>
        <a:xfrm>
          <a:off x="4484505" y="1415625"/>
          <a:ext cx="1737360" cy="697654"/>
        </a:xfrm>
        <a:prstGeom prst="roundRect">
          <a:avLst/>
        </a:prstGeom>
        <a:solidFill>
          <a:srgbClr val="BFC7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197549</xdr:colOff>
      <xdr:row>7</xdr:row>
      <xdr:rowOff>135465</xdr:rowOff>
    </xdr:from>
    <xdr:to>
      <xdr:col>13</xdr:col>
      <xdr:colOff>106109</xdr:colOff>
      <xdr:row>11</xdr:row>
      <xdr:rowOff>101599</xdr:rowOff>
    </xdr:to>
    <xdr:sp macro="" textlink="">
      <xdr:nvSpPr>
        <xdr:cNvPr id="8" name="Rectangle: Rounded Corners 7">
          <a:extLst>
            <a:ext uri="{FF2B5EF4-FFF2-40B4-BE49-F238E27FC236}">
              <a16:creationId xmlns:a16="http://schemas.microsoft.com/office/drawing/2014/main" id="{0F66A291-8C34-434D-B773-2209C955AD0D}"/>
            </a:ext>
          </a:extLst>
        </xdr:cNvPr>
        <xdr:cNvSpPr/>
      </xdr:nvSpPr>
      <xdr:spPr>
        <a:xfrm>
          <a:off x="6293549" y="1415625"/>
          <a:ext cx="1737360" cy="697654"/>
        </a:xfrm>
        <a:prstGeom prst="roundRect">
          <a:avLst/>
        </a:prstGeom>
        <a:solidFill>
          <a:srgbClr val="BFC7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177793</xdr:colOff>
      <xdr:row>7</xdr:row>
      <xdr:rowOff>135465</xdr:rowOff>
    </xdr:from>
    <xdr:to>
      <xdr:col>16</xdr:col>
      <xdr:colOff>86353</xdr:colOff>
      <xdr:row>11</xdr:row>
      <xdr:rowOff>101599</xdr:rowOff>
    </xdr:to>
    <xdr:sp macro="" textlink="">
      <xdr:nvSpPr>
        <xdr:cNvPr id="9" name="Rectangle: Rounded Corners 8">
          <a:extLst>
            <a:ext uri="{FF2B5EF4-FFF2-40B4-BE49-F238E27FC236}">
              <a16:creationId xmlns:a16="http://schemas.microsoft.com/office/drawing/2014/main" id="{4DB949BF-2734-4935-BC5C-3F3D53526FEE}"/>
            </a:ext>
          </a:extLst>
        </xdr:cNvPr>
        <xdr:cNvSpPr/>
      </xdr:nvSpPr>
      <xdr:spPr>
        <a:xfrm>
          <a:off x="8102593" y="1415625"/>
          <a:ext cx="1737360" cy="697654"/>
        </a:xfrm>
        <a:prstGeom prst="roundRect">
          <a:avLst/>
        </a:prstGeom>
        <a:solidFill>
          <a:srgbClr val="BFC7D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105827</xdr:colOff>
      <xdr:row>12</xdr:row>
      <xdr:rowOff>82550</xdr:rowOff>
    </xdr:from>
    <xdr:to>
      <xdr:col>9</xdr:col>
      <xdr:colOff>296328</xdr:colOff>
      <xdr:row>19</xdr:row>
      <xdr:rowOff>40216</xdr:rowOff>
    </xdr:to>
    <xdr:sp macro="" textlink="">
      <xdr:nvSpPr>
        <xdr:cNvPr id="10" name="Rectangle: Rounded Corners 9">
          <a:extLst>
            <a:ext uri="{FF2B5EF4-FFF2-40B4-BE49-F238E27FC236}">
              <a16:creationId xmlns:a16="http://schemas.microsoft.com/office/drawing/2014/main" id="{62350A60-C851-4662-9728-C5E85EA23459}"/>
            </a:ext>
          </a:extLst>
        </xdr:cNvPr>
        <xdr:cNvSpPr/>
      </xdr:nvSpPr>
      <xdr:spPr>
        <a:xfrm>
          <a:off x="2544227" y="2277110"/>
          <a:ext cx="3238501" cy="1237826"/>
        </a:xfrm>
        <a:prstGeom prst="roundRect">
          <a:avLst>
            <a:gd name="adj" fmla="val 90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38091</xdr:colOff>
      <xdr:row>19</xdr:row>
      <xdr:rowOff>114300</xdr:rowOff>
    </xdr:from>
    <xdr:to>
      <xdr:col>9</xdr:col>
      <xdr:colOff>228592</xdr:colOff>
      <xdr:row>26</xdr:row>
      <xdr:rowOff>71967</xdr:rowOff>
    </xdr:to>
    <xdr:sp macro="" textlink="">
      <xdr:nvSpPr>
        <xdr:cNvPr id="11" name="Rectangle: Rounded Corners 10">
          <a:extLst>
            <a:ext uri="{FF2B5EF4-FFF2-40B4-BE49-F238E27FC236}">
              <a16:creationId xmlns:a16="http://schemas.microsoft.com/office/drawing/2014/main" id="{00D6EFD8-299F-4D63-A4AF-E9533BE2E47B}"/>
            </a:ext>
          </a:extLst>
        </xdr:cNvPr>
        <xdr:cNvSpPr/>
      </xdr:nvSpPr>
      <xdr:spPr>
        <a:xfrm>
          <a:off x="2476491" y="3589020"/>
          <a:ext cx="3238501" cy="1237827"/>
        </a:xfrm>
        <a:prstGeom prst="roundRect">
          <a:avLst>
            <a:gd name="adj" fmla="val 901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342893</xdr:colOff>
      <xdr:row>12</xdr:row>
      <xdr:rowOff>99483</xdr:rowOff>
    </xdr:from>
    <xdr:to>
      <xdr:col>12</xdr:col>
      <xdr:colOff>434333</xdr:colOff>
      <xdr:row>19</xdr:row>
      <xdr:rowOff>57149</xdr:rowOff>
    </xdr:to>
    <xdr:sp macro="" textlink="">
      <xdr:nvSpPr>
        <xdr:cNvPr id="12" name="Rectangle: Rounded Corners 11">
          <a:extLst>
            <a:ext uri="{FF2B5EF4-FFF2-40B4-BE49-F238E27FC236}">
              <a16:creationId xmlns:a16="http://schemas.microsoft.com/office/drawing/2014/main" id="{F7C93782-B29A-44BE-8ADF-2F1B04774F25}"/>
            </a:ext>
          </a:extLst>
        </xdr:cNvPr>
        <xdr:cNvSpPr/>
      </xdr:nvSpPr>
      <xdr:spPr>
        <a:xfrm>
          <a:off x="5829293" y="2294043"/>
          <a:ext cx="1920240" cy="1237826"/>
        </a:xfrm>
        <a:prstGeom prst="roundRect">
          <a:avLst>
            <a:gd name="adj" fmla="val 4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342893</xdr:colOff>
      <xdr:row>19</xdr:row>
      <xdr:rowOff>116416</xdr:rowOff>
    </xdr:from>
    <xdr:to>
      <xdr:col>12</xdr:col>
      <xdr:colOff>434333</xdr:colOff>
      <xdr:row>26</xdr:row>
      <xdr:rowOff>74083</xdr:rowOff>
    </xdr:to>
    <xdr:sp macro="" textlink="">
      <xdr:nvSpPr>
        <xdr:cNvPr id="13" name="Rectangle: Rounded Corners 12">
          <a:extLst>
            <a:ext uri="{FF2B5EF4-FFF2-40B4-BE49-F238E27FC236}">
              <a16:creationId xmlns:a16="http://schemas.microsoft.com/office/drawing/2014/main" id="{ACB5AF83-68FC-47A8-94F4-F4846EC34F35}"/>
            </a:ext>
          </a:extLst>
        </xdr:cNvPr>
        <xdr:cNvSpPr/>
      </xdr:nvSpPr>
      <xdr:spPr>
        <a:xfrm>
          <a:off x="5829293" y="3591136"/>
          <a:ext cx="1920240" cy="1237827"/>
        </a:xfrm>
        <a:prstGeom prst="roundRect">
          <a:avLst>
            <a:gd name="adj" fmla="val 431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478358</xdr:colOff>
      <xdr:row>12</xdr:row>
      <xdr:rowOff>74083</xdr:rowOff>
    </xdr:from>
    <xdr:to>
      <xdr:col>16</xdr:col>
      <xdr:colOff>135461</xdr:colOff>
      <xdr:row>26</xdr:row>
      <xdr:rowOff>76200</xdr:rowOff>
    </xdr:to>
    <xdr:sp macro="" textlink="">
      <xdr:nvSpPr>
        <xdr:cNvPr id="14" name="Rectangle: Rounded Corners 13">
          <a:extLst>
            <a:ext uri="{FF2B5EF4-FFF2-40B4-BE49-F238E27FC236}">
              <a16:creationId xmlns:a16="http://schemas.microsoft.com/office/drawing/2014/main" id="{9FA8EC9F-07AC-41E1-82DE-64C635EC996D}"/>
            </a:ext>
          </a:extLst>
        </xdr:cNvPr>
        <xdr:cNvSpPr/>
      </xdr:nvSpPr>
      <xdr:spPr>
        <a:xfrm>
          <a:off x="7793558" y="2268643"/>
          <a:ext cx="2095503" cy="2562437"/>
        </a:xfrm>
        <a:prstGeom prst="roundRect">
          <a:avLst>
            <a:gd name="adj" fmla="val 295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154527</xdr:colOff>
      <xdr:row>8</xdr:row>
      <xdr:rowOff>60580</xdr:rowOff>
    </xdr:from>
    <xdr:to>
      <xdr:col>2</xdr:col>
      <xdr:colOff>231852</xdr:colOff>
      <xdr:row>9</xdr:row>
      <xdr:rowOff>18313</xdr:rowOff>
    </xdr:to>
    <xdr:pic>
      <xdr:nvPicPr>
        <xdr:cNvPr id="15" name="Picture 14">
          <a:extLst>
            <a:ext uri="{FF2B5EF4-FFF2-40B4-BE49-F238E27FC236}">
              <a16:creationId xmlns:a16="http://schemas.microsoft.com/office/drawing/2014/main" id="{AB42D644-B715-425D-BB76-5F10D4DE5B1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3727" y="1523620"/>
          <a:ext cx="77325" cy="140613"/>
        </a:xfrm>
        <a:prstGeom prst="rect">
          <a:avLst/>
        </a:prstGeom>
      </xdr:spPr>
    </xdr:pic>
    <xdr:clientData/>
  </xdr:twoCellAnchor>
  <xdr:twoCellAnchor editAs="oneCell">
    <xdr:from>
      <xdr:col>2</xdr:col>
      <xdr:colOff>136527</xdr:colOff>
      <xdr:row>11</xdr:row>
      <xdr:rowOff>67162</xdr:rowOff>
    </xdr:from>
    <xdr:to>
      <xdr:col>2</xdr:col>
      <xdr:colOff>249852</xdr:colOff>
      <xdr:row>12</xdr:row>
      <xdr:rowOff>60895</xdr:rowOff>
    </xdr:to>
    <xdr:pic>
      <xdr:nvPicPr>
        <xdr:cNvPr id="16" name="Picture 15">
          <a:extLst>
            <a:ext uri="{FF2B5EF4-FFF2-40B4-BE49-F238E27FC236}">
              <a16:creationId xmlns:a16="http://schemas.microsoft.com/office/drawing/2014/main" id="{EE7EE1E0-2B33-4A5B-B423-3DB13357184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55727" y="2078842"/>
          <a:ext cx="113325" cy="176613"/>
        </a:xfrm>
        <a:prstGeom prst="rect">
          <a:avLst/>
        </a:prstGeom>
      </xdr:spPr>
    </xdr:pic>
    <xdr:clientData/>
  </xdr:twoCellAnchor>
  <xdr:twoCellAnchor editAs="oneCell">
    <xdr:from>
      <xdr:col>2</xdr:col>
      <xdr:colOff>184840</xdr:colOff>
      <xdr:row>1</xdr:row>
      <xdr:rowOff>118533</xdr:rowOff>
    </xdr:from>
    <xdr:to>
      <xdr:col>3</xdr:col>
      <xdr:colOff>231055</xdr:colOff>
      <xdr:row>5</xdr:row>
      <xdr:rowOff>147392</xdr:rowOff>
    </xdr:to>
    <xdr:pic>
      <xdr:nvPicPr>
        <xdr:cNvPr id="17" name="Picture 16">
          <a:extLst>
            <a:ext uri="{FF2B5EF4-FFF2-40B4-BE49-F238E27FC236}">
              <a16:creationId xmlns:a16="http://schemas.microsoft.com/office/drawing/2014/main" id="{F4103C32-9F56-4B47-90C4-5ABB0008D7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04040" y="301413"/>
          <a:ext cx="655815" cy="760379"/>
        </a:xfrm>
        <a:prstGeom prst="rect">
          <a:avLst/>
        </a:prstGeom>
      </xdr:spPr>
    </xdr:pic>
    <xdr:clientData/>
  </xdr:twoCellAnchor>
  <xdr:twoCellAnchor editAs="oneCell">
    <xdr:from>
      <xdr:col>2</xdr:col>
      <xdr:colOff>136527</xdr:colOff>
      <xdr:row>14</xdr:row>
      <xdr:rowOff>109744</xdr:rowOff>
    </xdr:from>
    <xdr:to>
      <xdr:col>2</xdr:col>
      <xdr:colOff>249852</xdr:colOff>
      <xdr:row>15</xdr:row>
      <xdr:rowOff>103477</xdr:rowOff>
    </xdr:to>
    <xdr:pic>
      <xdr:nvPicPr>
        <xdr:cNvPr id="18" name="Picture 17">
          <a:extLst>
            <a:ext uri="{FF2B5EF4-FFF2-40B4-BE49-F238E27FC236}">
              <a16:creationId xmlns:a16="http://schemas.microsoft.com/office/drawing/2014/main" id="{5A5E2F1F-C7C5-468E-9030-803E7D9EA67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5727" y="2670064"/>
          <a:ext cx="113325" cy="176613"/>
        </a:xfrm>
        <a:prstGeom prst="rect">
          <a:avLst/>
        </a:prstGeom>
      </xdr:spPr>
    </xdr:pic>
    <xdr:clientData/>
  </xdr:twoCellAnchor>
  <xdr:oneCellAnchor>
    <xdr:from>
      <xdr:col>2</xdr:col>
      <xdr:colOff>186267</xdr:colOff>
      <xdr:row>8</xdr:row>
      <xdr:rowOff>8467</xdr:rowOff>
    </xdr:from>
    <xdr:ext cx="823559" cy="264560"/>
    <xdr:sp macro="" textlink="">
      <xdr:nvSpPr>
        <xdr:cNvPr id="19" name="TextBox 18">
          <a:hlinkClick xmlns:r="http://schemas.openxmlformats.org/officeDocument/2006/relationships" r:id="rId1"/>
          <a:extLst>
            <a:ext uri="{FF2B5EF4-FFF2-40B4-BE49-F238E27FC236}">
              <a16:creationId xmlns:a16="http://schemas.microsoft.com/office/drawing/2014/main" id="{5E03885F-197C-44CC-A420-A46EE8FFE6B3}"/>
            </a:ext>
          </a:extLst>
        </xdr:cNvPr>
        <xdr:cNvSpPr txBox="1"/>
      </xdr:nvSpPr>
      <xdr:spPr>
        <a:xfrm>
          <a:off x="1405467" y="1471507"/>
          <a:ext cx="82355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Dashboard</a:t>
          </a:r>
        </a:p>
      </xdr:txBody>
    </xdr:sp>
    <xdr:clientData/>
  </xdr:oneCellAnchor>
  <xdr:oneCellAnchor>
    <xdr:from>
      <xdr:col>2</xdr:col>
      <xdr:colOff>194734</xdr:colOff>
      <xdr:row>11</xdr:row>
      <xdr:rowOff>33867</xdr:rowOff>
    </xdr:from>
    <xdr:ext cx="673389" cy="264560"/>
    <xdr:sp macro="" textlink="">
      <xdr:nvSpPr>
        <xdr:cNvPr id="20" name="TextBox 19">
          <a:hlinkClick xmlns:r="http://schemas.openxmlformats.org/officeDocument/2006/relationships" r:id="rId6"/>
          <a:extLst>
            <a:ext uri="{FF2B5EF4-FFF2-40B4-BE49-F238E27FC236}">
              <a16:creationId xmlns:a16="http://schemas.microsoft.com/office/drawing/2014/main" id="{276D6E3E-8AC2-47EF-BAA0-B985288314FA}"/>
            </a:ext>
          </a:extLst>
        </xdr:cNvPr>
        <xdr:cNvSpPr txBox="1"/>
      </xdr:nvSpPr>
      <xdr:spPr>
        <a:xfrm>
          <a:off x="1413934" y="2045547"/>
          <a:ext cx="67338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Analysis</a:t>
          </a:r>
        </a:p>
      </xdr:txBody>
    </xdr:sp>
    <xdr:clientData/>
  </xdr:oneCellAnchor>
  <xdr:oneCellAnchor>
    <xdr:from>
      <xdr:col>2</xdr:col>
      <xdr:colOff>203201</xdr:colOff>
      <xdr:row>14</xdr:row>
      <xdr:rowOff>59267</xdr:rowOff>
    </xdr:from>
    <xdr:ext cx="641073" cy="264560"/>
    <xdr:sp macro="" textlink="">
      <xdr:nvSpPr>
        <xdr:cNvPr id="21" name="TextBox 20">
          <a:hlinkClick xmlns:r="http://schemas.openxmlformats.org/officeDocument/2006/relationships" r:id="rId7"/>
          <a:extLst>
            <a:ext uri="{FF2B5EF4-FFF2-40B4-BE49-F238E27FC236}">
              <a16:creationId xmlns:a16="http://schemas.microsoft.com/office/drawing/2014/main" id="{3C04AEFF-063D-46D0-A732-438C98D56CD2}"/>
            </a:ext>
          </a:extLst>
        </xdr:cNvPr>
        <xdr:cNvSpPr txBox="1"/>
      </xdr:nvSpPr>
      <xdr:spPr>
        <a:xfrm>
          <a:off x="1422401" y="2619587"/>
          <a:ext cx="64107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Dataset</a:t>
          </a:r>
        </a:p>
      </xdr:txBody>
    </xdr:sp>
    <xdr:clientData/>
  </xdr:oneCellAnchor>
  <xdr:twoCellAnchor>
    <xdr:from>
      <xdr:col>4</xdr:col>
      <xdr:colOff>182030</xdr:colOff>
      <xdr:row>4</xdr:row>
      <xdr:rowOff>177799</xdr:rowOff>
    </xdr:from>
    <xdr:to>
      <xdr:col>10</xdr:col>
      <xdr:colOff>42336</xdr:colOff>
      <xdr:row>6</xdr:row>
      <xdr:rowOff>79374</xdr:rowOff>
    </xdr:to>
    <xdr:sp macro="" textlink="">
      <xdr:nvSpPr>
        <xdr:cNvPr id="22" name="TextBox 21">
          <a:extLst>
            <a:ext uri="{FF2B5EF4-FFF2-40B4-BE49-F238E27FC236}">
              <a16:creationId xmlns:a16="http://schemas.microsoft.com/office/drawing/2014/main" id="{6885F9AC-8E0C-40DE-9F91-890E26144733}"/>
            </a:ext>
          </a:extLst>
        </xdr:cNvPr>
        <xdr:cNvSpPr txBox="1"/>
      </xdr:nvSpPr>
      <xdr:spPr>
        <a:xfrm>
          <a:off x="2620430" y="909319"/>
          <a:ext cx="3517906" cy="267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latin typeface="Bahnschrift" panose="020B0502040204020203" pitchFamily="34" charset="0"/>
            </a:rPr>
            <a:t>Business Performance &amp; Customer Insights </a:t>
          </a:r>
        </a:p>
      </xdr:txBody>
    </xdr:sp>
    <xdr:clientData/>
  </xdr:twoCellAnchor>
  <xdr:twoCellAnchor>
    <xdr:from>
      <xdr:col>4</xdr:col>
      <xdr:colOff>190497</xdr:colOff>
      <xdr:row>5</xdr:row>
      <xdr:rowOff>184150</xdr:rowOff>
    </xdr:from>
    <xdr:to>
      <xdr:col>11</xdr:col>
      <xdr:colOff>228603</xdr:colOff>
      <xdr:row>7</xdr:row>
      <xdr:rowOff>16934</xdr:rowOff>
    </xdr:to>
    <xdr:sp macro="" textlink="">
      <xdr:nvSpPr>
        <xdr:cNvPr id="23" name="TextBox 22">
          <a:extLst>
            <a:ext uri="{FF2B5EF4-FFF2-40B4-BE49-F238E27FC236}">
              <a16:creationId xmlns:a16="http://schemas.microsoft.com/office/drawing/2014/main" id="{EC4DFBAE-1FDB-4BFA-A7A3-6C2EF2BDDD1A}"/>
            </a:ext>
          </a:extLst>
        </xdr:cNvPr>
        <xdr:cNvSpPr txBox="1"/>
      </xdr:nvSpPr>
      <xdr:spPr>
        <a:xfrm>
          <a:off x="2628897" y="1098550"/>
          <a:ext cx="4305306" cy="198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i="0">
              <a:solidFill>
                <a:schemeClr val="tx1">
                  <a:lumMod val="50000"/>
                  <a:lumOff val="50000"/>
                </a:schemeClr>
              </a:solidFill>
              <a:latin typeface="Bahnschrift Light" panose="020B0502040204020203" pitchFamily="34" charset="0"/>
            </a:rPr>
            <a:t>Tracking sales, profitability, and customer satisfaction across regions and time</a:t>
          </a:r>
        </a:p>
      </xdr:txBody>
    </xdr:sp>
    <xdr:clientData/>
  </xdr:twoCellAnchor>
  <xdr:twoCellAnchor editAs="oneCell">
    <xdr:from>
      <xdr:col>10</xdr:col>
      <xdr:colOff>601133</xdr:colOff>
      <xdr:row>2</xdr:row>
      <xdr:rowOff>67731</xdr:rowOff>
    </xdr:from>
    <xdr:to>
      <xdr:col>11</xdr:col>
      <xdr:colOff>171533</xdr:colOff>
      <xdr:row>3</xdr:row>
      <xdr:rowOff>61464</xdr:rowOff>
    </xdr:to>
    <xdr:pic>
      <xdr:nvPicPr>
        <xdr:cNvPr id="24" name="Picture 23">
          <a:hlinkClick xmlns:r="http://schemas.openxmlformats.org/officeDocument/2006/relationships" r:id="rId8"/>
          <a:extLst>
            <a:ext uri="{FF2B5EF4-FFF2-40B4-BE49-F238E27FC236}">
              <a16:creationId xmlns:a16="http://schemas.microsoft.com/office/drawing/2014/main" id="{95201830-B7B9-4703-A1EE-1AFDD5543E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97133" y="433491"/>
          <a:ext cx="180000" cy="176613"/>
        </a:xfrm>
        <a:prstGeom prst="rect">
          <a:avLst/>
        </a:prstGeom>
      </xdr:spPr>
    </xdr:pic>
    <xdr:clientData/>
  </xdr:twoCellAnchor>
  <xdr:twoCellAnchor editAs="oneCell">
    <xdr:from>
      <xdr:col>11</xdr:col>
      <xdr:colOff>507660</xdr:colOff>
      <xdr:row>2</xdr:row>
      <xdr:rowOff>67731</xdr:rowOff>
    </xdr:from>
    <xdr:to>
      <xdr:col>12</xdr:col>
      <xdr:colOff>78060</xdr:colOff>
      <xdr:row>3</xdr:row>
      <xdr:rowOff>61464</xdr:rowOff>
    </xdr:to>
    <xdr:pic>
      <xdr:nvPicPr>
        <xdr:cNvPr id="25" name="Picture 24">
          <a:extLst>
            <a:ext uri="{FF2B5EF4-FFF2-40B4-BE49-F238E27FC236}">
              <a16:creationId xmlns:a16="http://schemas.microsoft.com/office/drawing/2014/main" id="{81482CEC-A55B-4655-9FDD-E890E316D78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213260" y="433491"/>
          <a:ext cx="180000" cy="176613"/>
        </a:xfrm>
        <a:prstGeom prst="rect">
          <a:avLst/>
        </a:prstGeom>
      </xdr:spPr>
    </xdr:pic>
    <xdr:clientData/>
  </xdr:twoCellAnchor>
  <xdr:twoCellAnchor editAs="oneCell">
    <xdr:from>
      <xdr:col>12</xdr:col>
      <xdr:colOff>442762</xdr:colOff>
      <xdr:row>2</xdr:row>
      <xdr:rowOff>67731</xdr:rowOff>
    </xdr:from>
    <xdr:to>
      <xdr:col>12</xdr:col>
      <xdr:colOff>594187</xdr:colOff>
      <xdr:row>3</xdr:row>
      <xdr:rowOff>61464</xdr:rowOff>
    </xdr:to>
    <xdr:pic>
      <xdr:nvPicPr>
        <xdr:cNvPr id="26" name="Picture 25">
          <a:extLst>
            <a:ext uri="{FF2B5EF4-FFF2-40B4-BE49-F238E27FC236}">
              <a16:creationId xmlns:a16="http://schemas.microsoft.com/office/drawing/2014/main" id="{9DEE20FE-976F-4045-B00E-C99F9E2F7EE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757962" y="433491"/>
          <a:ext cx="151425" cy="176613"/>
        </a:xfrm>
        <a:prstGeom prst="rect">
          <a:avLst/>
        </a:prstGeom>
      </xdr:spPr>
    </xdr:pic>
    <xdr:clientData/>
  </xdr:twoCellAnchor>
  <xdr:twoCellAnchor editAs="oneCell">
    <xdr:from>
      <xdr:col>7</xdr:col>
      <xdr:colOff>346075</xdr:colOff>
      <xdr:row>7</xdr:row>
      <xdr:rowOff>180198</xdr:rowOff>
    </xdr:from>
    <xdr:to>
      <xdr:col>7</xdr:col>
      <xdr:colOff>457284</xdr:colOff>
      <xdr:row>8</xdr:row>
      <xdr:rowOff>167582</xdr:rowOff>
    </xdr:to>
    <xdr:pic>
      <xdr:nvPicPr>
        <xdr:cNvPr id="27" name="Picture 26">
          <a:extLst>
            <a:ext uri="{FF2B5EF4-FFF2-40B4-BE49-F238E27FC236}">
              <a16:creationId xmlns:a16="http://schemas.microsoft.com/office/drawing/2014/main" id="{2914EAAA-5D76-461F-BE2F-D40EE5A5B0C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613275" y="1460358"/>
          <a:ext cx="111209" cy="170264"/>
        </a:xfrm>
        <a:prstGeom prst="rect">
          <a:avLst/>
        </a:prstGeom>
      </xdr:spPr>
    </xdr:pic>
    <xdr:clientData/>
  </xdr:twoCellAnchor>
  <xdr:twoCellAnchor editAs="oneCell">
    <xdr:from>
      <xdr:col>13</xdr:col>
      <xdr:colOff>269241</xdr:colOff>
      <xdr:row>7</xdr:row>
      <xdr:rowOff>180198</xdr:rowOff>
    </xdr:from>
    <xdr:to>
      <xdr:col>13</xdr:col>
      <xdr:colOff>449241</xdr:colOff>
      <xdr:row>8</xdr:row>
      <xdr:rowOff>161232</xdr:rowOff>
    </xdr:to>
    <xdr:pic>
      <xdr:nvPicPr>
        <xdr:cNvPr id="28" name="Picture 27">
          <a:extLst>
            <a:ext uri="{FF2B5EF4-FFF2-40B4-BE49-F238E27FC236}">
              <a16:creationId xmlns:a16="http://schemas.microsoft.com/office/drawing/2014/main" id="{5E93B1E7-42F9-4765-850F-80B70448BDB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194041" y="1460358"/>
          <a:ext cx="180000" cy="163914"/>
        </a:xfrm>
        <a:prstGeom prst="rect">
          <a:avLst/>
        </a:prstGeom>
      </xdr:spPr>
    </xdr:pic>
    <xdr:clientData/>
  </xdr:twoCellAnchor>
  <xdr:twoCellAnchor editAs="oneCell">
    <xdr:from>
      <xdr:col>10</xdr:col>
      <xdr:colOff>284692</xdr:colOff>
      <xdr:row>7</xdr:row>
      <xdr:rowOff>180198</xdr:rowOff>
    </xdr:from>
    <xdr:to>
      <xdr:col>10</xdr:col>
      <xdr:colOff>441832</xdr:colOff>
      <xdr:row>8</xdr:row>
      <xdr:rowOff>167582</xdr:rowOff>
    </xdr:to>
    <xdr:pic>
      <xdr:nvPicPr>
        <xdr:cNvPr id="29" name="Picture 28">
          <a:extLst>
            <a:ext uri="{FF2B5EF4-FFF2-40B4-BE49-F238E27FC236}">
              <a16:creationId xmlns:a16="http://schemas.microsoft.com/office/drawing/2014/main" id="{E9D7841D-1A54-41CE-B7CD-9280645C51E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flipH="1">
          <a:off x="6380692" y="1460358"/>
          <a:ext cx="157140" cy="170264"/>
        </a:xfrm>
        <a:prstGeom prst="rect">
          <a:avLst/>
        </a:prstGeom>
      </xdr:spPr>
    </xdr:pic>
    <xdr:clientData/>
  </xdr:twoCellAnchor>
  <xdr:twoCellAnchor editAs="oneCell">
    <xdr:from>
      <xdr:col>4</xdr:col>
      <xdr:colOff>338667</xdr:colOff>
      <xdr:row>7</xdr:row>
      <xdr:rowOff>180198</xdr:rowOff>
    </xdr:from>
    <xdr:to>
      <xdr:col>4</xdr:col>
      <xdr:colOff>518667</xdr:colOff>
      <xdr:row>8</xdr:row>
      <xdr:rowOff>167582</xdr:rowOff>
    </xdr:to>
    <xdr:pic>
      <xdr:nvPicPr>
        <xdr:cNvPr id="30" name="Picture 29">
          <a:extLst>
            <a:ext uri="{FF2B5EF4-FFF2-40B4-BE49-F238E27FC236}">
              <a16:creationId xmlns:a16="http://schemas.microsoft.com/office/drawing/2014/main" id="{DA353C52-F368-480F-A8F3-4EA64C93187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777067" y="1460358"/>
          <a:ext cx="180000" cy="170264"/>
        </a:xfrm>
        <a:prstGeom prst="rect">
          <a:avLst/>
        </a:prstGeom>
      </xdr:spPr>
    </xdr:pic>
    <xdr:clientData/>
  </xdr:twoCellAnchor>
  <xdr:twoCellAnchor>
    <xdr:from>
      <xdr:col>4</xdr:col>
      <xdr:colOff>457200</xdr:colOff>
      <xdr:row>7</xdr:row>
      <xdr:rowOff>110065</xdr:rowOff>
    </xdr:from>
    <xdr:to>
      <xdr:col>5</xdr:col>
      <xdr:colOff>431800</xdr:colOff>
      <xdr:row>8</xdr:row>
      <xdr:rowOff>177799</xdr:rowOff>
    </xdr:to>
    <xdr:sp macro="" textlink="">
      <xdr:nvSpPr>
        <xdr:cNvPr id="31" name="TextBox 30">
          <a:extLst>
            <a:ext uri="{FF2B5EF4-FFF2-40B4-BE49-F238E27FC236}">
              <a16:creationId xmlns:a16="http://schemas.microsoft.com/office/drawing/2014/main" id="{FDD94F99-43C5-4B1A-84E6-D0B2E7988118}"/>
            </a:ext>
          </a:extLst>
        </xdr:cNvPr>
        <xdr:cNvSpPr txBox="1"/>
      </xdr:nvSpPr>
      <xdr:spPr>
        <a:xfrm>
          <a:off x="2895600" y="1390225"/>
          <a:ext cx="584200" cy="250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Sales</a:t>
          </a:r>
        </a:p>
      </xdr:txBody>
    </xdr:sp>
    <xdr:clientData/>
  </xdr:twoCellAnchor>
  <xdr:twoCellAnchor>
    <xdr:from>
      <xdr:col>7</xdr:col>
      <xdr:colOff>440266</xdr:colOff>
      <xdr:row>7</xdr:row>
      <xdr:rowOff>110065</xdr:rowOff>
    </xdr:from>
    <xdr:to>
      <xdr:col>8</xdr:col>
      <xdr:colOff>414866</xdr:colOff>
      <xdr:row>8</xdr:row>
      <xdr:rowOff>177799</xdr:rowOff>
    </xdr:to>
    <xdr:sp macro="" textlink="">
      <xdr:nvSpPr>
        <xdr:cNvPr id="32" name="TextBox 31">
          <a:extLst>
            <a:ext uri="{FF2B5EF4-FFF2-40B4-BE49-F238E27FC236}">
              <a16:creationId xmlns:a16="http://schemas.microsoft.com/office/drawing/2014/main" id="{4E008944-D9B8-4904-B456-5E945676B6AC}"/>
            </a:ext>
          </a:extLst>
        </xdr:cNvPr>
        <xdr:cNvSpPr txBox="1"/>
      </xdr:nvSpPr>
      <xdr:spPr>
        <a:xfrm>
          <a:off x="4707466" y="1390225"/>
          <a:ext cx="584200" cy="250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Profit</a:t>
          </a:r>
        </a:p>
      </xdr:txBody>
    </xdr:sp>
    <xdr:clientData/>
  </xdr:twoCellAnchor>
  <xdr:twoCellAnchor>
    <xdr:from>
      <xdr:col>10</xdr:col>
      <xdr:colOff>397933</xdr:colOff>
      <xdr:row>7</xdr:row>
      <xdr:rowOff>110065</xdr:rowOff>
    </xdr:from>
    <xdr:to>
      <xdr:col>12</xdr:col>
      <xdr:colOff>84667</xdr:colOff>
      <xdr:row>9</xdr:row>
      <xdr:rowOff>152399</xdr:rowOff>
    </xdr:to>
    <xdr:sp macro="" textlink="">
      <xdr:nvSpPr>
        <xdr:cNvPr id="33" name="TextBox 32">
          <a:extLst>
            <a:ext uri="{FF2B5EF4-FFF2-40B4-BE49-F238E27FC236}">
              <a16:creationId xmlns:a16="http://schemas.microsoft.com/office/drawing/2014/main" id="{1435F757-5653-4AC2-BC2D-812B068F1619}"/>
            </a:ext>
          </a:extLst>
        </xdr:cNvPr>
        <xdr:cNvSpPr txBox="1"/>
      </xdr:nvSpPr>
      <xdr:spPr>
        <a:xfrm>
          <a:off x="6493933" y="1390225"/>
          <a:ext cx="905934" cy="40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Customers</a:t>
          </a:r>
        </a:p>
      </xdr:txBody>
    </xdr:sp>
    <xdr:clientData/>
  </xdr:twoCellAnchor>
  <xdr:twoCellAnchor>
    <xdr:from>
      <xdr:col>13</xdr:col>
      <xdr:colOff>423333</xdr:colOff>
      <xdr:row>7</xdr:row>
      <xdr:rowOff>110065</xdr:rowOff>
    </xdr:from>
    <xdr:to>
      <xdr:col>15</xdr:col>
      <xdr:colOff>110067</xdr:colOff>
      <xdr:row>9</xdr:row>
      <xdr:rowOff>152399</xdr:rowOff>
    </xdr:to>
    <xdr:sp macro="" textlink="">
      <xdr:nvSpPr>
        <xdr:cNvPr id="34" name="TextBox 33">
          <a:extLst>
            <a:ext uri="{FF2B5EF4-FFF2-40B4-BE49-F238E27FC236}">
              <a16:creationId xmlns:a16="http://schemas.microsoft.com/office/drawing/2014/main" id="{4BF8E2A5-4127-4D85-AE5C-B5D24409386B}"/>
            </a:ext>
          </a:extLst>
        </xdr:cNvPr>
        <xdr:cNvSpPr txBox="1"/>
      </xdr:nvSpPr>
      <xdr:spPr>
        <a:xfrm>
          <a:off x="8348133" y="1390225"/>
          <a:ext cx="905934" cy="40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Target</a:t>
          </a:r>
        </a:p>
      </xdr:txBody>
    </xdr:sp>
    <xdr:clientData/>
  </xdr:twoCellAnchor>
  <xdr:oneCellAnchor>
    <xdr:from>
      <xdr:col>4</xdr:col>
      <xdr:colOff>423334</xdr:colOff>
      <xdr:row>7</xdr:row>
      <xdr:rowOff>25395</xdr:rowOff>
    </xdr:from>
    <xdr:ext cx="990600" cy="593368"/>
    <xdr:sp macro="" textlink="Sales">
      <xdr:nvSpPr>
        <xdr:cNvPr id="35" name="TextBox 34">
          <a:extLst>
            <a:ext uri="{FF2B5EF4-FFF2-40B4-BE49-F238E27FC236}">
              <a16:creationId xmlns:a16="http://schemas.microsoft.com/office/drawing/2014/main" id="{95A2802D-5E08-43C3-99A3-48209DDE3774}"/>
            </a:ext>
          </a:extLst>
        </xdr:cNvPr>
        <xdr:cNvSpPr txBox="1"/>
      </xdr:nvSpPr>
      <xdr:spPr>
        <a:xfrm>
          <a:off x="2861734" y="1305555"/>
          <a:ext cx="99060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B53A1EE-AD55-44B2-AFC7-D99993055C3B}" type="TxLink">
            <a:rPr lang="en-US" sz="1600" b="1" i="0" u="none" strike="noStrike">
              <a:solidFill>
                <a:srgbClr val="000000"/>
              </a:solidFill>
              <a:latin typeface="Aptos Narrow"/>
            </a:rPr>
            <a:t> $157,361 </a:t>
          </a:fld>
          <a:endParaRPr lang="en-US" sz="1600" b="1"/>
        </a:p>
      </xdr:txBody>
    </xdr:sp>
    <xdr:clientData/>
  </xdr:oneCellAnchor>
  <xdr:oneCellAnchor>
    <xdr:from>
      <xdr:col>7</xdr:col>
      <xdr:colOff>423335</xdr:colOff>
      <xdr:row>6</xdr:row>
      <xdr:rowOff>169332</xdr:rowOff>
    </xdr:from>
    <xdr:ext cx="990600" cy="593368"/>
    <xdr:sp macro="" textlink="Profit">
      <xdr:nvSpPr>
        <xdr:cNvPr id="36" name="TextBox 35">
          <a:extLst>
            <a:ext uri="{FF2B5EF4-FFF2-40B4-BE49-F238E27FC236}">
              <a16:creationId xmlns:a16="http://schemas.microsoft.com/office/drawing/2014/main" id="{56653010-3CC1-4262-8BF4-BBA91227E3BE}"/>
            </a:ext>
          </a:extLst>
        </xdr:cNvPr>
        <xdr:cNvSpPr txBox="1"/>
      </xdr:nvSpPr>
      <xdr:spPr>
        <a:xfrm>
          <a:off x="4690535" y="1266612"/>
          <a:ext cx="99060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C427561-ED21-4D68-8D1D-6B38313534A9}" type="TxLink">
            <a:rPr lang="en-US" sz="1600" b="1" i="0" u="none" strike="noStrike">
              <a:solidFill>
                <a:srgbClr val="000000"/>
              </a:solidFill>
              <a:latin typeface="Aptos Narrow"/>
              <a:ea typeface="+mn-ea"/>
              <a:cs typeface="+mn-cs"/>
            </a:rPr>
            <a:pPr marL="0" indent="0"/>
            <a:t> $113,301 </a:t>
          </a:fld>
          <a:endParaRPr lang="en-US" sz="1600" b="1" i="0" u="none" strike="noStrike">
            <a:solidFill>
              <a:srgbClr val="000000"/>
            </a:solidFill>
            <a:latin typeface="Aptos Narrow"/>
            <a:ea typeface="+mn-ea"/>
            <a:cs typeface="+mn-cs"/>
          </a:endParaRPr>
        </a:p>
      </xdr:txBody>
    </xdr:sp>
    <xdr:clientData/>
  </xdr:oneCellAnchor>
  <xdr:oneCellAnchor>
    <xdr:from>
      <xdr:col>10</xdr:col>
      <xdr:colOff>414867</xdr:colOff>
      <xdr:row>8</xdr:row>
      <xdr:rowOff>50801</xdr:rowOff>
    </xdr:from>
    <xdr:ext cx="990600" cy="342851"/>
    <xdr:sp macro="" textlink="Customers">
      <xdr:nvSpPr>
        <xdr:cNvPr id="37" name="TextBox 36">
          <a:extLst>
            <a:ext uri="{FF2B5EF4-FFF2-40B4-BE49-F238E27FC236}">
              <a16:creationId xmlns:a16="http://schemas.microsoft.com/office/drawing/2014/main" id="{FF629ECC-2A92-4279-B6A1-B5AE9DB0FF3D}"/>
            </a:ext>
          </a:extLst>
        </xdr:cNvPr>
        <xdr:cNvSpPr txBox="1"/>
      </xdr:nvSpPr>
      <xdr:spPr>
        <a:xfrm>
          <a:off x="6510867" y="1513841"/>
          <a:ext cx="9906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003BF7C-F7A4-4ACB-BAA5-F40EA3CE22A2}" type="TxLink">
            <a:rPr lang="en-US" sz="1600" b="1" i="0" u="none" strike="noStrike">
              <a:solidFill>
                <a:srgbClr val="000000"/>
              </a:solidFill>
              <a:latin typeface="Aptos Narrow"/>
              <a:ea typeface="+mn-ea"/>
              <a:cs typeface="+mn-cs"/>
            </a:rPr>
            <a:pPr marL="0" indent="0"/>
            <a:t>63</a:t>
          </a:fld>
          <a:endParaRPr lang="en-US" sz="1600" b="1" i="0" u="none" strike="noStrike">
            <a:solidFill>
              <a:srgbClr val="000000"/>
            </a:solidFill>
            <a:latin typeface="Aptos Narrow"/>
            <a:ea typeface="+mn-ea"/>
            <a:cs typeface="+mn-cs"/>
          </a:endParaRPr>
        </a:p>
      </xdr:txBody>
    </xdr:sp>
    <xdr:clientData/>
  </xdr:oneCellAnchor>
  <xdr:oneCellAnchor>
    <xdr:from>
      <xdr:col>13</xdr:col>
      <xdr:colOff>440269</xdr:colOff>
      <xdr:row>6</xdr:row>
      <xdr:rowOff>186262</xdr:rowOff>
    </xdr:from>
    <xdr:ext cx="990600" cy="593368"/>
    <xdr:sp macro="" textlink="Target">
      <xdr:nvSpPr>
        <xdr:cNvPr id="38" name="TextBox 37">
          <a:extLst>
            <a:ext uri="{FF2B5EF4-FFF2-40B4-BE49-F238E27FC236}">
              <a16:creationId xmlns:a16="http://schemas.microsoft.com/office/drawing/2014/main" id="{D336FEA2-F8FC-4E37-9283-135E2F9A6576}"/>
            </a:ext>
          </a:extLst>
        </xdr:cNvPr>
        <xdr:cNvSpPr txBox="1"/>
      </xdr:nvSpPr>
      <xdr:spPr>
        <a:xfrm>
          <a:off x="8365069" y="1283542"/>
          <a:ext cx="990600" cy="593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1550A9E-18BE-4FCD-A22C-5F3A93287590}" type="TxLink">
            <a:rPr lang="en-US" sz="1600" b="1" i="0" u="none" strike="noStrike">
              <a:solidFill>
                <a:srgbClr val="000000"/>
              </a:solidFill>
              <a:latin typeface="Aptos Narrow"/>
              <a:ea typeface="+mn-ea"/>
              <a:cs typeface="+mn-cs"/>
            </a:rPr>
            <a:pPr marL="0" indent="0"/>
            <a:t> $166,999 </a:t>
          </a:fld>
          <a:endParaRPr lang="en-US" sz="1600" b="1" i="0" u="none" strike="noStrike">
            <a:solidFill>
              <a:srgbClr val="000000"/>
            </a:solidFill>
            <a:latin typeface="Aptos Narrow"/>
            <a:ea typeface="+mn-ea"/>
            <a:cs typeface="+mn-cs"/>
          </a:endParaRPr>
        </a:p>
      </xdr:txBody>
    </xdr:sp>
    <xdr:clientData/>
  </xdr:oneCellAnchor>
  <xdr:twoCellAnchor>
    <xdr:from>
      <xdr:col>4</xdr:col>
      <xdr:colOff>160865</xdr:colOff>
      <xdr:row>9</xdr:row>
      <xdr:rowOff>135466</xdr:rowOff>
    </xdr:from>
    <xdr:to>
      <xdr:col>7</xdr:col>
      <xdr:colOff>211667</xdr:colOff>
      <xdr:row>13</xdr:row>
      <xdr:rowOff>76200</xdr:rowOff>
    </xdr:to>
    <xdr:graphicFrame macro="">
      <xdr:nvGraphicFramePr>
        <xdr:cNvPr id="39" name="Chart 38">
          <a:extLst>
            <a:ext uri="{FF2B5EF4-FFF2-40B4-BE49-F238E27FC236}">
              <a16:creationId xmlns:a16="http://schemas.microsoft.com/office/drawing/2014/main" id="{24ABC8CB-2F7E-4687-907D-EDFF2797F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372531</xdr:colOff>
      <xdr:row>10</xdr:row>
      <xdr:rowOff>25399</xdr:rowOff>
    </xdr:from>
    <xdr:to>
      <xdr:col>10</xdr:col>
      <xdr:colOff>541867</xdr:colOff>
      <xdr:row>14</xdr:row>
      <xdr:rowOff>16934</xdr:rowOff>
    </xdr:to>
    <xdr:graphicFrame macro="">
      <xdr:nvGraphicFramePr>
        <xdr:cNvPr id="40" name="Chart 39">
          <a:extLst>
            <a:ext uri="{FF2B5EF4-FFF2-40B4-BE49-F238E27FC236}">
              <a16:creationId xmlns:a16="http://schemas.microsoft.com/office/drawing/2014/main" id="{10193B58-8208-4DE2-8DB7-69ECC83DB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152398</xdr:colOff>
      <xdr:row>9</xdr:row>
      <xdr:rowOff>152400</xdr:rowOff>
    </xdr:from>
    <xdr:to>
      <xdr:col>13</xdr:col>
      <xdr:colOff>177800</xdr:colOff>
      <xdr:row>13</xdr:row>
      <xdr:rowOff>42334</xdr:rowOff>
    </xdr:to>
    <xdr:graphicFrame macro="">
      <xdr:nvGraphicFramePr>
        <xdr:cNvPr id="41" name="Chart 40">
          <a:extLst>
            <a:ext uri="{FF2B5EF4-FFF2-40B4-BE49-F238E27FC236}">
              <a16:creationId xmlns:a16="http://schemas.microsoft.com/office/drawing/2014/main" id="{9F2712B9-5BF5-4058-BC20-D6863B5E0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101599</xdr:colOff>
      <xdr:row>9</xdr:row>
      <xdr:rowOff>143933</xdr:rowOff>
    </xdr:from>
    <xdr:to>
      <xdr:col>16</xdr:col>
      <xdr:colOff>201506</xdr:colOff>
      <xdr:row>13</xdr:row>
      <xdr:rowOff>8466</xdr:rowOff>
    </xdr:to>
    <xdr:graphicFrame macro="">
      <xdr:nvGraphicFramePr>
        <xdr:cNvPr id="42" name="Chart 41">
          <a:extLst>
            <a:ext uri="{FF2B5EF4-FFF2-40B4-BE49-F238E27FC236}">
              <a16:creationId xmlns:a16="http://schemas.microsoft.com/office/drawing/2014/main" id="{726A9878-C17A-4A61-AA93-FF181D2E7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33859</xdr:colOff>
      <xdr:row>12</xdr:row>
      <xdr:rowOff>169333</xdr:rowOff>
    </xdr:from>
    <xdr:to>
      <xdr:col>9</xdr:col>
      <xdr:colOff>270933</xdr:colOff>
      <xdr:row>19</xdr:row>
      <xdr:rowOff>72812</xdr:rowOff>
    </xdr:to>
    <xdr:graphicFrame macro="">
      <xdr:nvGraphicFramePr>
        <xdr:cNvPr id="43" name="Chart 42">
          <a:extLst>
            <a:ext uri="{FF2B5EF4-FFF2-40B4-BE49-F238E27FC236}">
              <a16:creationId xmlns:a16="http://schemas.microsoft.com/office/drawing/2014/main" id="{E4BCA468-586F-4083-8014-A16F2DA44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601127</xdr:colOff>
      <xdr:row>20</xdr:row>
      <xdr:rowOff>93140</xdr:rowOff>
    </xdr:from>
    <xdr:to>
      <xdr:col>9</xdr:col>
      <xdr:colOff>448733</xdr:colOff>
      <xdr:row>26</xdr:row>
      <xdr:rowOff>122350</xdr:rowOff>
    </xdr:to>
    <xdr:graphicFrame macro="">
      <xdr:nvGraphicFramePr>
        <xdr:cNvPr id="44" name="Chart 43">
          <a:extLst>
            <a:ext uri="{FF2B5EF4-FFF2-40B4-BE49-F238E27FC236}">
              <a16:creationId xmlns:a16="http://schemas.microsoft.com/office/drawing/2014/main" id="{28654727-51E3-45F6-BDB2-B03FDDF9D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50800</xdr:colOff>
      <xdr:row>12</xdr:row>
      <xdr:rowOff>76198</xdr:rowOff>
    </xdr:from>
    <xdr:to>
      <xdr:col>7</xdr:col>
      <xdr:colOff>491067</xdr:colOff>
      <xdr:row>13</xdr:row>
      <xdr:rowOff>101598</xdr:rowOff>
    </xdr:to>
    <xdr:sp macro="" textlink="">
      <xdr:nvSpPr>
        <xdr:cNvPr id="45" name="TextBox 44">
          <a:extLst>
            <a:ext uri="{FF2B5EF4-FFF2-40B4-BE49-F238E27FC236}">
              <a16:creationId xmlns:a16="http://schemas.microsoft.com/office/drawing/2014/main" id="{90787CBD-1D32-42D4-8611-C547C4FF9E5D}"/>
            </a:ext>
          </a:extLst>
        </xdr:cNvPr>
        <xdr:cNvSpPr txBox="1"/>
      </xdr:nvSpPr>
      <xdr:spPr>
        <a:xfrm>
          <a:off x="2489200" y="2270758"/>
          <a:ext cx="2269067" cy="208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latin typeface="Bahnschrift" panose="020B0502040204020203" pitchFamily="34" charset="0"/>
            </a:rPr>
            <a:t>Monthly Sales Performance vs Target</a:t>
          </a:r>
          <a:endParaRPr lang="en-GB" sz="900" i="0">
            <a:solidFill>
              <a:schemeClr val="tx1">
                <a:lumMod val="50000"/>
                <a:lumOff val="50000"/>
              </a:schemeClr>
            </a:solidFill>
            <a:latin typeface="Bahnschrift" panose="020B0502040204020203" pitchFamily="34" charset="0"/>
          </a:endParaRPr>
        </a:p>
      </xdr:txBody>
    </xdr:sp>
    <xdr:clientData/>
  </xdr:twoCellAnchor>
  <xdr:twoCellAnchor>
    <xdr:from>
      <xdr:col>4</xdr:col>
      <xdr:colOff>8466</xdr:colOff>
      <xdr:row>19</xdr:row>
      <xdr:rowOff>137584</xdr:rowOff>
    </xdr:from>
    <xdr:to>
      <xdr:col>7</xdr:col>
      <xdr:colOff>73869</xdr:colOff>
      <xdr:row>21</xdr:row>
      <xdr:rowOff>12701</xdr:rowOff>
    </xdr:to>
    <xdr:sp macro="" textlink="">
      <xdr:nvSpPr>
        <xdr:cNvPr id="46" name="TextBox 45">
          <a:extLst>
            <a:ext uri="{FF2B5EF4-FFF2-40B4-BE49-F238E27FC236}">
              <a16:creationId xmlns:a16="http://schemas.microsoft.com/office/drawing/2014/main" id="{9D4EE070-9BAB-46D9-A4B7-A4702E75BDC2}"/>
            </a:ext>
          </a:extLst>
        </xdr:cNvPr>
        <xdr:cNvSpPr txBox="1"/>
      </xdr:nvSpPr>
      <xdr:spPr>
        <a:xfrm>
          <a:off x="2446866" y="3612304"/>
          <a:ext cx="1894203" cy="240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latin typeface="Bahnschrift" panose="020B0502040204020203" pitchFamily="34" charset="0"/>
            </a:rPr>
            <a:t>Monthly Customer Growth Trend</a:t>
          </a:r>
          <a:endParaRPr lang="en-GB" sz="900" i="0">
            <a:solidFill>
              <a:schemeClr val="tx1">
                <a:lumMod val="50000"/>
                <a:lumOff val="50000"/>
              </a:schemeClr>
            </a:solidFill>
            <a:latin typeface="Bahnschrift" panose="020B0502040204020203" pitchFamily="34" charset="0"/>
          </a:endParaRPr>
        </a:p>
      </xdr:txBody>
    </xdr:sp>
    <xdr:clientData/>
  </xdr:twoCellAnchor>
  <xdr:twoCellAnchor>
    <xdr:from>
      <xdr:col>9</xdr:col>
      <xdr:colOff>228598</xdr:colOff>
      <xdr:row>13</xdr:row>
      <xdr:rowOff>42333</xdr:rowOff>
    </xdr:from>
    <xdr:to>
      <xdr:col>12</xdr:col>
      <xdr:colOff>414865</xdr:colOff>
      <xdr:row>20</xdr:row>
      <xdr:rowOff>8467</xdr:rowOff>
    </xdr:to>
    <xdr:graphicFrame macro="">
      <xdr:nvGraphicFramePr>
        <xdr:cNvPr id="47" name="Chart 46">
          <a:extLst>
            <a:ext uri="{FF2B5EF4-FFF2-40B4-BE49-F238E27FC236}">
              <a16:creationId xmlns:a16="http://schemas.microsoft.com/office/drawing/2014/main" id="{39C0D5FF-DABF-4B2D-AB41-45081235A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10</xdr:col>
      <xdr:colOff>152404</xdr:colOff>
      <xdr:row>15</xdr:row>
      <xdr:rowOff>33861</xdr:rowOff>
    </xdr:from>
    <xdr:ext cx="719663" cy="342851"/>
    <xdr:sp macro="" textlink="HIGHESTREGION">
      <xdr:nvSpPr>
        <xdr:cNvPr id="48" name="TextBox 47">
          <a:extLst>
            <a:ext uri="{FF2B5EF4-FFF2-40B4-BE49-F238E27FC236}">
              <a16:creationId xmlns:a16="http://schemas.microsoft.com/office/drawing/2014/main" id="{402C6EC4-6FA0-4419-A565-F25B31908D16}"/>
            </a:ext>
          </a:extLst>
        </xdr:cNvPr>
        <xdr:cNvSpPr txBox="1"/>
      </xdr:nvSpPr>
      <xdr:spPr>
        <a:xfrm>
          <a:off x="6248404" y="2777061"/>
          <a:ext cx="719663"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5334F2A6-1609-4231-A195-F8DCBB91BBB9}" type="TxLink">
            <a:rPr lang="en-US" sz="1600" b="1" i="0" u="none" strike="noStrike">
              <a:solidFill>
                <a:srgbClr val="000000"/>
              </a:solidFill>
              <a:latin typeface="Aptos Narrow"/>
              <a:ea typeface="+mn-ea"/>
              <a:cs typeface="+mn-cs"/>
            </a:rPr>
            <a:t>East</a:t>
          </a:fld>
          <a:endParaRPr lang="en-US" sz="2400" b="1" i="0" u="none" strike="noStrike">
            <a:solidFill>
              <a:srgbClr val="000000"/>
            </a:solidFill>
            <a:latin typeface="Aptos Narrow"/>
            <a:ea typeface="+mn-ea"/>
            <a:cs typeface="+mn-cs"/>
          </a:endParaRPr>
        </a:p>
      </xdr:txBody>
    </xdr:sp>
    <xdr:clientData/>
  </xdr:oneCellAnchor>
  <xdr:oneCellAnchor>
    <xdr:from>
      <xdr:col>10</xdr:col>
      <xdr:colOff>228604</xdr:colOff>
      <xdr:row>16</xdr:row>
      <xdr:rowOff>59261</xdr:rowOff>
    </xdr:from>
    <xdr:ext cx="541863" cy="280205"/>
    <xdr:sp macro="" textlink="MAXREGION">
      <xdr:nvSpPr>
        <xdr:cNvPr id="49" name="TextBox 48">
          <a:extLst>
            <a:ext uri="{FF2B5EF4-FFF2-40B4-BE49-F238E27FC236}">
              <a16:creationId xmlns:a16="http://schemas.microsoft.com/office/drawing/2014/main" id="{737DD9B0-680F-4359-9E02-8DFDADA7D2D0}"/>
            </a:ext>
          </a:extLst>
        </xdr:cNvPr>
        <xdr:cNvSpPr txBox="1"/>
      </xdr:nvSpPr>
      <xdr:spPr>
        <a:xfrm>
          <a:off x="6324604" y="2985341"/>
          <a:ext cx="5418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40BB79F9-641B-4EDE-B090-9BE1C0C6C3C4}" type="TxLink">
            <a:rPr lang="en-US" sz="1200" b="1" i="0" u="none" strike="noStrike">
              <a:solidFill>
                <a:srgbClr val="000000"/>
              </a:solidFill>
              <a:latin typeface="Aptos Narrow"/>
              <a:ea typeface="+mn-ea"/>
              <a:cs typeface="+mn-cs"/>
            </a:rPr>
            <a:t>32%</a:t>
          </a:fld>
          <a:endParaRPr lang="en-US" sz="2400" b="1" i="0" u="none" strike="noStrike">
            <a:solidFill>
              <a:srgbClr val="000000"/>
            </a:solidFill>
            <a:latin typeface="Aptos Narrow"/>
            <a:ea typeface="+mn-ea"/>
            <a:cs typeface="+mn-cs"/>
          </a:endParaRPr>
        </a:p>
      </xdr:txBody>
    </xdr:sp>
    <xdr:clientData/>
  </xdr:oneCellAnchor>
  <xdr:twoCellAnchor>
    <xdr:from>
      <xdr:col>9</xdr:col>
      <xdr:colOff>258227</xdr:colOff>
      <xdr:row>12</xdr:row>
      <xdr:rowOff>91017</xdr:rowOff>
    </xdr:from>
    <xdr:to>
      <xdr:col>12</xdr:col>
      <xdr:colOff>263519</xdr:colOff>
      <xdr:row>13</xdr:row>
      <xdr:rowOff>120649</xdr:rowOff>
    </xdr:to>
    <xdr:sp macro="" textlink="">
      <xdr:nvSpPr>
        <xdr:cNvPr id="50" name="TextBox 49">
          <a:extLst>
            <a:ext uri="{FF2B5EF4-FFF2-40B4-BE49-F238E27FC236}">
              <a16:creationId xmlns:a16="http://schemas.microsoft.com/office/drawing/2014/main" id="{6588A660-C7F7-4916-B2C7-7220903B7794}"/>
            </a:ext>
          </a:extLst>
        </xdr:cNvPr>
        <xdr:cNvSpPr txBox="1"/>
      </xdr:nvSpPr>
      <xdr:spPr>
        <a:xfrm>
          <a:off x="5744627" y="2285577"/>
          <a:ext cx="1834092" cy="21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b="0">
              <a:latin typeface="Bahnschrift" panose="020B0502040204020203" pitchFamily="34" charset="0"/>
            </a:rPr>
            <a:t>Regional Sales  </a:t>
          </a:r>
        </a:p>
      </xdr:txBody>
    </xdr:sp>
    <xdr:clientData/>
  </xdr:twoCellAnchor>
  <xdr:twoCellAnchor>
    <xdr:from>
      <xdr:col>9</xdr:col>
      <xdr:colOff>300559</xdr:colOff>
      <xdr:row>19</xdr:row>
      <xdr:rowOff>93134</xdr:rowOff>
    </xdr:from>
    <xdr:to>
      <xdr:col>12</xdr:col>
      <xdr:colOff>305850</xdr:colOff>
      <xdr:row>20</xdr:row>
      <xdr:rowOff>103718</xdr:rowOff>
    </xdr:to>
    <xdr:sp macro="" textlink="">
      <xdr:nvSpPr>
        <xdr:cNvPr id="51" name="TextBox 50">
          <a:extLst>
            <a:ext uri="{FF2B5EF4-FFF2-40B4-BE49-F238E27FC236}">
              <a16:creationId xmlns:a16="http://schemas.microsoft.com/office/drawing/2014/main" id="{BE588F41-8BF5-4DD4-8D3E-F8F41ABAD147}"/>
            </a:ext>
          </a:extLst>
        </xdr:cNvPr>
        <xdr:cNvSpPr txBox="1"/>
      </xdr:nvSpPr>
      <xdr:spPr>
        <a:xfrm>
          <a:off x="5786959" y="3567854"/>
          <a:ext cx="1834091" cy="19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900">
              <a:latin typeface="Bahnschrift" panose="020B0502040204020203" pitchFamily="34" charset="0"/>
            </a:rPr>
            <a:t>Customer Experience  </a:t>
          </a:r>
          <a:endParaRPr lang="en-GB" sz="900" i="0">
            <a:solidFill>
              <a:schemeClr val="tx1">
                <a:lumMod val="50000"/>
                <a:lumOff val="50000"/>
              </a:schemeClr>
            </a:solidFill>
            <a:latin typeface="Bahnschrift" panose="020B0502040204020203" pitchFamily="34" charset="0"/>
          </a:endParaRPr>
        </a:p>
      </xdr:txBody>
    </xdr:sp>
    <xdr:clientData/>
  </xdr:twoCellAnchor>
  <xdr:twoCellAnchor>
    <xdr:from>
      <xdr:col>9</xdr:col>
      <xdr:colOff>262467</xdr:colOff>
      <xdr:row>19</xdr:row>
      <xdr:rowOff>110066</xdr:rowOff>
    </xdr:from>
    <xdr:to>
      <xdr:col>12</xdr:col>
      <xdr:colOff>287867</xdr:colOff>
      <xdr:row>27</xdr:row>
      <xdr:rowOff>0</xdr:rowOff>
    </xdr:to>
    <xdr:graphicFrame macro="">
      <xdr:nvGraphicFramePr>
        <xdr:cNvPr id="52" name="Chart 51">
          <a:extLst>
            <a:ext uri="{FF2B5EF4-FFF2-40B4-BE49-F238E27FC236}">
              <a16:creationId xmlns:a16="http://schemas.microsoft.com/office/drawing/2014/main" id="{4222BF18-A1DE-4076-9063-E243ADF70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22442</xdr:colOff>
      <xdr:row>12</xdr:row>
      <xdr:rowOff>118533</xdr:rowOff>
    </xdr:from>
    <xdr:to>
      <xdr:col>16</xdr:col>
      <xdr:colOff>95465</xdr:colOff>
      <xdr:row>13</xdr:row>
      <xdr:rowOff>173566</xdr:rowOff>
    </xdr:to>
    <xdr:sp macro="" textlink="">
      <xdr:nvSpPr>
        <xdr:cNvPr id="53" name="TextBox 52">
          <a:extLst>
            <a:ext uri="{FF2B5EF4-FFF2-40B4-BE49-F238E27FC236}">
              <a16:creationId xmlns:a16="http://schemas.microsoft.com/office/drawing/2014/main" id="{D4B62537-1755-4F36-9FAF-394F97DFCF2A}"/>
            </a:ext>
          </a:extLst>
        </xdr:cNvPr>
        <xdr:cNvSpPr txBox="1"/>
      </xdr:nvSpPr>
      <xdr:spPr>
        <a:xfrm>
          <a:off x="7947242" y="2313093"/>
          <a:ext cx="1901823" cy="23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900">
              <a:latin typeface="Bahnschrift" panose="020B0502040204020203" pitchFamily="34" charset="0"/>
            </a:rPr>
            <a:t>Geographical Sales Distribution</a:t>
          </a:r>
          <a:endParaRPr lang="en-GB" sz="900" i="0">
            <a:solidFill>
              <a:schemeClr val="tx1">
                <a:lumMod val="50000"/>
                <a:lumOff val="50000"/>
              </a:schemeClr>
            </a:solidFill>
            <a:latin typeface="Bahnschrift" panose="020B0502040204020203" pitchFamily="34" charset="0"/>
          </a:endParaRPr>
        </a:p>
      </xdr:txBody>
    </xdr:sp>
    <xdr:clientData/>
  </xdr:twoCellAnchor>
  <xdr:twoCellAnchor editAs="oneCell">
    <xdr:from>
      <xdr:col>9</xdr:col>
      <xdr:colOff>101816</xdr:colOff>
      <xdr:row>12</xdr:row>
      <xdr:rowOff>162982</xdr:rowOff>
    </xdr:from>
    <xdr:to>
      <xdr:col>9</xdr:col>
      <xdr:colOff>250270</xdr:colOff>
      <xdr:row>13</xdr:row>
      <xdr:rowOff>120715</xdr:rowOff>
    </xdr:to>
    <xdr:pic>
      <xdr:nvPicPr>
        <xdr:cNvPr id="54" name="Picture 53">
          <a:extLst>
            <a:ext uri="{FF2B5EF4-FFF2-40B4-BE49-F238E27FC236}">
              <a16:creationId xmlns:a16="http://schemas.microsoft.com/office/drawing/2014/main" id="{9088F2E3-1521-4CB7-8ADF-2F33F0D98434}"/>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588216" y="2357542"/>
          <a:ext cx="148454" cy="140613"/>
        </a:xfrm>
        <a:prstGeom prst="rect">
          <a:avLst/>
        </a:prstGeom>
      </xdr:spPr>
    </xdr:pic>
    <xdr:clientData/>
  </xdr:twoCellAnchor>
  <xdr:twoCellAnchor editAs="oneCell">
    <xdr:from>
      <xdr:col>8</xdr:col>
      <xdr:colOff>550334</xdr:colOff>
      <xdr:row>19</xdr:row>
      <xdr:rowOff>147952</xdr:rowOff>
    </xdr:from>
    <xdr:to>
      <xdr:col>9</xdr:col>
      <xdr:colOff>126322</xdr:colOff>
      <xdr:row>20</xdr:row>
      <xdr:rowOff>141686</xdr:rowOff>
    </xdr:to>
    <xdr:pic>
      <xdr:nvPicPr>
        <xdr:cNvPr id="55" name="Picture 54">
          <a:extLst>
            <a:ext uri="{FF2B5EF4-FFF2-40B4-BE49-F238E27FC236}">
              <a16:creationId xmlns:a16="http://schemas.microsoft.com/office/drawing/2014/main" id="{D8545852-D2C6-4A41-AAB2-E01A4375C4B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427134" y="3622672"/>
          <a:ext cx="185588" cy="176614"/>
        </a:xfrm>
        <a:prstGeom prst="rect">
          <a:avLst/>
        </a:prstGeom>
      </xdr:spPr>
    </xdr:pic>
    <xdr:clientData/>
  </xdr:twoCellAnchor>
  <xdr:twoCellAnchor editAs="oneCell">
    <xdr:from>
      <xdr:col>12</xdr:col>
      <xdr:colOff>254568</xdr:colOff>
      <xdr:row>12</xdr:row>
      <xdr:rowOff>141109</xdr:rowOff>
    </xdr:from>
    <xdr:to>
      <xdr:col>12</xdr:col>
      <xdr:colOff>407564</xdr:colOff>
      <xdr:row>13</xdr:row>
      <xdr:rowOff>98842</xdr:rowOff>
    </xdr:to>
    <xdr:pic>
      <xdr:nvPicPr>
        <xdr:cNvPr id="56" name="Picture 55">
          <a:extLst>
            <a:ext uri="{FF2B5EF4-FFF2-40B4-BE49-F238E27FC236}">
              <a16:creationId xmlns:a16="http://schemas.microsoft.com/office/drawing/2014/main" id="{AF8D361B-C274-4780-B608-0F6942DE1124}"/>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7569768" y="2335669"/>
          <a:ext cx="152996" cy="140613"/>
        </a:xfrm>
        <a:prstGeom prst="rect">
          <a:avLst/>
        </a:prstGeom>
      </xdr:spPr>
    </xdr:pic>
    <xdr:clientData/>
  </xdr:twoCellAnchor>
  <xdr:twoCellAnchor editAs="oneCell">
    <xdr:from>
      <xdr:col>12</xdr:col>
      <xdr:colOff>198123</xdr:colOff>
      <xdr:row>19</xdr:row>
      <xdr:rowOff>143931</xdr:rowOff>
    </xdr:from>
    <xdr:to>
      <xdr:col>12</xdr:col>
      <xdr:colOff>426726</xdr:colOff>
      <xdr:row>21</xdr:row>
      <xdr:rowOff>1</xdr:rowOff>
    </xdr:to>
    <xdr:pic>
      <xdr:nvPicPr>
        <xdr:cNvPr id="57" name="Picture 56">
          <a:extLst>
            <a:ext uri="{FF2B5EF4-FFF2-40B4-BE49-F238E27FC236}">
              <a16:creationId xmlns:a16="http://schemas.microsoft.com/office/drawing/2014/main" id="{836DB9D4-E9EA-42D7-9225-989001D06F8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7513323" y="3618651"/>
          <a:ext cx="228603" cy="221830"/>
        </a:xfrm>
        <a:prstGeom prst="rect">
          <a:avLst/>
        </a:prstGeom>
      </xdr:spPr>
    </xdr:pic>
    <xdr:clientData/>
  </xdr:twoCellAnchor>
  <xdr:twoCellAnchor>
    <xdr:from>
      <xdr:col>12</xdr:col>
      <xdr:colOff>152400</xdr:colOff>
      <xdr:row>13</xdr:row>
      <xdr:rowOff>50800</xdr:rowOff>
    </xdr:from>
    <xdr:to>
      <xdr:col>16</xdr:col>
      <xdr:colOff>177799</xdr:colOff>
      <xdr:row>26</xdr:row>
      <xdr:rowOff>59267</xdr:rowOff>
    </xdr:to>
    <mc:AlternateContent xmlns:mc="http://schemas.openxmlformats.org/markup-compatibility/2006">
      <mc:Choice xmlns:cx4="http://schemas.microsoft.com/office/drawing/2016/5/10/chartex" Requires="cx4">
        <xdr:graphicFrame macro="">
          <xdr:nvGraphicFramePr>
            <xdr:cNvPr id="58" name="Chart 57">
              <a:extLst>
                <a:ext uri="{FF2B5EF4-FFF2-40B4-BE49-F238E27FC236}">
                  <a16:creationId xmlns:a16="http://schemas.microsoft.com/office/drawing/2014/main" id="{96D4E57A-D4B2-41BF-9AA1-796218F143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8"/>
            </a:graphicData>
          </a:graphic>
        </xdr:graphicFrame>
      </mc:Choice>
      <mc:Fallback>
        <xdr:sp macro="" textlink="">
          <xdr:nvSpPr>
            <xdr:cNvPr id="0" name=""/>
            <xdr:cNvSpPr>
              <a:spLocks noTextEdit="1"/>
            </xdr:cNvSpPr>
          </xdr:nvSpPr>
          <xdr:spPr>
            <a:xfrm>
              <a:off x="7467600" y="2428240"/>
              <a:ext cx="2463799" cy="23859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42333</xdr:colOff>
      <xdr:row>5</xdr:row>
      <xdr:rowOff>50800</xdr:rowOff>
    </xdr:from>
    <xdr:to>
      <xdr:col>16</xdr:col>
      <xdr:colOff>27093</xdr:colOff>
      <xdr:row>7</xdr:row>
      <xdr:rowOff>101599</xdr:rowOff>
    </xdr:to>
    <mc:AlternateContent xmlns:mc="http://schemas.openxmlformats.org/markup-compatibility/2006">
      <mc:Choice xmlns:a14="http://schemas.microsoft.com/office/drawing/2010/main" Requires="a14">
        <xdr:graphicFrame macro="">
          <xdr:nvGraphicFramePr>
            <xdr:cNvPr id="59" name="Quarter 1">
              <a:extLst>
                <a:ext uri="{FF2B5EF4-FFF2-40B4-BE49-F238E27FC236}">
                  <a16:creationId xmlns:a16="http://schemas.microsoft.com/office/drawing/2014/main" id="{4DE97106-E849-45F2-928F-9C545595990D}"/>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7967133" y="982133"/>
              <a:ext cx="1813560" cy="423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21</xdr:row>
      <xdr:rowOff>118533</xdr:rowOff>
    </xdr:from>
    <xdr:to>
      <xdr:col>2</xdr:col>
      <xdr:colOff>225525</xdr:colOff>
      <xdr:row>22</xdr:row>
      <xdr:rowOff>148266</xdr:rowOff>
    </xdr:to>
    <xdr:pic>
      <xdr:nvPicPr>
        <xdr:cNvPr id="60" name="Picture 59">
          <a:extLst>
            <a:ext uri="{FF2B5EF4-FFF2-40B4-BE49-F238E27FC236}">
              <a16:creationId xmlns:a16="http://schemas.microsoft.com/office/drawing/2014/main" id="{925582D4-B2F2-4440-AF46-F2432B67B042}"/>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295400" y="3959013"/>
          <a:ext cx="149325" cy="212613"/>
        </a:xfrm>
        <a:prstGeom prst="rect">
          <a:avLst/>
        </a:prstGeom>
      </xdr:spPr>
    </xdr:pic>
    <xdr:clientData/>
  </xdr:twoCellAnchor>
  <xdr:twoCellAnchor editAs="oneCell">
    <xdr:from>
      <xdr:col>2</xdr:col>
      <xdr:colOff>88124</xdr:colOff>
      <xdr:row>24</xdr:row>
      <xdr:rowOff>135467</xdr:rowOff>
    </xdr:from>
    <xdr:to>
      <xdr:col>2</xdr:col>
      <xdr:colOff>201449</xdr:colOff>
      <xdr:row>25</xdr:row>
      <xdr:rowOff>129200</xdr:rowOff>
    </xdr:to>
    <xdr:pic>
      <xdr:nvPicPr>
        <xdr:cNvPr id="61" name="Picture 60">
          <a:hlinkClick xmlns:r="http://schemas.openxmlformats.org/officeDocument/2006/relationships" r:id="rId30"/>
          <a:extLst>
            <a:ext uri="{FF2B5EF4-FFF2-40B4-BE49-F238E27FC236}">
              <a16:creationId xmlns:a16="http://schemas.microsoft.com/office/drawing/2014/main" id="{11E5FDE3-D110-423E-8B5D-4F62328D7F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307324" y="4524587"/>
          <a:ext cx="113325" cy="176613"/>
        </a:xfrm>
        <a:prstGeom prst="rect">
          <a:avLst/>
        </a:prstGeom>
      </xdr:spPr>
    </xdr:pic>
    <xdr:clientData/>
  </xdr:twoCellAnchor>
  <xdr:twoCellAnchor>
    <xdr:from>
      <xdr:col>2</xdr:col>
      <xdr:colOff>143934</xdr:colOff>
      <xdr:row>21</xdr:row>
      <xdr:rowOff>118532</xdr:rowOff>
    </xdr:from>
    <xdr:to>
      <xdr:col>3</xdr:col>
      <xdr:colOff>499534</xdr:colOff>
      <xdr:row>22</xdr:row>
      <xdr:rowOff>160865</xdr:rowOff>
    </xdr:to>
    <xdr:sp macro="" textlink="">
      <xdr:nvSpPr>
        <xdr:cNvPr id="62" name="TextBox 61">
          <a:extLst>
            <a:ext uri="{FF2B5EF4-FFF2-40B4-BE49-F238E27FC236}">
              <a16:creationId xmlns:a16="http://schemas.microsoft.com/office/drawing/2014/main" id="{FC5865C7-ECCB-4DB3-B583-282F8FA749BB}"/>
            </a:ext>
          </a:extLst>
        </xdr:cNvPr>
        <xdr:cNvSpPr txBox="1"/>
      </xdr:nvSpPr>
      <xdr:spPr>
        <a:xfrm>
          <a:off x="1363134" y="3959012"/>
          <a:ext cx="965200" cy="225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Kolawole</a:t>
          </a:r>
          <a:r>
            <a:rPr lang="en-US" sz="1100" baseline="0"/>
            <a:t> E.O</a:t>
          </a:r>
          <a:endParaRPr lang="en-US" sz="1100"/>
        </a:p>
      </xdr:txBody>
    </xdr:sp>
    <xdr:clientData/>
  </xdr:twoCellAnchor>
  <xdr:twoCellAnchor>
    <xdr:from>
      <xdr:col>2</xdr:col>
      <xdr:colOff>135466</xdr:colOff>
      <xdr:row>24</xdr:row>
      <xdr:rowOff>101599</xdr:rowOff>
    </xdr:from>
    <xdr:to>
      <xdr:col>3</xdr:col>
      <xdr:colOff>584199</xdr:colOff>
      <xdr:row>25</xdr:row>
      <xdr:rowOff>177800</xdr:rowOff>
    </xdr:to>
    <xdr:sp macro="" textlink="">
      <xdr:nvSpPr>
        <xdr:cNvPr id="63" name="TextBox 62">
          <a:hlinkClick xmlns:r="http://schemas.openxmlformats.org/officeDocument/2006/relationships" r:id="rId30"/>
          <a:extLst>
            <a:ext uri="{FF2B5EF4-FFF2-40B4-BE49-F238E27FC236}">
              <a16:creationId xmlns:a16="http://schemas.microsoft.com/office/drawing/2014/main" id="{CFB40F86-21AB-4049-847C-C3BF3A841DEF}"/>
            </a:ext>
          </a:extLst>
        </xdr:cNvPr>
        <xdr:cNvSpPr txBox="1"/>
      </xdr:nvSpPr>
      <xdr:spPr>
        <a:xfrm>
          <a:off x="1354666" y="4490719"/>
          <a:ext cx="1058333" cy="2590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Kollzemmy123</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7.702492592594" createdVersion="8" refreshedVersion="8" minRefreshableVersion="3" recordCount="63" xr:uid="{E68EC33B-3B77-469B-8C9D-C0713F5863CC}">
  <cacheSource type="worksheet">
    <worksheetSource name="Table1"/>
  </cacheSource>
  <cacheFields count="15">
    <cacheField name="Date" numFmtId="14">
      <sharedItems containsSemiMixedTypes="0" containsNonDate="0" containsDate="1" containsString="0" minDate="2023-01-02T00:00:00" maxDate="2023-12-16T00:00:00"/>
    </cacheField>
    <cacheField name="Months" numFmtId="14">
      <sharedItems count="12">
        <s v="May"/>
        <s v="Feb"/>
        <s v="Oct"/>
        <s v="Nov"/>
        <s v="Mar"/>
        <s v="Apr"/>
        <s v="Aug"/>
        <s v="Jun"/>
        <s v="Jul"/>
        <s v="Sep"/>
        <s v="Dec"/>
        <s v="Jan"/>
      </sharedItems>
    </cacheField>
    <cacheField name="Quarter" numFmtId="14">
      <sharedItems count="4">
        <s v="Q2"/>
        <s v="Q1"/>
        <s v="Q4"/>
        <s v="Q3"/>
      </sharedItems>
    </cacheField>
    <cacheField name="Region" numFmtId="0">
      <sharedItems count="4">
        <s v="East"/>
        <s v="West"/>
        <s v="South"/>
        <s v="North"/>
      </sharedItems>
    </cacheField>
    <cacheField name="Sales" numFmtId="0">
      <sharedItems containsSemiMixedTypes="0" containsString="0" containsNumber="1" containsInteger="1" minValue="1000" maxValue="6500" count="28">
        <n v="2581"/>
        <n v="3944"/>
        <n v="3293"/>
        <n v="2019"/>
        <n v="2980"/>
        <n v="2209"/>
        <n v="2440"/>
        <n v="2000"/>
        <n v="1431"/>
        <n v="3000"/>
        <n v="4000"/>
        <n v="1000"/>
        <n v="6000"/>
        <n v="6500"/>
        <n v="1200"/>
        <n v="4500"/>
        <n v="5500"/>
        <n v="1700"/>
        <n v="1600"/>
        <n v="2500"/>
        <n v="2100"/>
        <n v="2150"/>
        <n v="2200"/>
        <n v="1800"/>
        <n v="1414"/>
        <n v="2250"/>
        <n v="2400"/>
        <n v="2450"/>
      </sharedItems>
    </cacheField>
    <cacheField name="Profit" numFmtId="0">
      <sharedItems containsSemiMixedTypes="0" containsString="0" containsNumber="1" minValue="385.71428571428601" maxValue="5214.2857142857101"/>
    </cacheField>
    <cacheField name="Target Sales" numFmtId="0">
      <sharedItems containsSemiMixedTypes="0" containsString="0" containsNumber="1" minValue="285.71428571428572" maxValue="6714.2857142857101"/>
    </cacheField>
    <cacheField name="No of Customers" numFmtId="0">
      <sharedItems containsSemiMixedTypes="0" containsString="0" containsNumber="1" containsInteger="1" minValue="15" maxValue="310"/>
    </cacheField>
    <cacheField name="Sales Completion Rate" numFmtId="0">
      <sharedItems containsSemiMixedTypes="0" containsString="0" containsNumber="1" minValue="0.7" maxValue="0.99"/>
    </cacheField>
    <cacheField name="Profit Completion Rate" numFmtId="0">
      <sharedItems containsSemiMixedTypes="0" containsString="0" containsNumber="1" minValue="0.7" maxValue="0.99"/>
    </cacheField>
    <cacheField name="Customer Completion Rate" numFmtId="0">
      <sharedItems containsSemiMixedTypes="0" containsString="0" containsNumber="1" minValue="0.7" maxValue="0.99"/>
    </cacheField>
    <cacheField name="Country" numFmtId="0">
      <sharedItems count="5">
        <s v="Argentina"/>
        <s v="Colombia"/>
        <s v="Brazil"/>
        <s v="Ecuador"/>
        <s v="Peru"/>
      </sharedItems>
    </cacheField>
    <cacheField name="Customer Satisfaction" numFmtId="0">
      <sharedItems count="5">
        <s v="Speed"/>
        <s v="Quality"/>
        <s v="Hygiene"/>
        <s v="Service"/>
        <s v="Availability"/>
      </sharedItems>
    </cacheField>
    <cacheField name="Number" numFmtId="0">
      <sharedItems containsSemiMixedTypes="0" containsString="0" containsNumber="1" containsInteger="1" minValue="100" maxValue="100"/>
    </cacheField>
    <cacheField name="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1431304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
  <r>
    <d v="2023-05-14T00:00:00"/>
    <x v="0"/>
    <x v="0"/>
    <x v="0"/>
    <x v="0"/>
    <n v="2957.1428571428601"/>
    <n v="5857"/>
    <n v="80"/>
    <n v="0.89"/>
    <n v="0.85"/>
    <n v="0.72"/>
    <x v="0"/>
    <x v="0"/>
    <n v="100"/>
    <n v="8"/>
  </r>
  <r>
    <d v="2023-02-26T00:00:00"/>
    <x v="1"/>
    <x v="1"/>
    <x v="1"/>
    <x v="1"/>
    <n v="2957.1428571428601"/>
    <n v="5857"/>
    <n v="30"/>
    <n v="0.94"/>
    <n v="0.95"/>
    <n v="0.86"/>
    <x v="1"/>
    <x v="1"/>
    <n v="100"/>
    <n v="4"/>
  </r>
  <r>
    <d v="2023-02-27T00:00:00"/>
    <x v="1"/>
    <x v="1"/>
    <x v="2"/>
    <x v="2"/>
    <n v="2957.1428571428601"/>
    <n v="5857"/>
    <n v="15"/>
    <n v="0.82"/>
    <n v="0.8"/>
    <n v="0.76"/>
    <x v="2"/>
    <x v="2"/>
    <n v="100"/>
    <n v="3"/>
  </r>
  <r>
    <d v="2023-02-28T00:00:00"/>
    <x v="1"/>
    <x v="1"/>
    <x v="2"/>
    <x v="3"/>
    <n v="2957.1428571428601"/>
    <n v="5857"/>
    <n v="40"/>
    <n v="0.79"/>
    <n v="0.79"/>
    <n v="0.79"/>
    <x v="3"/>
    <x v="0"/>
    <n v="100"/>
    <n v="2"/>
  </r>
  <r>
    <d v="2023-10-29T00:00:00"/>
    <x v="2"/>
    <x v="2"/>
    <x v="1"/>
    <x v="4"/>
    <n v="2958"/>
    <n v="5857"/>
    <n v="100"/>
    <n v="0.96"/>
    <n v="0.79"/>
    <n v="0.7"/>
    <x v="4"/>
    <x v="3"/>
    <n v="100"/>
    <n v="7"/>
  </r>
  <r>
    <d v="2023-10-30T00:00:00"/>
    <x v="2"/>
    <x v="2"/>
    <x v="1"/>
    <x v="5"/>
    <n v="2957.1428571428601"/>
    <n v="5857"/>
    <n v="15"/>
    <n v="0.79"/>
    <n v="0.79"/>
    <n v="0.77"/>
    <x v="4"/>
    <x v="0"/>
    <n v="100"/>
    <n v="9"/>
  </r>
  <r>
    <d v="2023-10-31T00:00:00"/>
    <x v="2"/>
    <x v="2"/>
    <x v="3"/>
    <x v="6"/>
    <n v="2957.1428571428601"/>
    <n v="5857"/>
    <n v="20"/>
    <n v="0.75"/>
    <n v="0.72"/>
    <n v="0.93"/>
    <x v="4"/>
    <x v="1"/>
    <n v="100"/>
    <n v="5"/>
  </r>
  <r>
    <d v="2023-11-01T00:00:00"/>
    <x v="3"/>
    <x v="2"/>
    <x v="3"/>
    <x v="7"/>
    <n v="1328.57142857143"/>
    <n v="4428.5714285714303"/>
    <n v="90"/>
    <n v="0.92"/>
    <n v="0.99"/>
    <n v="0.74"/>
    <x v="2"/>
    <x v="1"/>
    <n v="100"/>
    <n v="6"/>
  </r>
  <r>
    <d v="2023-11-02T00:00:00"/>
    <x v="3"/>
    <x v="2"/>
    <x v="3"/>
    <x v="8"/>
    <n v="1328.57142857143"/>
    <n v="4428.5714285714303"/>
    <n v="30"/>
    <n v="0.7"/>
    <n v="0.99"/>
    <n v="0.95"/>
    <x v="2"/>
    <x v="3"/>
    <n v="100"/>
    <n v="8"/>
  </r>
  <r>
    <d v="2023-11-03T00:00:00"/>
    <x v="3"/>
    <x v="2"/>
    <x v="1"/>
    <x v="9"/>
    <n v="1328.57142857143"/>
    <n v="4428.5714285714303"/>
    <n v="15"/>
    <n v="0.91"/>
    <n v="0.98"/>
    <n v="0.89"/>
    <x v="2"/>
    <x v="3"/>
    <n v="100"/>
    <n v="4"/>
  </r>
  <r>
    <d v="2023-05-14T00:00:00"/>
    <x v="0"/>
    <x v="0"/>
    <x v="1"/>
    <x v="10"/>
    <n v="1328.57142857143"/>
    <n v="4428.5714285714303"/>
    <n v="40"/>
    <n v="0.74"/>
    <n v="0.85"/>
    <n v="0.7"/>
    <x v="2"/>
    <x v="0"/>
    <n v="100"/>
    <n v="3"/>
  </r>
  <r>
    <d v="2023-10-26T00:00:00"/>
    <x v="2"/>
    <x v="2"/>
    <x v="0"/>
    <x v="11"/>
    <n v="1328.57142857143"/>
    <n v="4428.5714285714303"/>
    <n v="100"/>
    <n v="0.9"/>
    <n v="0.9"/>
    <n v="0.72"/>
    <x v="2"/>
    <x v="1"/>
    <n v="100"/>
    <n v="2"/>
  </r>
  <r>
    <d v="2023-03-10T00:00:00"/>
    <x v="4"/>
    <x v="1"/>
    <x v="0"/>
    <x v="7"/>
    <n v="1328.57142857143"/>
    <n v="4428.5714285714303"/>
    <n v="15"/>
    <n v="0.95"/>
    <n v="0.97"/>
    <n v="0.81"/>
    <x v="2"/>
    <x v="2"/>
    <n v="100"/>
    <n v="7"/>
  </r>
  <r>
    <d v="2023-04-28T00:00:00"/>
    <x v="5"/>
    <x v="0"/>
    <x v="2"/>
    <x v="7"/>
    <n v="1328.57142857143"/>
    <n v="4428.5714285714303"/>
    <n v="20"/>
    <n v="0.99"/>
    <n v="0.79"/>
    <n v="0.75"/>
    <x v="2"/>
    <x v="3"/>
    <n v="100"/>
    <n v="9"/>
  </r>
  <r>
    <d v="2023-10-19T00:00:00"/>
    <x v="2"/>
    <x v="2"/>
    <x v="2"/>
    <x v="10"/>
    <n v="1328.57142857143"/>
    <n v="1428.57142857143"/>
    <n v="45"/>
    <n v="0.86"/>
    <n v="0.97"/>
    <n v="0.89"/>
    <x v="0"/>
    <x v="4"/>
    <n v="100"/>
    <n v="5"/>
  </r>
  <r>
    <d v="2023-08-22T00:00:00"/>
    <x v="6"/>
    <x v="3"/>
    <x v="0"/>
    <x v="12"/>
    <n v="1328.57142857143"/>
    <n v="1428.57142857143"/>
    <n v="43"/>
    <n v="0.83"/>
    <n v="0.72"/>
    <n v="0.74"/>
    <x v="1"/>
    <x v="0"/>
    <n v="100"/>
    <n v="6"/>
  </r>
  <r>
    <d v="2023-08-09T00:00:00"/>
    <x v="6"/>
    <x v="3"/>
    <x v="1"/>
    <x v="13"/>
    <n v="1328.57142857143"/>
    <n v="1428.57142857143"/>
    <n v="43"/>
    <n v="0.74"/>
    <n v="0.78"/>
    <n v="0.94"/>
    <x v="2"/>
    <x v="1"/>
    <n v="100"/>
    <n v="8"/>
  </r>
  <r>
    <d v="2023-06-01T00:00:00"/>
    <x v="7"/>
    <x v="0"/>
    <x v="3"/>
    <x v="14"/>
    <n v="1328.57142857143"/>
    <n v="1428.57142857143"/>
    <n v="43"/>
    <n v="0.8"/>
    <n v="0.84"/>
    <n v="0.81"/>
    <x v="3"/>
    <x v="1"/>
    <n v="100"/>
    <n v="4"/>
  </r>
  <r>
    <d v="2023-03-01T00:00:00"/>
    <x v="4"/>
    <x v="1"/>
    <x v="3"/>
    <x v="9"/>
    <n v="1328.57142857143"/>
    <n v="1428.5714285714287"/>
    <n v="43"/>
    <n v="0.89"/>
    <n v="0.99"/>
    <n v="0.97"/>
    <x v="0"/>
    <x v="0"/>
    <n v="100"/>
    <n v="3"/>
  </r>
  <r>
    <d v="2023-11-27T00:00:00"/>
    <x v="3"/>
    <x v="2"/>
    <x v="3"/>
    <x v="7"/>
    <n v="1328.57142857143"/>
    <n v="1428.5714285714287"/>
    <n v="40"/>
    <n v="0.71"/>
    <n v="0.87"/>
    <n v="0.94"/>
    <x v="1"/>
    <x v="4"/>
    <n v="100"/>
    <n v="2"/>
  </r>
  <r>
    <d v="2023-10-14T00:00:00"/>
    <x v="2"/>
    <x v="2"/>
    <x v="3"/>
    <x v="7"/>
    <n v="1328.57142857143"/>
    <n v="1428.5714285714287"/>
    <n v="43"/>
    <n v="0.9"/>
    <n v="0.72"/>
    <n v="0.94"/>
    <x v="2"/>
    <x v="0"/>
    <n v="100"/>
    <n v="7"/>
  </r>
  <r>
    <d v="2023-06-21T00:00:00"/>
    <x v="7"/>
    <x v="0"/>
    <x v="0"/>
    <x v="9"/>
    <n v="5214.2857142857101"/>
    <n v="6714.2857142857101"/>
    <n v="100"/>
    <n v="0.89"/>
    <n v="0.85"/>
    <n v="0.87"/>
    <x v="3"/>
    <x v="1"/>
    <n v="100"/>
    <n v="9"/>
  </r>
  <r>
    <d v="2023-07-23T00:00:00"/>
    <x v="8"/>
    <x v="3"/>
    <x v="2"/>
    <x v="15"/>
    <n v="5214.2857142857101"/>
    <n v="6714.2857142857101"/>
    <n v="100"/>
    <n v="0.89"/>
    <n v="0.8"/>
    <n v="0.88"/>
    <x v="0"/>
    <x v="2"/>
    <n v="100"/>
    <n v="5"/>
  </r>
  <r>
    <d v="2023-07-20T00:00:00"/>
    <x v="8"/>
    <x v="3"/>
    <x v="0"/>
    <x v="16"/>
    <n v="1214.2857142857099"/>
    <n v="6714.2857142857101"/>
    <n v="100"/>
    <n v="0.98"/>
    <n v="0.99"/>
    <n v="0.81"/>
    <x v="2"/>
    <x v="0"/>
    <n v="100"/>
    <n v="6"/>
  </r>
  <r>
    <d v="2023-07-22T00:00:00"/>
    <x v="8"/>
    <x v="3"/>
    <x v="1"/>
    <x v="11"/>
    <n v="5214.2857142857101"/>
    <n v="6714.2857142857101"/>
    <n v="100"/>
    <n v="0.81"/>
    <n v="0.91"/>
    <n v="0.95"/>
    <x v="3"/>
    <x v="4"/>
    <n v="100"/>
    <n v="8"/>
  </r>
  <r>
    <d v="2023-04-02T00:00:00"/>
    <x v="5"/>
    <x v="0"/>
    <x v="0"/>
    <x v="7"/>
    <n v="5214.2857142857101"/>
    <n v="6714.2857142857101"/>
    <n v="100"/>
    <n v="0.97"/>
    <n v="0.85"/>
    <n v="0.85"/>
    <x v="0"/>
    <x v="0"/>
    <n v="100"/>
    <n v="4"/>
  </r>
  <r>
    <d v="2023-02-22T00:00:00"/>
    <x v="1"/>
    <x v="1"/>
    <x v="0"/>
    <x v="7"/>
    <n v="5214.2857142857101"/>
    <n v="6714.2857142857101"/>
    <n v="100"/>
    <n v="0.89"/>
    <n v="0.94"/>
    <n v="0.8"/>
    <x v="1"/>
    <x v="0"/>
    <n v="100"/>
    <n v="3"/>
  </r>
  <r>
    <d v="2023-09-10T00:00:00"/>
    <x v="9"/>
    <x v="3"/>
    <x v="0"/>
    <x v="7"/>
    <n v="5214.2857142857101"/>
    <n v="6714.2857142857101"/>
    <n v="100"/>
    <n v="0.88"/>
    <n v="0.94"/>
    <n v="0.7"/>
    <x v="2"/>
    <x v="2"/>
    <n v="100"/>
    <n v="2"/>
  </r>
  <r>
    <d v="2023-12-15T00:00:00"/>
    <x v="10"/>
    <x v="2"/>
    <x v="0"/>
    <x v="7"/>
    <n v="2957.1428571428601"/>
    <n v="2857.1428571428573"/>
    <n v="90"/>
    <n v="0.75"/>
    <n v="0.77"/>
    <n v="0.84"/>
    <x v="3"/>
    <x v="3"/>
    <n v="100"/>
    <n v="7"/>
  </r>
  <r>
    <d v="2023-03-12T00:00:00"/>
    <x v="4"/>
    <x v="1"/>
    <x v="0"/>
    <x v="17"/>
    <n v="2957.1428571428601"/>
    <n v="2857.1428571428573"/>
    <n v="80"/>
    <n v="0.73"/>
    <n v="0.96"/>
    <n v="0.93"/>
    <x v="3"/>
    <x v="4"/>
    <n v="100"/>
    <n v="4"/>
  </r>
  <r>
    <d v="2023-09-10T00:00:00"/>
    <x v="9"/>
    <x v="3"/>
    <x v="0"/>
    <x v="18"/>
    <n v="2957.1428571428601"/>
    <n v="2857.1428571428573"/>
    <n v="90"/>
    <n v="0.93"/>
    <n v="0.74"/>
    <n v="0.93"/>
    <x v="2"/>
    <x v="0"/>
    <n v="100"/>
    <n v="5"/>
  </r>
  <r>
    <d v="2023-01-02T00:00:00"/>
    <x v="11"/>
    <x v="1"/>
    <x v="1"/>
    <x v="14"/>
    <n v="2957.1428571428601"/>
    <n v="2857.1428571428573"/>
    <n v="110"/>
    <n v="0.85"/>
    <n v="0.7"/>
    <n v="0.99"/>
    <x v="3"/>
    <x v="1"/>
    <n v="100"/>
    <n v="6"/>
  </r>
  <r>
    <d v="2023-10-28T00:00:00"/>
    <x v="2"/>
    <x v="2"/>
    <x v="2"/>
    <x v="19"/>
    <n v="2957.1428571428601"/>
    <n v="2857.1428571428573"/>
    <n v="90"/>
    <n v="0.92"/>
    <n v="0.99"/>
    <n v="0.88"/>
    <x v="0"/>
    <x v="2"/>
    <n v="100"/>
    <n v="8"/>
  </r>
  <r>
    <d v="2023-06-26T00:00:00"/>
    <x v="7"/>
    <x v="0"/>
    <x v="2"/>
    <x v="20"/>
    <n v="2957.1428571428601"/>
    <n v="2857.1428571428573"/>
    <n v="100"/>
    <n v="0.75"/>
    <n v="0.97"/>
    <n v="0.83"/>
    <x v="1"/>
    <x v="3"/>
    <n v="100"/>
    <n v="4"/>
  </r>
  <r>
    <d v="2023-11-13T00:00:00"/>
    <x v="3"/>
    <x v="2"/>
    <x v="2"/>
    <x v="21"/>
    <n v="2957.1428571428601"/>
    <n v="2857.1428571428573"/>
    <n v="90"/>
    <n v="0.77"/>
    <n v="0.97"/>
    <n v="0.78"/>
    <x v="0"/>
    <x v="4"/>
    <n v="100"/>
    <n v="3"/>
  </r>
  <r>
    <d v="2023-06-30T00:00:00"/>
    <x v="7"/>
    <x v="0"/>
    <x v="2"/>
    <x v="22"/>
    <n v="757.142857142857"/>
    <n v="857.14285714285711"/>
    <n v="228"/>
    <n v="0.79"/>
    <n v="0.75"/>
    <n v="0.93"/>
    <x v="1"/>
    <x v="0"/>
    <n v="100"/>
    <n v="2"/>
  </r>
  <r>
    <d v="2023-04-14T00:00:00"/>
    <x v="5"/>
    <x v="0"/>
    <x v="1"/>
    <x v="23"/>
    <n v="757.142857142857"/>
    <n v="857.14285714285711"/>
    <n v="220"/>
    <n v="0.81"/>
    <n v="0.98"/>
    <n v="0.86"/>
    <x v="2"/>
    <x v="1"/>
    <n v="100"/>
    <n v="7"/>
  </r>
  <r>
    <d v="2023-12-06T00:00:00"/>
    <x v="10"/>
    <x v="2"/>
    <x v="3"/>
    <x v="23"/>
    <n v="757.142857142857"/>
    <n v="857.14285714285711"/>
    <n v="228"/>
    <n v="0.86"/>
    <n v="0.82"/>
    <n v="0.86"/>
    <x v="3"/>
    <x v="2"/>
    <n v="100"/>
    <n v="9"/>
  </r>
  <r>
    <d v="2023-05-08T00:00:00"/>
    <x v="0"/>
    <x v="0"/>
    <x v="0"/>
    <x v="24"/>
    <n v="757.142857142857"/>
    <n v="857.14285714285711"/>
    <n v="238"/>
    <n v="0.72"/>
    <n v="0.95"/>
    <n v="0.9"/>
    <x v="4"/>
    <x v="3"/>
    <n v="100"/>
    <n v="5"/>
  </r>
  <r>
    <d v="2023-04-03T00:00:00"/>
    <x v="5"/>
    <x v="0"/>
    <x v="2"/>
    <x v="20"/>
    <n v="757.142857142857"/>
    <n v="857.14285714285711"/>
    <n v="228"/>
    <n v="0.71"/>
    <n v="0.8"/>
    <n v="0.76"/>
    <x v="4"/>
    <x v="4"/>
    <n v="100"/>
    <n v="5"/>
  </r>
  <r>
    <d v="2023-06-01T00:00:00"/>
    <x v="7"/>
    <x v="0"/>
    <x v="2"/>
    <x v="19"/>
    <n v="757.142857142857"/>
    <n v="857.14285714285711"/>
    <n v="230"/>
    <n v="0.97"/>
    <n v="0.95"/>
    <n v="0.85"/>
    <x v="4"/>
    <x v="0"/>
    <n v="100"/>
    <n v="8"/>
  </r>
  <r>
    <d v="2023-11-03T00:00:00"/>
    <x v="3"/>
    <x v="2"/>
    <x v="3"/>
    <x v="22"/>
    <n v="757.142857142857"/>
    <n v="857.14285714285711"/>
    <n v="228"/>
    <n v="0.95"/>
    <n v="0.85"/>
    <n v="0.91"/>
    <x v="2"/>
    <x v="1"/>
    <n v="100"/>
    <n v="4"/>
  </r>
  <r>
    <d v="2023-05-14T00:00:00"/>
    <x v="0"/>
    <x v="0"/>
    <x v="0"/>
    <x v="19"/>
    <n v="914.28571428571399"/>
    <n v="714.28571428571433"/>
    <n v="250"/>
    <n v="0.97"/>
    <n v="0.7"/>
    <n v="0.93"/>
    <x v="2"/>
    <x v="2"/>
    <n v="100"/>
    <n v="3"/>
  </r>
  <r>
    <d v="2023-10-26T00:00:00"/>
    <x v="2"/>
    <x v="2"/>
    <x v="2"/>
    <x v="22"/>
    <n v="914.28571428571399"/>
    <n v="714.28571428571433"/>
    <n v="240"/>
    <n v="0.9"/>
    <n v="0.98"/>
    <n v="0.96"/>
    <x v="2"/>
    <x v="3"/>
    <n v="100"/>
    <n v="2"/>
  </r>
  <r>
    <d v="2023-10-27T00:00:00"/>
    <x v="2"/>
    <x v="2"/>
    <x v="0"/>
    <x v="19"/>
    <n v="914.28571428571399"/>
    <n v="714.28571428571433"/>
    <n v="270"/>
    <n v="0.9"/>
    <n v="0.95"/>
    <n v="0.98"/>
    <x v="2"/>
    <x v="4"/>
    <n v="100"/>
    <n v="3"/>
  </r>
  <r>
    <d v="2023-01-28T00:00:00"/>
    <x v="11"/>
    <x v="1"/>
    <x v="1"/>
    <x v="7"/>
    <n v="914.28571428571399"/>
    <n v="714.28571428571433"/>
    <n v="259"/>
    <n v="0.96"/>
    <n v="0.81"/>
    <n v="0.85"/>
    <x v="2"/>
    <x v="0"/>
    <n v="100"/>
    <n v="9"/>
  </r>
  <r>
    <d v="2023-01-29T00:00:00"/>
    <x v="11"/>
    <x v="1"/>
    <x v="1"/>
    <x v="19"/>
    <n v="914.28571428571399"/>
    <n v="714.28571428571433"/>
    <n v="260"/>
    <n v="0.98"/>
    <n v="0.84"/>
    <n v="0.89"/>
    <x v="2"/>
    <x v="0"/>
    <n v="100"/>
    <n v="5"/>
  </r>
  <r>
    <d v="2023-01-30T00:00:00"/>
    <x v="11"/>
    <x v="1"/>
    <x v="1"/>
    <x v="19"/>
    <n v="914.28571428571399"/>
    <n v="714.28571428571433"/>
    <n v="260"/>
    <n v="0.76"/>
    <n v="0.7"/>
    <n v="0.86"/>
    <x v="2"/>
    <x v="2"/>
    <n v="100"/>
    <n v="6"/>
  </r>
  <r>
    <d v="2023-01-31T00:00:00"/>
    <x v="11"/>
    <x v="1"/>
    <x v="0"/>
    <x v="19"/>
    <n v="914.28571428571399"/>
    <n v="714.28571428571433"/>
    <n v="261"/>
    <n v="0.91"/>
    <n v="0.77"/>
    <n v="0.75"/>
    <x v="0"/>
    <x v="3"/>
    <n v="100"/>
    <n v="8"/>
  </r>
  <r>
    <d v="2023-11-01T00:00:00"/>
    <x v="3"/>
    <x v="2"/>
    <x v="0"/>
    <x v="19"/>
    <n v="914.28571428571399"/>
    <n v="714.28571428571433"/>
    <n v="242"/>
    <n v="0.79"/>
    <n v="0.81"/>
    <n v="0.74"/>
    <x v="1"/>
    <x v="4"/>
    <n v="100"/>
    <n v="4"/>
  </r>
  <r>
    <d v="2023-11-02T00:00:00"/>
    <x v="3"/>
    <x v="2"/>
    <x v="0"/>
    <x v="25"/>
    <n v="914.28571428571399"/>
    <n v="714.28571428571433"/>
    <n v="250"/>
    <n v="0.85"/>
    <n v="0.82"/>
    <n v="0.73"/>
    <x v="2"/>
    <x v="0"/>
    <n v="100"/>
    <n v="3"/>
  </r>
  <r>
    <d v="2023-11-03T00:00:00"/>
    <x v="3"/>
    <x v="2"/>
    <x v="0"/>
    <x v="19"/>
    <n v="914.28571428571399"/>
    <n v="714.28571428571433"/>
    <n v="242"/>
    <n v="0.88"/>
    <n v="0.84"/>
    <n v="0.75"/>
    <x v="3"/>
    <x v="1"/>
    <n v="100"/>
    <n v="2"/>
  </r>
  <r>
    <d v="2023-05-14T00:00:00"/>
    <x v="0"/>
    <x v="0"/>
    <x v="0"/>
    <x v="19"/>
    <n v="914.28571428571399"/>
    <n v="714.28571428571433"/>
    <n v="242"/>
    <n v="0.81"/>
    <n v="0.92"/>
    <n v="0.91"/>
    <x v="0"/>
    <x v="2"/>
    <n v="100"/>
    <n v="7"/>
  </r>
  <r>
    <d v="2023-10-26T00:00:00"/>
    <x v="2"/>
    <x v="2"/>
    <x v="2"/>
    <x v="19"/>
    <n v="914.28571428571399"/>
    <n v="714.28571428571433"/>
    <n v="242"/>
    <n v="0.84"/>
    <n v="0.73"/>
    <n v="0.99"/>
    <x v="1"/>
    <x v="3"/>
    <n v="100"/>
    <n v="9"/>
  </r>
  <r>
    <d v="2023-03-10T00:00:00"/>
    <x v="4"/>
    <x v="1"/>
    <x v="2"/>
    <x v="19"/>
    <n v="914.28571428571399"/>
    <n v="714.28571428571433"/>
    <n v="240"/>
    <n v="0.93"/>
    <n v="0.79"/>
    <n v="0.72"/>
    <x v="2"/>
    <x v="4"/>
    <n v="100"/>
    <n v="5"/>
  </r>
  <r>
    <d v="2023-04-28T00:00:00"/>
    <x v="5"/>
    <x v="0"/>
    <x v="2"/>
    <x v="19"/>
    <n v="914.28571428571399"/>
    <n v="714.28571428571433"/>
    <n v="242"/>
    <n v="0.84"/>
    <n v="0.79"/>
    <n v="0.8"/>
    <x v="3"/>
    <x v="0"/>
    <n v="100"/>
    <n v="6"/>
  </r>
  <r>
    <d v="2023-01-19T00:00:00"/>
    <x v="11"/>
    <x v="1"/>
    <x v="2"/>
    <x v="22"/>
    <n v="385.71428571428601"/>
    <n v="285.71428571428572"/>
    <n v="285"/>
    <n v="0.85"/>
    <n v="0.91"/>
    <n v="0.84"/>
    <x v="0"/>
    <x v="1"/>
    <n v="100"/>
    <n v="8"/>
  </r>
  <r>
    <d v="2023-08-22T00:00:00"/>
    <x v="6"/>
    <x v="3"/>
    <x v="1"/>
    <x v="21"/>
    <n v="385.71428571428601"/>
    <n v="285.71428571428572"/>
    <n v="275"/>
    <n v="0.86"/>
    <n v="0.75"/>
    <n v="0.96"/>
    <x v="2"/>
    <x v="2"/>
    <n v="100"/>
    <n v="4"/>
  </r>
  <r>
    <d v="2023-08-09T00:00:00"/>
    <x v="6"/>
    <x v="3"/>
    <x v="3"/>
    <x v="26"/>
    <n v="385.71428571428601"/>
    <n v="285.71428571428572"/>
    <n v="285"/>
    <n v="0.96"/>
    <n v="0.77"/>
    <n v="0.92"/>
    <x v="3"/>
    <x v="3"/>
    <n v="100"/>
    <n v="3"/>
  </r>
  <r>
    <d v="2023-06-01T00:00:00"/>
    <x v="7"/>
    <x v="0"/>
    <x v="2"/>
    <x v="27"/>
    <n v="385.71428571428601"/>
    <n v="285.71428571428572"/>
    <n v="290"/>
    <n v="0.99"/>
    <n v="0.97"/>
    <n v="0.73"/>
    <x v="0"/>
    <x v="4"/>
    <n v="100"/>
    <n v="2"/>
  </r>
  <r>
    <d v="2023-03-01T00:00:00"/>
    <x v="4"/>
    <x v="1"/>
    <x v="1"/>
    <x v="19"/>
    <n v="385.71428571428601"/>
    <n v="285.71428571428572"/>
    <n v="310"/>
    <n v="0.77"/>
    <n v="0.72"/>
    <n v="0.85"/>
    <x v="1"/>
    <x v="0"/>
    <n v="100"/>
    <n v="7"/>
  </r>
  <r>
    <d v="2023-11-27T00:00:00"/>
    <x v="3"/>
    <x v="2"/>
    <x v="3"/>
    <x v="27"/>
    <n v="385.71428571428601"/>
    <n v="285.71428571428572"/>
    <n v="270"/>
    <n v="0.77"/>
    <n v="0.96"/>
    <n v="0.78"/>
    <x v="2"/>
    <x v="1"/>
    <n v="100"/>
    <n v="9"/>
  </r>
  <r>
    <d v="2023-10-14T00:00:00"/>
    <x v="2"/>
    <x v="2"/>
    <x v="2"/>
    <x v="26"/>
    <n v="385.71428571428601"/>
    <n v="285.71428571428572"/>
    <n v="285"/>
    <n v="0.78"/>
    <n v="0.8"/>
    <n v="0.85"/>
    <x v="3"/>
    <x v="2"/>
    <n v="10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A147D7-154D-41B8-AA71-CACC18530297}"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8:J74" firstHeaderRow="1" firstDataRow="1" firstDataCol="1"/>
  <pivotFields count="15">
    <pivotField numFmtId="14" showAll="0"/>
    <pivotField showAll="0">
      <items count="13">
        <item x="11"/>
        <item x="1"/>
        <item x="4"/>
        <item x="5"/>
        <item x="0"/>
        <item x="7"/>
        <item x="8"/>
        <item x="6"/>
        <item x="9"/>
        <item x="2"/>
        <item x="3"/>
        <item x="10"/>
        <item t="default"/>
      </items>
    </pivotField>
    <pivotField showAll="0">
      <items count="5">
        <item x="1"/>
        <item x="0"/>
        <item x="3"/>
        <item x="2"/>
        <item t="default"/>
      </items>
    </pivotField>
    <pivotField showAll="0">
      <items count="5">
        <item x="0"/>
        <item x="3"/>
        <item x="2"/>
        <item x="1"/>
        <item t="default"/>
      </items>
    </pivotField>
    <pivotField dataField="1" showAll="0"/>
    <pivotField showAll="0"/>
    <pivotField showAll="0"/>
    <pivotField showAll="0"/>
    <pivotField showAll="0"/>
    <pivotField showAll="0"/>
    <pivotField showAll="0"/>
    <pivotField axis="axisRow" showAll="0">
      <items count="6">
        <item x="0"/>
        <item x="2"/>
        <item x="1"/>
        <item x="3"/>
        <item x="4"/>
        <item t="default"/>
      </items>
    </pivotField>
    <pivotField showAll="0">
      <items count="6">
        <item x="4"/>
        <item x="2"/>
        <item x="1"/>
        <item x="3"/>
        <item x="0"/>
        <item t="default"/>
      </items>
    </pivotField>
    <pivotField showAll="0"/>
    <pivotField showAll="0"/>
  </pivotFields>
  <rowFields count="1">
    <field x="11"/>
  </rowFields>
  <rowItems count="6">
    <i>
      <x/>
    </i>
    <i>
      <x v="1"/>
    </i>
    <i>
      <x v="2"/>
    </i>
    <i>
      <x v="3"/>
    </i>
    <i>
      <x v="4"/>
    </i>
    <i t="grand">
      <x/>
    </i>
  </rowItems>
  <colItems count="1">
    <i/>
  </colItems>
  <dataFields count="1">
    <dataField name="Sum of Sales" fld="4" baseField="0" baseItem="0" numFmtId="170"/>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85DA57-11E1-4A3C-B6CF-A73955FF6455}"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58:J64" firstHeaderRow="1" firstDataRow="1" firstDataCol="1"/>
  <pivotFields count="15">
    <pivotField numFmtId="14" showAll="0"/>
    <pivotField showAll="0">
      <items count="13">
        <item x="11"/>
        <item x="1"/>
        <item x="4"/>
        <item x="5"/>
        <item x="0"/>
        <item x="7"/>
        <item x="8"/>
        <item x="6"/>
        <item x="9"/>
        <item x="2"/>
        <item x="3"/>
        <item x="10"/>
        <item t="default"/>
      </items>
    </pivotField>
    <pivotField showAll="0">
      <items count="5">
        <item x="1"/>
        <item x="0"/>
        <item x="3"/>
        <item x="2"/>
        <item t="default"/>
      </items>
    </pivotField>
    <pivotField showAll="0">
      <items count="5">
        <item x="0"/>
        <item x="3"/>
        <item x="2"/>
        <item x="1"/>
        <item t="default"/>
      </items>
    </pivotField>
    <pivotField showAll="0"/>
    <pivotField showAll="0"/>
    <pivotField showAll="0"/>
    <pivotField showAll="0"/>
    <pivotField showAll="0"/>
    <pivotField showAll="0"/>
    <pivotField showAll="0"/>
    <pivotField showAll="0"/>
    <pivotField axis="axisRow" showAll="0" sortType="ascending">
      <items count="6">
        <item x="4"/>
        <item x="2"/>
        <item x="1"/>
        <item x="3"/>
        <item x="0"/>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2"/>
  </rowFields>
  <rowItems count="6">
    <i>
      <x/>
    </i>
    <i>
      <x v="1"/>
    </i>
    <i>
      <x v="3"/>
    </i>
    <i>
      <x v="2"/>
    </i>
    <i>
      <x v="4"/>
    </i>
    <i t="grand">
      <x/>
    </i>
  </rowItems>
  <colItems count="1">
    <i/>
  </colItems>
  <dataFields count="1">
    <dataField name="Sum of Score" fld="14"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92E0F7-DE76-4CF7-8E4E-0FE057CE47FF}"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50:J55" firstHeaderRow="1" firstDataRow="1" firstDataCol="1"/>
  <pivotFields count="15">
    <pivotField numFmtId="14" showAll="0"/>
    <pivotField showAll="0">
      <items count="13">
        <item x="11"/>
        <item x="1"/>
        <item x="4"/>
        <item x="5"/>
        <item x="0"/>
        <item x="7"/>
        <item x="8"/>
        <item x="6"/>
        <item x="9"/>
        <item x="2"/>
        <item x="3"/>
        <item x="10"/>
        <item t="default"/>
      </items>
    </pivotField>
    <pivotField showAll="0">
      <items count="5">
        <item x="1"/>
        <item x="0"/>
        <item x="3"/>
        <item x="2"/>
        <item t="default"/>
      </items>
    </pivotField>
    <pivotField axis="axisRow" showAll="0">
      <items count="5">
        <item x="0"/>
        <item x="3"/>
        <item x="2"/>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4" showDataAs="percentOfCol" baseField="0" baseItem="0" numFmtId="10"/>
  </dataFields>
  <formats count="1">
    <format dxfId="141">
      <pivotArea collapsedLevelsAreSubtotals="1" fieldPosition="0">
        <references count="1">
          <reference field="3" count="0"/>
        </references>
      </pivotArea>
    </format>
  </formats>
  <chartFormats count="10">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3" count="1" selected="0">
            <x v="0"/>
          </reference>
        </references>
      </pivotArea>
    </chartFormat>
    <chartFormat chart="5" format="22">
      <pivotArea type="data" outline="0" fieldPosition="0">
        <references count="2">
          <reference field="4294967294" count="1" selected="0">
            <x v="0"/>
          </reference>
          <reference field="3" count="1" selected="0">
            <x v="1"/>
          </reference>
        </references>
      </pivotArea>
    </chartFormat>
    <chartFormat chart="5" format="23">
      <pivotArea type="data" outline="0" fieldPosition="0">
        <references count="2">
          <reference field="4294967294" count="1" selected="0">
            <x v="0"/>
          </reference>
          <reference field="3" count="1" selected="0">
            <x v="2"/>
          </reference>
        </references>
      </pivotArea>
    </chartFormat>
    <chartFormat chart="5" format="2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40EF61-8D91-4FD3-8DAB-8E1DBA515013}"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1:K44" firstHeaderRow="0" firstDataRow="1" firstDataCol="1"/>
  <pivotFields count="15">
    <pivotField numFmtId="14" showAll="0"/>
    <pivotField axis="axisRow" showAll="0">
      <items count="13">
        <item x="11"/>
        <item x="1"/>
        <item x="4"/>
        <item x="5"/>
        <item x="0"/>
        <item x="7"/>
        <item x="8"/>
        <item x="6"/>
        <item x="9"/>
        <item x="2"/>
        <item x="3"/>
        <item x="10"/>
        <item t="default"/>
      </items>
    </pivotField>
    <pivotField showAll="0">
      <items count="5">
        <item x="1"/>
        <item x="0"/>
        <item x="3"/>
        <item x="2"/>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No of Customers" fld="7" baseField="0" baseItem="0"/>
    <dataField name="Average of Number" fld="13" subtotal="average" baseField="1" baseItem="0"/>
  </dataFields>
  <chartFormats count="4">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F1A1B-2D19-4834-A545-FFE76F8DDFEC}"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13:K26" firstHeaderRow="0" firstDataRow="1" firstDataCol="1"/>
  <pivotFields count="15">
    <pivotField numFmtId="14" showAll="0"/>
    <pivotField axis="axisRow" showAll="0">
      <items count="13">
        <item x="11"/>
        <item x="1"/>
        <item x="4"/>
        <item x="5"/>
        <item x="0"/>
        <item x="7"/>
        <item x="8"/>
        <item x="6"/>
        <item x="9"/>
        <item x="2"/>
        <item x="3"/>
        <item x="10"/>
        <item t="default"/>
      </items>
    </pivotField>
    <pivotField showAll="0">
      <items count="5">
        <item x="1"/>
        <item x="0"/>
        <item x="3"/>
        <item x="2"/>
        <item t="default"/>
      </items>
    </pivotField>
    <pivotField showAll="0"/>
    <pivotField dataField="1"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ale" fld="4" baseField="0" baseItem="0" numFmtId="170"/>
    <dataField name=" Target Sales" fld="6" baseField="0" baseItem="0" numFmtId="170"/>
  </dataFields>
  <formats count="5">
    <format dxfId="144">
      <pivotArea dataOnly="0" labelOnly="1" outline="0" fieldPosition="0">
        <references count="1">
          <reference field="4294967294" count="1">
            <x v="0"/>
          </reference>
        </references>
      </pivotArea>
    </format>
    <format dxfId="143">
      <pivotArea outline="0" collapsedLevelsAreSubtotals="1" fieldPosition="0">
        <references count="1">
          <reference field="4294967294" count="1" selected="0">
            <x v="0"/>
          </reference>
        </references>
      </pivotArea>
    </format>
    <format dxfId="142">
      <pivotArea outline="0" collapsedLevelsAreSubtotals="1" fieldPosition="0">
        <references count="1">
          <reference field="4294967294" count="1" selected="0">
            <x v="1"/>
          </reference>
        </references>
      </pivotArea>
    </format>
    <format dxfId="139">
      <pivotArea collapsedLevelsAreSubtotals="1" fieldPosition="0">
        <references count="1">
          <reference field="1" count="0"/>
        </references>
      </pivotArea>
    </format>
    <format dxfId="138">
      <pivotArea outline="0" collapsedLevelsAreSubtotals="1" fieldPosition="0"/>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7A0B1A-1F11-403A-A493-2D042E4A3031}"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K6" firstHeaderRow="0" firstDataRow="1" firstDataCol="0"/>
  <pivotFields count="15">
    <pivotField numFmtId="14" showAll="0"/>
    <pivotField showAll="0"/>
    <pivotField showAll="0">
      <items count="5">
        <item x="1"/>
        <item x="0"/>
        <item x="3"/>
        <item x="2"/>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Sales Completion Rate" fld="8" subtotal="average" baseField="0" baseItem="2"/>
    <dataField name="Average of Profit Completion Rate" fld="9" subtotal="average" baseField="0" baseItem="2"/>
    <dataField name="Average of Customer Completion Rate" fld="10"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ECD24-835F-45A4-B290-5AD3FFEC4AA9}"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C12" firstHeaderRow="0" firstDataRow="1" firstDataCol="0"/>
  <pivotFields count="15">
    <pivotField numFmtId="14" showAll="0"/>
    <pivotField showAll="0"/>
    <pivotField showAll="0">
      <items count="5">
        <item x="1"/>
        <item x="0"/>
        <item x="3"/>
        <item x="2"/>
        <item t="default"/>
      </items>
    </pivotField>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Sales Completion Rate" fld="8" subtotal="average" baseField="0" baseItem="2"/>
    <dataField name="Average of Profit Completion Rate" fld="9" subtotal="average" baseField="0" baseItem="2"/>
    <dataField name="Average of Customer Completion Rate" fld="10"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B82AC7-CC1F-4FCE-832B-AE1B49067899}"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numFmtId="14" showAll="0"/>
    <pivotField showAll="0"/>
    <pivotField showAll="0">
      <items count="5">
        <item x="1"/>
        <item x="0"/>
        <item x="3"/>
        <item x="2"/>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Sum of Sales" fld="4" baseField="0" baseItem="0" numFmtId="167"/>
    <dataField name="Sum of Target Sales" fld="6" baseField="0" baseItem="0" numFmtId="167"/>
    <dataField name="Sum of Profit" fld="5" baseField="0" baseItem="0" numFmtId="167"/>
    <dataField name="Count of No of Customers" fld="7" subtotal="count" baseField="0" baseItem="1"/>
  </dataFields>
  <formats count="3">
    <format dxfId="147">
      <pivotArea outline="0" collapsedLevelsAreSubtotals="1" fieldPosition="0">
        <references count="1">
          <reference field="4294967294" count="1" selected="0">
            <x v="0"/>
          </reference>
        </references>
      </pivotArea>
    </format>
    <format dxfId="146">
      <pivotArea outline="0" collapsedLevelsAreSubtotals="1" fieldPosition="0">
        <references count="1">
          <reference field="4294967294" count="1" selected="0">
            <x v="1"/>
          </reference>
        </references>
      </pivotArea>
    </format>
    <format dxfId="14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F0F7EE5-8695-482D-A412-06E5F5722513}" sourceName="Quarter">
  <pivotTables>
    <pivotTable tabId="2" name="PivotTable4"/>
    <pivotTable tabId="2" name="PivotTable1"/>
    <pivotTable tabId="2" name="PivotTable2"/>
    <pivotTable tabId="2" name="PivotTable5"/>
    <pivotTable tabId="2" name="PivotTable6"/>
    <pivotTable tabId="2" name="PivotTable7"/>
    <pivotTable tabId="2" name="PivotTable8"/>
    <pivotTable tabId="2" name="PivotTable9"/>
  </pivotTables>
  <data>
    <tabular pivotCacheId="1431304625">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28909ECF-14B6-4B70-A5CC-978EFDCAEA09}" cache="Slicer_Quarter" caption="Quarter" columnCount="4" showCaption="0" style="SlicerStyleOther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4DAA5C39-9B1F-4A8F-9E53-730B373F4EEC}" cache="Slicer_Quarter" caption="Quarter" columnCount="4" showCaption="0" style="SlicerStyleOther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CA3D4E-3DB4-49C7-AB69-E009E569306E}" name="Table1" displayName="Table1" ref="A1:O64" totalsRowShown="0">
  <autoFilter ref="A1:O64" xr:uid="{FCCA3D4E-3DB4-49C7-AB69-E009E569306E}"/>
  <tableColumns count="15">
    <tableColumn id="1" xr3:uid="{3E33357E-C8E0-4166-87C8-C369A12E3565}" name="Date" dataDxfId="150"/>
    <tableColumn id="13" xr3:uid="{A7DCD1C0-5B4F-4A8A-8FA4-1051F77C3D74}" name="Months" dataDxfId="149">
      <calculatedColumnFormula>TEXT(Table1[[#This Row],[Date]],"mmm")</calculatedColumnFormula>
    </tableColumn>
    <tableColumn id="15" xr3:uid="{1F5BF91F-02D3-40D1-826A-2B3CCB124ACF}" name="Quarter" dataDxfId="148">
      <calculatedColumnFormula>"Q"&amp; ROUNDUP(MONTH(Table1[[#This Row],[Date]])/3,0)</calculatedColumnFormula>
    </tableColumn>
    <tableColumn id="2" xr3:uid="{DE371693-8C85-4F54-B2A6-CA4951C49323}" name="Region"/>
    <tableColumn id="3" xr3:uid="{4C5A2438-2CCF-4260-B6E2-2FCE65C120E7}" name="Sales"/>
    <tableColumn id="4" xr3:uid="{7F75C827-0C89-4843-9CD6-B5CCF01990C8}" name="Profit"/>
    <tableColumn id="5" xr3:uid="{EA70EA7C-E63E-43E0-9162-694475F83ACB}" name="Target Sales"/>
    <tableColumn id="6" xr3:uid="{E39D8A3D-194A-4FC7-BAE6-EFDE4D969A7D}" name="No of Customers"/>
    <tableColumn id="7" xr3:uid="{928BBD51-4A7A-4166-97EA-C9E68F9EB78F}" name="Sales Completion Rate"/>
    <tableColumn id="8" xr3:uid="{34B5864F-7901-48B6-8BC6-6A350EAEF2F9}" name="Profit Completion Rate"/>
    <tableColumn id="9" xr3:uid="{61D7633A-4E24-4FFE-A8A9-932568F47BC8}" name="Customer Completion Rate"/>
    <tableColumn id="10" xr3:uid="{9629E252-8059-456B-9E93-E582974D5784}" name="Country"/>
    <tableColumn id="11" xr3:uid="{26D2467D-28FC-4F6F-8759-223194E779E9}" name="Customer Satisfaction"/>
    <tableColumn id="16" xr3:uid="{08E16CE7-9AE2-473C-BD45-F16787715C5E}" name="Number"/>
    <tableColumn id="12" xr3:uid="{7577311D-C89F-40BD-B791-B0196C2336B2}" name="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00EBB-4236-4385-B112-7436EAEB5F65}">
  <dimension ref="A1:O64"/>
  <sheetViews>
    <sheetView zoomScale="87" zoomScaleNormal="87" workbookViewId="0"/>
  </sheetViews>
  <sheetFormatPr defaultRowHeight="14.4" x14ac:dyDescent="0.3"/>
  <cols>
    <col min="1" max="1" width="10.109375" style="1" bestFit="1" customWidth="1"/>
    <col min="2" max="2" width="10.109375" style="1" customWidth="1"/>
    <col min="6" max="6" width="12.88671875" customWidth="1"/>
    <col min="7" max="7" width="16.44140625" customWidth="1"/>
    <col min="8" max="9" width="21.6640625" customWidth="1"/>
    <col min="10" max="10" width="25.21875" customWidth="1"/>
    <col min="11" max="11" width="9.33203125" customWidth="1"/>
    <col min="12" max="12" width="21.33203125" customWidth="1"/>
  </cols>
  <sheetData>
    <row r="1" spans="1:15" x14ac:dyDescent="0.3">
      <c r="A1" s="1" t="s">
        <v>0</v>
      </c>
      <c r="B1" s="1" t="s">
        <v>26</v>
      </c>
      <c r="C1" s="1" t="s">
        <v>27</v>
      </c>
      <c r="D1" t="s">
        <v>1</v>
      </c>
      <c r="E1" t="s">
        <v>2</v>
      </c>
      <c r="F1" t="s">
        <v>3</v>
      </c>
      <c r="G1" t="s">
        <v>4</v>
      </c>
      <c r="H1" t="s">
        <v>5</v>
      </c>
      <c r="I1" t="s">
        <v>6</v>
      </c>
      <c r="J1" t="s">
        <v>7</v>
      </c>
      <c r="K1" t="s">
        <v>8</v>
      </c>
      <c r="L1" t="s">
        <v>9</v>
      </c>
      <c r="M1" t="s">
        <v>10</v>
      </c>
      <c r="N1" t="s">
        <v>28</v>
      </c>
      <c r="O1" t="s">
        <v>11</v>
      </c>
    </row>
    <row r="2" spans="1:15" x14ac:dyDescent="0.3">
      <c r="A2" s="1">
        <v>45060</v>
      </c>
      <c r="B2" s="1" t="str">
        <f>TEXT(Table1[[#This Row],[Date]],"mmm")</f>
        <v>May</v>
      </c>
      <c r="C2" s="1" t="str">
        <f>"Q"&amp; ROUNDUP(MONTH(Table1[[#This Row],[Date]])/3,0)</f>
        <v>Q2</v>
      </c>
      <c r="D2" t="s">
        <v>12</v>
      </c>
      <c r="E2">
        <v>2581</v>
      </c>
      <c r="F2">
        <v>2957.1428571428601</v>
      </c>
      <c r="G2">
        <v>5857</v>
      </c>
      <c r="H2">
        <v>80</v>
      </c>
      <c r="I2">
        <v>0.89</v>
      </c>
      <c r="J2">
        <v>0.85</v>
      </c>
      <c r="K2">
        <v>0.72</v>
      </c>
      <c r="L2" t="s">
        <v>13</v>
      </c>
      <c r="M2" t="s">
        <v>14</v>
      </c>
      <c r="N2">
        <v>100</v>
      </c>
      <c r="O2">
        <v>8</v>
      </c>
    </row>
    <row r="3" spans="1:15" x14ac:dyDescent="0.3">
      <c r="A3" s="1">
        <v>44983</v>
      </c>
      <c r="B3" s="1" t="str">
        <f>TEXT(Table1[[#This Row],[Date]],"mmm")</f>
        <v>Feb</v>
      </c>
      <c r="C3" s="1" t="str">
        <f>"Q"&amp; ROUNDUP(MONTH(Table1[[#This Row],[Date]])/3,0)</f>
        <v>Q1</v>
      </c>
      <c r="D3" t="s">
        <v>15</v>
      </c>
      <c r="E3">
        <v>3944</v>
      </c>
      <c r="F3">
        <v>2957.1428571428601</v>
      </c>
      <c r="G3">
        <v>5857</v>
      </c>
      <c r="H3">
        <v>30</v>
      </c>
      <c r="I3">
        <v>0.94</v>
      </c>
      <c r="J3">
        <v>0.95</v>
      </c>
      <c r="K3">
        <v>0.86</v>
      </c>
      <c r="L3" t="s">
        <v>16</v>
      </c>
      <c r="M3" t="s">
        <v>17</v>
      </c>
      <c r="N3">
        <v>100</v>
      </c>
      <c r="O3">
        <v>4</v>
      </c>
    </row>
    <row r="4" spans="1:15" x14ac:dyDescent="0.3">
      <c r="A4" s="1">
        <v>44984</v>
      </c>
      <c r="B4" s="1" t="str">
        <f>TEXT(Table1[[#This Row],[Date]],"mmm")</f>
        <v>Feb</v>
      </c>
      <c r="C4" s="1" t="str">
        <f>"Q"&amp; ROUNDUP(MONTH(Table1[[#This Row],[Date]])/3,0)</f>
        <v>Q1</v>
      </c>
      <c r="D4" t="s">
        <v>18</v>
      </c>
      <c r="E4">
        <v>3293</v>
      </c>
      <c r="F4">
        <v>2957.1428571428601</v>
      </c>
      <c r="G4">
        <v>5857</v>
      </c>
      <c r="H4">
        <v>15</v>
      </c>
      <c r="I4">
        <v>0.82</v>
      </c>
      <c r="J4">
        <v>0.8</v>
      </c>
      <c r="K4">
        <v>0.76</v>
      </c>
      <c r="L4" t="s">
        <v>19</v>
      </c>
      <c r="M4" t="s">
        <v>20</v>
      </c>
      <c r="N4">
        <v>100</v>
      </c>
      <c r="O4">
        <v>3</v>
      </c>
    </row>
    <row r="5" spans="1:15" x14ac:dyDescent="0.3">
      <c r="A5" s="1">
        <v>44985</v>
      </c>
      <c r="B5" s="1" t="str">
        <f>TEXT(Table1[[#This Row],[Date]],"mmm")</f>
        <v>Feb</v>
      </c>
      <c r="C5" s="1" t="str">
        <f>"Q"&amp; ROUNDUP(MONTH(Table1[[#This Row],[Date]])/3,0)</f>
        <v>Q1</v>
      </c>
      <c r="D5" t="s">
        <v>18</v>
      </c>
      <c r="E5">
        <v>2019</v>
      </c>
      <c r="F5">
        <v>2957.1428571428601</v>
      </c>
      <c r="G5">
        <v>5857</v>
      </c>
      <c r="H5">
        <v>40</v>
      </c>
      <c r="I5">
        <v>0.79</v>
      </c>
      <c r="J5">
        <v>0.79</v>
      </c>
      <c r="K5">
        <v>0.79</v>
      </c>
      <c r="L5" t="s">
        <v>21</v>
      </c>
      <c r="M5" t="s">
        <v>14</v>
      </c>
      <c r="N5">
        <v>100</v>
      </c>
      <c r="O5">
        <v>2</v>
      </c>
    </row>
    <row r="6" spans="1:15" x14ac:dyDescent="0.3">
      <c r="A6" s="1">
        <v>45228</v>
      </c>
      <c r="B6" s="1" t="str">
        <f>TEXT(Table1[[#This Row],[Date]],"mmm")</f>
        <v>Oct</v>
      </c>
      <c r="C6" s="1" t="str">
        <f>"Q"&amp; ROUNDUP(MONTH(Table1[[#This Row],[Date]])/3,0)</f>
        <v>Q4</v>
      </c>
      <c r="D6" t="s">
        <v>15</v>
      </c>
      <c r="E6">
        <v>2980</v>
      </c>
      <c r="F6">
        <v>2958</v>
      </c>
      <c r="G6">
        <v>5857</v>
      </c>
      <c r="H6">
        <v>100</v>
      </c>
      <c r="I6">
        <v>0.96</v>
      </c>
      <c r="J6">
        <v>0.79</v>
      </c>
      <c r="K6">
        <v>0.7</v>
      </c>
      <c r="L6" t="s">
        <v>22</v>
      </c>
      <c r="M6" t="s">
        <v>23</v>
      </c>
      <c r="N6">
        <v>100</v>
      </c>
      <c r="O6">
        <v>7</v>
      </c>
    </row>
    <row r="7" spans="1:15" x14ac:dyDescent="0.3">
      <c r="A7" s="1">
        <v>45229</v>
      </c>
      <c r="B7" s="1" t="str">
        <f>TEXT(Table1[[#This Row],[Date]],"mmm")</f>
        <v>Oct</v>
      </c>
      <c r="C7" s="1" t="str">
        <f>"Q"&amp; ROUNDUP(MONTH(Table1[[#This Row],[Date]])/3,0)</f>
        <v>Q4</v>
      </c>
      <c r="D7" t="s">
        <v>15</v>
      </c>
      <c r="E7">
        <v>2209</v>
      </c>
      <c r="F7">
        <v>2957.1428571428601</v>
      </c>
      <c r="G7">
        <v>5857</v>
      </c>
      <c r="H7">
        <v>15</v>
      </c>
      <c r="I7">
        <v>0.79</v>
      </c>
      <c r="J7">
        <v>0.79</v>
      </c>
      <c r="K7">
        <v>0.77</v>
      </c>
      <c r="L7" t="s">
        <v>22</v>
      </c>
      <c r="M7" t="s">
        <v>14</v>
      </c>
      <c r="N7">
        <v>100</v>
      </c>
      <c r="O7">
        <v>9</v>
      </c>
    </row>
    <row r="8" spans="1:15" x14ac:dyDescent="0.3">
      <c r="A8" s="1">
        <v>45230</v>
      </c>
      <c r="B8" s="1" t="str">
        <f>TEXT(Table1[[#This Row],[Date]],"mmm")</f>
        <v>Oct</v>
      </c>
      <c r="C8" s="1" t="str">
        <f>"Q"&amp; ROUNDUP(MONTH(Table1[[#This Row],[Date]])/3,0)</f>
        <v>Q4</v>
      </c>
      <c r="D8" t="s">
        <v>24</v>
      </c>
      <c r="E8">
        <v>2440</v>
      </c>
      <c r="F8">
        <v>2957.1428571428601</v>
      </c>
      <c r="G8">
        <v>5857</v>
      </c>
      <c r="H8">
        <v>20</v>
      </c>
      <c r="I8">
        <v>0.75</v>
      </c>
      <c r="J8">
        <v>0.72</v>
      </c>
      <c r="K8">
        <v>0.93</v>
      </c>
      <c r="L8" t="s">
        <v>22</v>
      </c>
      <c r="M8" t="s">
        <v>17</v>
      </c>
      <c r="N8">
        <v>100</v>
      </c>
      <c r="O8">
        <v>5</v>
      </c>
    </row>
    <row r="9" spans="1:15" x14ac:dyDescent="0.3">
      <c r="A9" s="1">
        <v>45231</v>
      </c>
      <c r="B9" s="1" t="str">
        <f>TEXT(Table1[[#This Row],[Date]],"mmm")</f>
        <v>Nov</v>
      </c>
      <c r="C9" s="1" t="str">
        <f>"Q"&amp; ROUNDUP(MONTH(Table1[[#This Row],[Date]])/3,0)</f>
        <v>Q4</v>
      </c>
      <c r="D9" t="s">
        <v>24</v>
      </c>
      <c r="E9">
        <v>2000</v>
      </c>
      <c r="F9">
        <v>1328.57142857143</v>
      </c>
      <c r="G9">
        <v>4428.5714285714303</v>
      </c>
      <c r="H9">
        <v>90</v>
      </c>
      <c r="I9">
        <v>0.92</v>
      </c>
      <c r="J9">
        <v>0.99</v>
      </c>
      <c r="K9">
        <v>0.74</v>
      </c>
      <c r="L9" t="s">
        <v>19</v>
      </c>
      <c r="M9" t="s">
        <v>17</v>
      </c>
      <c r="N9">
        <v>100</v>
      </c>
      <c r="O9">
        <v>6</v>
      </c>
    </row>
    <row r="10" spans="1:15" x14ac:dyDescent="0.3">
      <c r="A10" s="1">
        <v>45232</v>
      </c>
      <c r="B10" s="1" t="str">
        <f>TEXT(Table1[[#This Row],[Date]],"mmm")</f>
        <v>Nov</v>
      </c>
      <c r="C10" s="1" t="str">
        <f>"Q"&amp; ROUNDUP(MONTH(Table1[[#This Row],[Date]])/3,0)</f>
        <v>Q4</v>
      </c>
      <c r="D10" t="s">
        <v>24</v>
      </c>
      <c r="E10">
        <v>1431</v>
      </c>
      <c r="F10">
        <v>1328.57142857143</v>
      </c>
      <c r="G10">
        <v>4428.5714285714303</v>
      </c>
      <c r="H10">
        <v>30</v>
      </c>
      <c r="I10">
        <v>0.7</v>
      </c>
      <c r="J10">
        <v>0.99</v>
      </c>
      <c r="K10">
        <v>0.95</v>
      </c>
      <c r="L10" t="s">
        <v>19</v>
      </c>
      <c r="M10" t="s">
        <v>23</v>
      </c>
      <c r="N10">
        <v>100</v>
      </c>
      <c r="O10">
        <v>8</v>
      </c>
    </row>
    <row r="11" spans="1:15" x14ac:dyDescent="0.3">
      <c r="A11" s="1">
        <v>45233</v>
      </c>
      <c r="B11" s="1" t="str">
        <f>TEXT(Table1[[#This Row],[Date]],"mmm")</f>
        <v>Nov</v>
      </c>
      <c r="C11" s="1" t="str">
        <f>"Q"&amp; ROUNDUP(MONTH(Table1[[#This Row],[Date]])/3,0)</f>
        <v>Q4</v>
      </c>
      <c r="D11" t="s">
        <v>15</v>
      </c>
      <c r="E11">
        <v>3000</v>
      </c>
      <c r="F11">
        <v>1328.57142857143</v>
      </c>
      <c r="G11">
        <v>4428.5714285714303</v>
      </c>
      <c r="H11">
        <v>15</v>
      </c>
      <c r="I11">
        <v>0.91</v>
      </c>
      <c r="J11">
        <v>0.98</v>
      </c>
      <c r="K11">
        <v>0.89</v>
      </c>
      <c r="L11" t="s">
        <v>19</v>
      </c>
      <c r="M11" t="s">
        <v>23</v>
      </c>
      <c r="N11">
        <v>100</v>
      </c>
      <c r="O11">
        <v>4</v>
      </c>
    </row>
    <row r="12" spans="1:15" x14ac:dyDescent="0.3">
      <c r="A12" s="1">
        <v>45060</v>
      </c>
      <c r="B12" s="1" t="str">
        <f>TEXT(Table1[[#This Row],[Date]],"mmm")</f>
        <v>May</v>
      </c>
      <c r="C12" s="1" t="str">
        <f>"Q"&amp; ROUNDUP(MONTH(Table1[[#This Row],[Date]])/3,0)</f>
        <v>Q2</v>
      </c>
      <c r="D12" t="s">
        <v>15</v>
      </c>
      <c r="E12">
        <v>4000</v>
      </c>
      <c r="F12">
        <v>1328.57142857143</v>
      </c>
      <c r="G12">
        <v>4428.5714285714303</v>
      </c>
      <c r="H12">
        <v>40</v>
      </c>
      <c r="I12">
        <v>0.74</v>
      </c>
      <c r="J12">
        <v>0.85</v>
      </c>
      <c r="K12">
        <v>0.7</v>
      </c>
      <c r="L12" t="s">
        <v>19</v>
      </c>
      <c r="M12" t="s">
        <v>14</v>
      </c>
      <c r="N12">
        <v>100</v>
      </c>
      <c r="O12">
        <v>3</v>
      </c>
    </row>
    <row r="13" spans="1:15" x14ac:dyDescent="0.3">
      <c r="A13" s="1">
        <v>45225</v>
      </c>
      <c r="B13" s="1" t="str">
        <f>TEXT(Table1[[#This Row],[Date]],"mmm")</f>
        <v>Oct</v>
      </c>
      <c r="C13" s="1" t="str">
        <f>"Q"&amp; ROUNDUP(MONTH(Table1[[#This Row],[Date]])/3,0)</f>
        <v>Q4</v>
      </c>
      <c r="D13" t="s">
        <v>12</v>
      </c>
      <c r="E13">
        <v>1000</v>
      </c>
      <c r="F13">
        <v>1328.57142857143</v>
      </c>
      <c r="G13">
        <v>4428.5714285714303</v>
      </c>
      <c r="H13">
        <v>100</v>
      </c>
      <c r="I13">
        <v>0.9</v>
      </c>
      <c r="J13">
        <v>0.9</v>
      </c>
      <c r="K13">
        <v>0.72</v>
      </c>
      <c r="L13" t="s">
        <v>19</v>
      </c>
      <c r="M13" t="s">
        <v>17</v>
      </c>
      <c r="N13">
        <v>100</v>
      </c>
      <c r="O13">
        <v>2</v>
      </c>
    </row>
    <row r="14" spans="1:15" x14ac:dyDescent="0.3">
      <c r="A14" s="1">
        <v>44995</v>
      </c>
      <c r="B14" s="1" t="str">
        <f>TEXT(Table1[[#This Row],[Date]],"mmm")</f>
        <v>Mar</v>
      </c>
      <c r="C14" s="1" t="str">
        <f>"Q"&amp; ROUNDUP(MONTH(Table1[[#This Row],[Date]])/3,0)</f>
        <v>Q1</v>
      </c>
      <c r="D14" t="s">
        <v>12</v>
      </c>
      <c r="E14">
        <v>2000</v>
      </c>
      <c r="F14">
        <v>1328.57142857143</v>
      </c>
      <c r="G14">
        <v>4428.5714285714303</v>
      </c>
      <c r="H14">
        <v>15</v>
      </c>
      <c r="I14">
        <v>0.95</v>
      </c>
      <c r="J14">
        <v>0.97</v>
      </c>
      <c r="K14">
        <v>0.81</v>
      </c>
      <c r="L14" t="s">
        <v>19</v>
      </c>
      <c r="M14" t="s">
        <v>20</v>
      </c>
      <c r="N14">
        <v>100</v>
      </c>
      <c r="O14">
        <v>7</v>
      </c>
    </row>
    <row r="15" spans="1:15" x14ac:dyDescent="0.3">
      <c r="A15" s="1">
        <v>45044</v>
      </c>
      <c r="B15" s="1" t="str">
        <f>TEXT(Table1[[#This Row],[Date]],"mmm")</f>
        <v>Apr</v>
      </c>
      <c r="C15" s="1" t="str">
        <f>"Q"&amp; ROUNDUP(MONTH(Table1[[#This Row],[Date]])/3,0)</f>
        <v>Q2</v>
      </c>
      <c r="D15" t="s">
        <v>18</v>
      </c>
      <c r="E15">
        <v>2000</v>
      </c>
      <c r="F15">
        <v>1328.57142857143</v>
      </c>
      <c r="G15">
        <v>4428.5714285714303</v>
      </c>
      <c r="H15">
        <v>20</v>
      </c>
      <c r="I15">
        <v>0.99</v>
      </c>
      <c r="J15">
        <v>0.79</v>
      </c>
      <c r="K15">
        <v>0.75</v>
      </c>
      <c r="L15" t="s">
        <v>19</v>
      </c>
      <c r="M15" t="s">
        <v>23</v>
      </c>
      <c r="N15">
        <v>100</v>
      </c>
      <c r="O15">
        <v>9</v>
      </c>
    </row>
    <row r="16" spans="1:15" x14ac:dyDescent="0.3">
      <c r="A16" s="1">
        <v>45218</v>
      </c>
      <c r="B16" s="1" t="str">
        <f>TEXT(Table1[[#This Row],[Date]],"mmm")</f>
        <v>Oct</v>
      </c>
      <c r="C16" s="1" t="str">
        <f>"Q"&amp; ROUNDUP(MONTH(Table1[[#This Row],[Date]])/3,0)</f>
        <v>Q4</v>
      </c>
      <c r="D16" t="s">
        <v>18</v>
      </c>
      <c r="E16">
        <v>4000</v>
      </c>
      <c r="F16">
        <v>1328.57142857143</v>
      </c>
      <c r="G16">
        <v>1428.57142857143</v>
      </c>
      <c r="H16">
        <v>45</v>
      </c>
      <c r="I16">
        <v>0.86</v>
      </c>
      <c r="J16">
        <v>0.97</v>
      </c>
      <c r="K16">
        <v>0.89</v>
      </c>
      <c r="L16" t="s">
        <v>13</v>
      </c>
      <c r="M16" t="s">
        <v>25</v>
      </c>
      <c r="N16">
        <v>100</v>
      </c>
      <c r="O16">
        <v>5</v>
      </c>
    </row>
    <row r="17" spans="1:15" x14ac:dyDescent="0.3">
      <c r="A17" s="1">
        <v>45160</v>
      </c>
      <c r="B17" s="1" t="str">
        <f>TEXT(Table1[[#This Row],[Date]],"mmm")</f>
        <v>Aug</v>
      </c>
      <c r="C17" s="1" t="str">
        <f>"Q"&amp; ROUNDUP(MONTH(Table1[[#This Row],[Date]])/3,0)</f>
        <v>Q3</v>
      </c>
      <c r="D17" t="s">
        <v>12</v>
      </c>
      <c r="E17">
        <v>6000</v>
      </c>
      <c r="F17">
        <v>1328.57142857143</v>
      </c>
      <c r="G17">
        <v>1428.57142857143</v>
      </c>
      <c r="H17">
        <v>43</v>
      </c>
      <c r="I17">
        <v>0.83</v>
      </c>
      <c r="J17">
        <v>0.72</v>
      </c>
      <c r="K17">
        <v>0.74</v>
      </c>
      <c r="L17" t="s">
        <v>16</v>
      </c>
      <c r="M17" t="s">
        <v>14</v>
      </c>
      <c r="N17">
        <v>100</v>
      </c>
      <c r="O17">
        <v>6</v>
      </c>
    </row>
    <row r="18" spans="1:15" x14ac:dyDescent="0.3">
      <c r="A18" s="1">
        <v>45147</v>
      </c>
      <c r="B18" s="1" t="str">
        <f>TEXT(Table1[[#This Row],[Date]],"mmm")</f>
        <v>Aug</v>
      </c>
      <c r="C18" s="1" t="str">
        <f>"Q"&amp; ROUNDUP(MONTH(Table1[[#This Row],[Date]])/3,0)</f>
        <v>Q3</v>
      </c>
      <c r="D18" t="s">
        <v>15</v>
      </c>
      <c r="E18">
        <v>6500</v>
      </c>
      <c r="F18">
        <v>1328.57142857143</v>
      </c>
      <c r="G18">
        <v>1428.57142857143</v>
      </c>
      <c r="H18">
        <v>43</v>
      </c>
      <c r="I18">
        <v>0.74</v>
      </c>
      <c r="J18">
        <v>0.78</v>
      </c>
      <c r="K18">
        <v>0.94</v>
      </c>
      <c r="L18" t="s">
        <v>19</v>
      </c>
      <c r="M18" t="s">
        <v>17</v>
      </c>
      <c r="N18">
        <v>100</v>
      </c>
      <c r="O18">
        <v>8</v>
      </c>
    </row>
    <row r="19" spans="1:15" x14ac:dyDescent="0.3">
      <c r="A19" s="1">
        <v>45078</v>
      </c>
      <c r="B19" s="1" t="str">
        <f>TEXT(Table1[[#This Row],[Date]],"mmm")</f>
        <v>Jun</v>
      </c>
      <c r="C19" s="1" t="str">
        <f>"Q"&amp; ROUNDUP(MONTH(Table1[[#This Row],[Date]])/3,0)</f>
        <v>Q2</v>
      </c>
      <c r="D19" t="s">
        <v>24</v>
      </c>
      <c r="E19">
        <v>1200</v>
      </c>
      <c r="F19">
        <v>1328.57142857143</v>
      </c>
      <c r="G19">
        <v>1428.57142857143</v>
      </c>
      <c r="H19">
        <v>43</v>
      </c>
      <c r="I19">
        <v>0.8</v>
      </c>
      <c r="J19">
        <v>0.84</v>
      </c>
      <c r="K19">
        <v>0.81</v>
      </c>
      <c r="L19" t="s">
        <v>21</v>
      </c>
      <c r="M19" t="s">
        <v>17</v>
      </c>
      <c r="N19">
        <v>100</v>
      </c>
      <c r="O19">
        <v>4</v>
      </c>
    </row>
    <row r="20" spans="1:15" x14ac:dyDescent="0.3">
      <c r="A20" s="1">
        <v>44986</v>
      </c>
      <c r="B20" s="1" t="str">
        <f>TEXT(Table1[[#This Row],[Date]],"mmm")</f>
        <v>Mar</v>
      </c>
      <c r="C20" s="1" t="str">
        <f>"Q"&amp; ROUNDUP(MONTH(Table1[[#This Row],[Date]])/3,0)</f>
        <v>Q1</v>
      </c>
      <c r="D20" t="s">
        <v>24</v>
      </c>
      <c r="E20">
        <v>3000</v>
      </c>
      <c r="F20">
        <v>1328.57142857143</v>
      </c>
      <c r="G20">
        <v>1428.5714285714287</v>
      </c>
      <c r="H20">
        <v>43</v>
      </c>
      <c r="I20">
        <v>0.89</v>
      </c>
      <c r="J20">
        <v>0.99</v>
      </c>
      <c r="K20">
        <v>0.97</v>
      </c>
      <c r="L20" t="s">
        <v>13</v>
      </c>
      <c r="M20" t="s">
        <v>14</v>
      </c>
      <c r="N20">
        <v>100</v>
      </c>
      <c r="O20">
        <v>3</v>
      </c>
    </row>
    <row r="21" spans="1:15" x14ac:dyDescent="0.3">
      <c r="A21" s="1">
        <v>45257</v>
      </c>
      <c r="B21" s="1" t="str">
        <f>TEXT(Table1[[#This Row],[Date]],"mmm")</f>
        <v>Nov</v>
      </c>
      <c r="C21" s="1" t="str">
        <f>"Q"&amp; ROUNDUP(MONTH(Table1[[#This Row],[Date]])/3,0)</f>
        <v>Q4</v>
      </c>
      <c r="D21" t="s">
        <v>24</v>
      </c>
      <c r="E21">
        <v>2000</v>
      </c>
      <c r="F21">
        <v>1328.57142857143</v>
      </c>
      <c r="G21">
        <v>1428.5714285714287</v>
      </c>
      <c r="H21">
        <v>40</v>
      </c>
      <c r="I21">
        <v>0.71</v>
      </c>
      <c r="J21">
        <v>0.87</v>
      </c>
      <c r="K21">
        <v>0.94</v>
      </c>
      <c r="L21" t="s">
        <v>16</v>
      </c>
      <c r="M21" t="s">
        <v>25</v>
      </c>
      <c r="N21">
        <v>100</v>
      </c>
      <c r="O21">
        <v>2</v>
      </c>
    </row>
    <row r="22" spans="1:15" x14ac:dyDescent="0.3">
      <c r="A22" s="1">
        <v>45213</v>
      </c>
      <c r="B22" s="1" t="str">
        <f>TEXT(Table1[[#This Row],[Date]],"mmm")</f>
        <v>Oct</v>
      </c>
      <c r="C22" s="1" t="str">
        <f>"Q"&amp; ROUNDUP(MONTH(Table1[[#This Row],[Date]])/3,0)</f>
        <v>Q4</v>
      </c>
      <c r="D22" t="s">
        <v>24</v>
      </c>
      <c r="E22">
        <v>2000</v>
      </c>
      <c r="F22">
        <v>1328.57142857143</v>
      </c>
      <c r="G22">
        <v>1428.5714285714287</v>
      </c>
      <c r="H22">
        <v>43</v>
      </c>
      <c r="I22">
        <v>0.9</v>
      </c>
      <c r="J22">
        <v>0.72</v>
      </c>
      <c r="K22">
        <v>0.94</v>
      </c>
      <c r="L22" t="s">
        <v>19</v>
      </c>
      <c r="M22" t="s">
        <v>14</v>
      </c>
      <c r="N22">
        <v>100</v>
      </c>
      <c r="O22">
        <v>7</v>
      </c>
    </row>
    <row r="23" spans="1:15" x14ac:dyDescent="0.3">
      <c r="A23" s="1">
        <v>45098</v>
      </c>
      <c r="B23" s="1" t="str">
        <f>TEXT(Table1[[#This Row],[Date]],"mmm")</f>
        <v>Jun</v>
      </c>
      <c r="C23" s="1" t="str">
        <f>"Q"&amp; ROUNDUP(MONTH(Table1[[#This Row],[Date]])/3,0)</f>
        <v>Q2</v>
      </c>
      <c r="D23" t="s">
        <v>12</v>
      </c>
      <c r="E23">
        <v>3000</v>
      </c>
      <c r="F23">
        <v>5214.2857142857101</v>
      </c>
      <c r="G23">
        <v>6714.2857142857101</v>
      </c>
      <c r="H23">
        <v>100</v>
      </c>
      <c r="I23">
        <v>0.89</v>
      </c>
      <c r="J23">
        <v>0.85</v>
      </c>
      <c r="K23">
        <v>0.87</v>
      </c>
      <c r="L23" t="s">
        <v>21</v>
      </c>
      <c r="M23" t="s">
        <v>17</v>
      </c>
      <c r="N23">
        <v>100</v>
      </c>
      <c r="O23">
        <v>9</v>
      </c>
    </row>
    <row r="24" spans="1:15" x14ac:dyDescent="0.3">
      <c r="A24" s="1">
        <v>45130</v>
      </c>
      <c r="B24" s="1" t="str">
        <f>TEXT(Table1[[#This Row],[Date]],"mmm")</f>
        <v>Jul</v>
      </c>
      <c r="C24" s="1" t="str">
        <f>"Q"&amp; ROUNDUP(MONTH(Table1[[#This Row],[Date]])/3,0)</f>
        <v>Q3</v>
      </c>
      <c r="D24" t="s">
        <v>18</v>
      </c>
      <c r="E24">
        <v>4500</v>
      </c>
      <c r="F24">
        <v>5214.2857142857101</v>
      </c>
      <c r="G24">
        <v>6714.2857142857101</v>
      </c>
      <c r="H24">
        <v>100</v>
      </c>
      <c r="I24">
        <v>0.89</v>
      </c>
      <c r="J24">
        <v>0.8</v>
      </c>
      <c r="K24">
        <v>0.88</v>
      </c>
      <c r="L24" t="s">
        <v>13</v>
      </c>
      <c r="M24" t="s">
        <v>20</v>
      </c>
      <c r="N24">
        <v>100</v>
      </c>
      <c r="O24">
        <v>5</v>
      </c>
    </row>
    <row r="25" spans="1:15" x14ac:dyDescent="0.3">
      <c r="A25" s="1">
        <v>45127</v>
      </c>
      <c r="B25" s="1" t="str">
        <f>TEXT(Table1[[#This Row],[Date]],"mmm")</f>
        <v>Jul</v>
      </c>
      <c r="C25" s="1" t="str">
        <f>"Q"&amp; ROUNDUP(MONTH(Table1[[#This Row],[Date]])/3,0)</f>
        <v>Q3</v>
      </c>
      <c r="D25" t="s">
        <v>12</v>
      </c>
      <c r="E25">
        <v>5500</v>
      </c>
      <c r="F25">
        <v>1214.2857142857099</v>
      </c>
      <c r="G25">
        <v>6714.2857142857101</v>
      </c>
      <c r="H25">
        <v>100</v>
      </c>
      <c r="I25">
        <v>0.98</v>
      </c>
      <c r="J25">
        <v>0.99</v>
      </c>
      <c r="K25">
        <v>0.81</v>
      </c>
      <c r="L25" t="s">
        <v>19</v>
      </c>
      <c r="M25" t="s">
        <v>14</v>
      </c>
      <c r="N25">
        <v>100</v>
      </c>
      <c r="O25">
        <v>6</v>
      </c>
    </row>
    <row r="26" spans="1:15" x14ac:dyDescent="0.3">
      <c r="A26" s="1">
        <v>45129</v>
      </c>
      <c r="B26" s="1" t="str">
        <f>TEXT(Table1[[#This Row],[Date]],"mmm")</f>
        <v>Jul</v>
      </c>
      <c r="C26" s="1" t="str">
        <f>"Q"&amp; ROUNDUP(MONTH(Table1[[#This Row],[Date]])/3,0)</f>
        <v>Q3</v>
      </c>
      <c r="D26" t="s">
        <v>15</v>
      </c>
      <c r="E26">
        <v>1000</v>
      </c>
      <c r="F26">
        <v>5214.2857142857101</v>
      </c>
      <c r="G26">
        <v>6714.2857142857101</v>
      </c>
      <c r="H26">
        <v>100</v>
      </c>
      <c r="I26">
        <v>0.81</v>
      </c>
      <c r="J26">
        <v>0.91</v>
      </c>
      <c r="K26">
        <v>0.95</v>
      </c>
      <c r="L26" t="s">
        <v>21</v>
      </c>
      <c r="M26" t="s">
        <v>25</v>
      </c>
      <c r="N26">
        <v>100</v>
      </c>
      <c r="O26">
        <v>8</v>
      </c>
    </row>
    <row r="27" spans="1:15" x14ac:dyDescent="0.3">
      <c r="A27" s="1">
        <v>45018</v>
      </c>
      <c r="B27" s="1" t="str">
        <f>TEXT(Table1[[#This Row],[Date]],"mmm")</f>
        <v>Apr</v>
      </c>
      <c r="C27" s="1" t="str">
        <f>"Q"&amp; ROUNDUP(MONTH(Table1[[#This Row],[Date]])/3,0)</f>
        <v>Q2</v>
      </c>
      <c r="D27" t="s">
        <v>12</v>
      </c>
      <c r="E27">
        <v>2000</v>
      </c>
      <c r="F27">
        <v>5214.2857142857101</v>
      </c>
      <c r="G27">
        <v>6714.2857142857101</v>
      </c>
      <c r="H27">
        <v>100</v>
      </c>
      <c r="I27">
        <v>0.97</v>
      </c>
      <c r="J27">
        <v>0.85</v>
      </c>
      <c r="K27">
        <v>0.85</v>
      </c>
      <c r="L27" t="s">
        <v>13</v>
      </c>
      <c r="M27" t="s">
        <v>14</v>
      </c>
      <c r="N27">
        <v>100</v>
      </c>
      <c r="O27">
        <v>4</v>
      </c>
    </row>
    <row r="28" spans="1:15" x14ac:dyDescent="0.3">
      <c r="A28" s="1">
        <v>44979</v>
      </c>
      <c r="B28" s="1" t="str">
        <f>TEXT(Table1[[#This Row],[Date]],"mmm")</f>
        <v>Feb</v>
      </c>
      <c r="C28" s="1" t="str">
        <f>"Q"&amp; ROUNDUP(MONTH(Table1[[#This Row],[Date]])/3,0)</f>
        <v>Q1</v>
      </c>
      <c r="D28" t="s">
        <v>12</v>
      </c>
      <c r="E28">
        <v>2000</v>
      </c>
      <c r="F28">
        <v>5214.2857142857101</v>
      </c>
      <c r="G28">
        <v>6714.2857142857101</v>
      </c>
      <c r="H28">
        <v>100</v>
      </c>
      <c r="I28">
        <v>0.89</v>
      </c>
      <c r="J28">
        <v>0.94</v>
      </c>
      <c r="K28">
        <v>0.8</v>
      </c>
      <c r="L28" t="s">
        <v>16</v>
      </c>
      <c r="M28" t="s">
        <v>14</v>
      </c>
      <c r="N28">
        <v>100</v>
      </c>
      <c r="O28">
        <v>3</v>
      </c>
    </row>
    <row r="29" spans="1:15" x14ac:dyDescent="0.3">
      <c r="A29" s="1">
        <v>45179</v>
      </c>
      <c r="B29" s="1" t="str">
        <f>TEXT(Table1[[#This Row],[Date]],"mmm")</f>
        <v>Sep</v>
      </c>
      <c r="C29" s="1" t="str">
        <f>"Q"&amp; ROUNDUP(MONTH(Table1[[#This Row],[Date]])/3,0)</f>
        <v>Q3</v>
      </c>
      <c r="D29" t="s">
        <v>12</v>
      </c>
      <c r="E29">
        <v>2000</v>
      </c>
      <c r="F29">
        <v>5214.2857142857101</v>
      </c>
      <c r="G29">
        <v>6714.2857142857101</v>
      </c>
      <c r="H29">
        <v>100</v>
      </c>
      <c r="I29">
        <v>0.88</v>
      </c>
      <c r="J29">
        <v>0.94</v>
      </c>
      <c r="K29">
        <v>0.7</v>
      </c>
      <c r="L29" t="s">
        <v>19</v>
      </c>
      <c r="M29" t="s">
        <v>20</v>
      </c>
      <c r="N29">
        <v>100</v>
      </c>
      <c r="O29">
        <v>2</v>
      </c>
    </row>
    <row r="30" spans="1:15" x14ac:dyDescent="0.3">
      <c r="A30" s="1">
        <v>45275</v>
      </c>
      <c r="B30" s="1" t="str">
        <f>TEXT(Table1[[#This Row],[Date]],"mmm")</f>
        <v>Dec</v>
      </c>
      <c r="C30" s="1" t="str">
        <f>"Q"&amp; ROUNDUP(MONTH(Table1[[#This Row],[Date]])/3,0)</f>
        <v>Q4</v>
      </c>
      <c r="D30" t="s">
        <v>12</v>
      </c>
      <c r="E30">
        <v>2000</v>
      </c>
      <c r="F30">
        <v>2957.1428571428601</v>
      </c>
      <c r="G30">
        <v>2857.1428571428573</v>
      </c>
      <c r="H30">
        <v>90</v>
      </c>
      <c r="I30">
        <v>0.75</v>
      </c>
      <c r="J30">
        <v>0.77</v>
      </c>
      <c r="K30">
        <v>0.84</v>
      </c>
      <c r="L30" t="s">
        <v>21</v>
      </c>
      <c r="M30" t="s">
        <v>23</v>
      </c>
      <c r="N30">
        <v>100</v>
      </c>
      <c r="O30">
        <v>7</v>
      </c>
    </row>
    <row r="31" spans="1:15" x14ac:dyDescent="0.3">
      <c r="A31" s="1">
        <v>44997</v>
      </c>
      <c r="B31" s="1" t="str">
        <f>TEXT(Table1[[#This Row],[Date]],"mmm")</f>
        <v>Mar</v>
      </c>
      <c r="C31" s="1" t="str">
        <f>"Q"&amp; ROUNDUP(MONTH(Table1[[#This Row],[Date]])/3,0)</f>
        <v>Q1</v>
      </c>
      <c r="D31" t="s">
        <v>12</v>
      </c>
      <c r="E31">
        <v>1700</v>
      </c>
      <c r="F31">
        <v>2957.1428571428601</v>
      </c>
      <c r="G31">
        <v>2857.1428571428573</v>
      </c>
      <c r="H31">
        <v>80</v>
      </c>
      <c r="I31">
        <v>0.73</v>
      </c>
      <c r="J31">
        <v>0.96</v>
      </c>
      <c r="K31">
        <v>0.93</v>
      </c>
      <c r="L31" t="s">
        <v>21</v>
      </c>
      <c r="M31" t="s">
        <v>25</v>
      </c>
      <c r="N31">
        <v>100</v>
      </c>
      <c r="O31">
        <v>4</v>
      </c>
    </row>
    <row r="32" spans="1:15" x14ac:dyDescent="0.3">
      <c r="A32" s="1">
        <v>45179</v>
      </c>
      <c r="B32" s="1" t="str">
        <f>TEXT(Table1[[#This Row],[Date]],"mmm")</f>
        <v>Sep</v>
      </c>
      <c r="C32" s="1" t="str">
        <f>"Q"&amp; ROUNDUP(MONTH(Table1[[#This Row],[Date]])/3,0)</f>
        <v>Q3</v>
      </c>
      <c r="D32" t="s">
        <v>12</v>
      </c>
      <c r="E32">
        <v>1600</v>
      </c>
      <c r="F32">
        <v>2957.1428571428601</v>
      </c>
      <c r="G32">
        <v>2857.1428571428573</v>
      </c>
      <c r="H32">
        <v>90</v>
      </c>
      <c r="I32">
        <v>0.93</v>
      </c>
      <c r="J32">
        <v>0.74</v>
      </c>
      <c r="K32">
        <v>0.93</v>
      </c>
      <c r="L32" t="s">
        <v>19</v>
      </c>
      <c r="M32" t="s">
        <v>14</v>
      </c>
      <c r="N32">
        <v>100</v>
      </c>
      <c r="O32">
        <v>5</v>
      </c>
    </row>
    <row r="33" spans="1:15" x14ac:dyDescent="0.3">
      <c r="A33" s="1">
        <v>44928</v>
      </c>
      <c r="B33" s="1" t="str">
        <f>TEXT(Table1[[#This Row],[Date]],"mmm")</f>
        <v>Jan</v>
      </c>
      <c r="C33" s="1" t="str">
        <f>"Q"&amp; ROUNDUP(MONTH(Table1[[#This Row],[Date]])/3,0)</f>
        <v>Q1</v>
      </c>
      <c r="D33" t="s">
        <v>15</v>
      </c>
      <c r="E33">
        <v>1200</v>
      </c>
      <c r="F33">
        <v>2957.1428571428601</v>
      </c>
      <c r="G33">
        <v>2857.1428571428573</v>
      </c>
      <c r="H33">
        <v>110</v>
      </c>
      <c r="I33">
        <v>0.85</v>
      </c>
      <c r="J33">
        <v>0.7</v>
      </c>
      <c r="K33">
        <v>0.99</v>
      </c>
      <c r="L33" t="s">
        <v>21</v>
      </c>
      <c r="M33" t="s">
        <v>17</v>
      </c>
      <c r="N33">
        <v>100</v>
      </c>
      <c r="O33">
        <v>6</v>
      </c>
    </row>
    <row r="34" spans="1:15" x14ac:dyDescent="0.3">
      <c r="A34" s="1">
        <v>45227</v>
      </c>
      <c r="B34" s="1" t="str">
        <f>TEXT(Table1[[#This Row],[Date]],"mmm")</f>
        <v>Oct</v>
      </c>
      <c r="C34" s="1" t="str">
        <f>"Q"&amp; ROUNDUP(MONTH(Table1[[#This Row],[Date]])/3,0)</f>
        <v>Q4</v>
      </c>
      <c r="D34" t="s">
        <v>18</v>
      </c>
      <c r="E34">
        <v>2500</v>
      </c>
      <c r="F34">
        <v>2957.1428571428601</v>
      </c>
      <c r="G34">
        <v>2857.1428571428573</v>
      </c>
      <c r="H34">
        <v>90</v>
      </c>
      <c r="I34">
        <v>0.92</v>
      </c>
      <c r="J34">
        <v>0.99</v>
      </c>
      <c r="K34">
        <v>0.88</v>
      </c>
      <c r="L34" t="s">
        <v>13</v>
      </c>
      <c r="M34" t="s">
        <v>20</v>
      </c>
      <c r="N34">
        <v>100</v>
      </c>
      <c r="O34">
        <v>8</v>
      </c>
    </row>
    <row r="35" spans="1:15" x14ac:dyDescent="0.3">
      <c r="A35" s="1">
        <v>45103</v>
      </c>
      <c r="B35" s="1" t="str">
        <f>TEXT(Table1[[#This Row],[Date]],"mmm")</f>
        <v>Jun</v>
      </c>
      <c r="C35" s="1" t="str">
        <f>"Q"&amp; ROUNDUP(MONTH(Table1[[#This Row],[Date]])/3,0)</f>
        <v>Q2</v>
      </c>
      <c r="D35" t="s">
        <v>18</v>
      </c>
      <c r="E35">
        <v>2100</v>
      </c>
      <c r="F35">
        <v>2957.1428571428601</v>
      </c>
      <c r="G35">
        <v>2857.1428571428573</v>
      </c>
      <c r="H35">
        <v>100</v>
      </c>
      <c r="I35">
        <v>0.75</v>
      </c>
      <c r="J35">
        <v>0.97</v>
      </c>
      <c r="K35">
        <v>0.83</v>
      </c>
      <c r="L35" t="s">
        <v>16</v>
      </c>
      <c r="M35" t="s">
        <v>23</v>
      </c>
      <c r="N35">
        <v>100</v>
      </c>
      <c r="O35">
        <v>4</v>
      </c>
    </row>
    <row r="36" spans="1:15" x14ac:dyDescent="0.3">
      <c r="A36" s="1">
        <v>45243</v>
      </c>
      <c r="B36" s="1" t="str">
        <f>TEXT(Table1[[#This Row],[Date]],"mmm")</f>
        <v>Nov</v>
      </c>
      <c r="C36" s="1" t="str">
        <f>"Q"&amp; ROUNDUP(MONTH(Table1[[#This Row],[Date]])/3,0)</f>
        <v>Q4</v>
      </c>
      <c r="D36" t="s">
        <v>18</v>
      </c>
      <c r="E36">
        <v>2150</v>
      </c>
      <c r="F36">
        <v>2957.1428571428601</v>
      </c>
      <c r="G36">
        <v>2857.1428571428573</v>
      </c>
      <c r="H36">
        <v>90</v>
      </c>
      <c r="I36">
        <v>0.77</v>
      </c>
      <c r="J36">
        <v>0.97</v>
      </c>
      <c r="K36">
        <v>0.78</v>
      </c>
      <c r="L36" t="s">
        <v>13</v>
      </c>
      <c r="M36" t="s">
        <v>25</v>
      </c>
      <c r="N36">
        <v>100</v>
      </c>
      <c r="O36">
        <v>3</v>
      </c>
    </row>
    <row r="37" spans="1:15" x14ac:dyDescent="0.3">
      <c r="A37" s="1">
        <v>45107</v>
      </c>
      <c r="B37" s="1" t="str">
        <f>TEXT(Table1[[#This Row],[Date]],"mmm")</f>
        <v>Jun</v>
      </c>
      <c r="C37" s="1" t="str">
        <f>"Q"&amp; ROUNDUP(MONTH(Table1[[#This Row],[Date]])/3,0)</f>
        <v>Q2</v>
      </c>
      <c r="D37" t="s">
        <v>18</v>
      </c>
      <c r="E37">
        <v>2200</v>
      </c>
      <c r="F37">
        <v>757.142857142857</v>
      </c>
      <c r="G37">
        <v>857.14285714285711</v>
      </c>
      <c r="H37">
        <v>228</v>
      </c>
      <c r="I37">
        <v>0.79</v>
      </c>
      <c r="J37">
        <v>0.75</v>
      </c>
      <c r="K37">
        <v>0.93</v>
      </c>
      <c r="L37" t="s">
        <v>16</v>
      </c>
      <c r="M37" t="s">
        <v>14</v>
      </c>
      <c r="N37">
        <v>100</v>
      </c>
      <c r="O37">
        <v>2</v>
      </c>
    </row>
    <row r="38" spans="1:15" x14ac:dyDescent="0.3">
      <c r="A38" s="1">
        <v>45030</v>
      </c>
      <c r="B38" s="1" t="str">
        <f>TEXT(Table1[[#This Row],[Date]],"mmm")</f>
        <v>Apr</v>
      </c>
      <c r="C38" s="1" t="str">
        <f>"Q"&amp; ROUNDUP(MONTH(Table1[[#This Row],[Date]])/3,0)</f>
        <v>Q2</v>
      </c>
      <c r="D38" t="s">
        <v>15</v>
      </c>
      <c r="E38">
        <v>1800</v>
      </c>
      <c r="F38">
        <v>757.142857142857</v>
      </c>
      <c r="G38">
        <v>857.14285714285711</v>
      </c>
      <c r="H38">
        <v>220</v>
      </c>
      <c r="I38">
        <v>0.81</v>
      </c>
      <c r="J38">
        <v>0.98</v>
      </c>
      <c r="K38">
        <v>0.86</v>
      </c>
      <c r="L38" t="s">
        <v>19</v>
      </c>
      <c r="M38" t="s">
        <v>17</v>
      </c>
      <c r="N38">
        <v>100</v>
      </c>
      <c r="O38">
        <v>7</v>
      </c>
    </row>
    <row r="39" spans="1:15" x14ac:dyDescent="0.3">
      <c r="A39" s="1">
        <v>45266</v>
      </c>
      <c r="B39" s="1" t="str">
        <f>TEXT(Table1[[#This Row],[Date]],"mmm")</f>
        <v>Dec</v>
      </c>
      <c r="C39" s="1" t="str">
        <f>"Q"&amp; ROUNDUP(MONTH(Table1[[#This Row],[Date]])/3,0)</f>
        <v>Q4</v>
      </c>
      <c r="D39" t="s">
        <v>24</v>
      </c>
      <c r="E39">
        <v>1800</v>
      </c>
      <c r="F39">
        <v>757.142857142857</v>
      </c>
      <c r="G39">
        <v>857.14285714285711</v>
      </c>
      <c r="H39">
        <v>228</v>
      </c>
      <c r="I39">
        <v>0.86</v>
      </c>
      <c r="J39">
        <v>0.82</v>
      </c>
      <c r="K39">
        <v>0.86</v>
      </c>
      <c r="L39" t="s">
        <v>21</v>
      </c>
      <c r="M39" t="s">
        <v>20</v>
      </c>
      <c r="N39">
        <v>100</v>
      </c>
      <c r="O39">
        <v>9</v>
      </c>
    </row>
    <row r="40" spans="1:15" x14ac:dyDescent="0.3">
      <c r="A40" s="1">
        <v>45054</v>
      </c>
      <c r="B40" s="1" t="str">
        <f>TEXT(Table1[[#This Row],[Date]],"mmm")</f>
        <v>May</v>
      </c>
      <c r="C40" s="1" t="str">
        <f>"Q"&amp; ROUNDUP(MONTH(Table1[[#This Row],[Date]])/3,0)</f>
        <v>Q2</v>
      </c>
      <c r="D40" t="s">
        <v>12</v>
      </c>
      <c r="E40">
        <v>1414</v>
      </c>
      <c r="F40">
        <v>757.142857142857</v>
      </c>
      <c r="G40">
        <v>857.14285714285711</v>
      </c>
      <c r="H40">
        <v>238</v>
      </c>
      <c r="I40">
        <v>0.72</v>
      </c>
      <c r="J40">
        <v>0.95</v>
      </c>
      <c r="K40">
        <v>0.9</v>
      </c>
      <c r="L40" t="s">
        <v>22</v>
      </c>
      <c r="M40" t="s">
        <v>23</v>
      </c>
      <c r="N40">
        <v>100</v>
      </c>
      <c r="O40">
        <v>5</v>
      </c>
    </row>
    <row r="41" spans="1:15" x14ac:dyDescent="0.3">
      <c r="A41" s="1">
        <v>45019</v>
      </c>
      <c r="B41" s="1" t="str">
        <f>TEXT(Table1[[#This Row],[Date]],"mmm")</f>
        <v>Apr</v>
      </c>
      <c r="C41" s="1" t="str">
        <f>"Q"&amp; ROUNDUP(MONTH(Table1[[#This Row],[Date]])/3,0)</f>
        <v>Q2</v>
      </c>
      <c r="D41" t="s">
        <v>18</v>
      </c>
      <c r="E41">
        <v>2100</v>
      </c>
      <c r="F41">
        <v>757.142857142857</v>
      </c>
      <c r="G41">
        <v>857.14285714285711</v>
      </c>
      <c r="H41">
        <v>228</v>
      </c>
      <c r="I41">
        <v>0.71</v>
      </c>
      <c r="J41">
        <v>0.8</v>
      </c>
      <c r="K41">
        <v>0.76</v>
      </c>
      <c r="L41" t="s">
        <v>22</v>
      </c>
      <c r="M41" t="s">
        <v>25</v>
      </c>
      <c r="N41">
        <v>100</v>
      </c>
      <c r="O41">
        <v>5</v>
      </c>
    </row>
    <row r="42" spans="1:15" x14ac:dyDescent="0.3">
      <c r="A42" s="1">
        <v>45078</v>
      </c>
      <c r="B42" s="1" t="str">
        <f>TEXT(Table1[[#This Row],[Date]],"mmm")</f>
        <v>Jun</v>
      </c>
      <c r="C42" s="1" t="str">
        <f>"Q"&amp; ROUNDUP(MONTH(Table1[[#This Row],[Date]])/3,0)</f>
        <v>Q2</v>
      </c>
      <c r="D42" t="s">
        <v>18</v>
      </c>
      <c r="E42">
        <v>2500</v>
      </c>
      <c r="F42">
        <v>757.142857142857</v>
      </c>
      <c r="G42">
        <v>857.14285714285711</v>
      </c>
      <c r="H42">
        <v>230</v>
      </c>
      <c r="I42">
        <v>0.97</v>
      </c>
      <c r="J42">
        <v>0.95</v>
      </c>
      <c r="K42">
        <v>0.85</v>
      </c>
      <c r="L42" t="s">
        <v>22</v>
      </c>
      <c r="M42" t="s">
        <v>14</v>
      </c>
      <c r="N42">
        <v>100</v>
      </c>
      <c r="O42">
        <v>8</v>
      </c>
    </row>
    <row r="43" spans="1:15" x14ac:dyDescent="0.3">
      <c r="A43" s="1">
        <v>45233</v>
      </c>
      <c r="B43" s="1" t="str">
        <f>TEXT(Table1[[#This Row],[Date]],"mmm")</f>
        <v>Nov</v>
      </c>
      <c r="C43" s="1" t="str">
        <f>"Q"&amp; ROUNDUP(MONTH(Table1[[#This Row],[Date]])/3,0)</f>
        <v>Q4</v>
      </c>
      <c r="D43" t="s">
        <v>24</v>
      </c>
      <c r="E43">
        <v>2200</v>
      </c>
      <c r="F43">
        <v>757.142857142857</v>
      </c>
      <c r="G43">
        <v>857.14285714285711</v>
      </c>
      <c r="H43">
        <v>228</v>
      </c>
      <c r="I43">
        <v>0.95</v>
      </c>
      <c r="J43">
        <v>0.85</v>
      </c>
      <c r="K43">
        <v>0.91</v>
      </c>
      <c r="L43" t="s">
        <v>19</v>
      </c>
      <c r="M43" t="s">
        <v>17</v>
      </c>
      <c r="N43">
        <v>100</v>
      </c>
      <c r="O43">
        <v>4</v>
      </c>
    </row>
    <row r="44" spans="1:15" x14ac:dyDescent="0.3">
      <c r="A44" s="1">
        <v>45060</v>
      </c>
      <c r="B44" s="1" t="str">
        <f>TEXT(Table1[[#This Row],[Date]],"mmm")</f>
        <v>May</v>
      </c>
      <c r="C44" s="1" t="str">
        <f>"Q"&amp; ROUNDUP(MONTH(Table1[[#This Row],[Date]])/3,0)</f>
        <v>Q2</v>
      </c>
      <c r="D44" t="s">
        <v>12</v>
      </c>
      <c r="E44">
        <v>2500</v>
      </c>
      <c r="F44">
        <v>914.28571428571399</v>
      </c>
      <c r="G44">
        <v>714.28571428571433</v>
      </c>
      <c r="H44">
        <v>250</v>
      </c>
      <c r="I44">
        <v>0.97</v>
      </c>
      <c r="J44">
        <v>0.7</v>
      </c>
      <c r="K44">
        <v>0.93</v>
      </c>
      <c r="L44" t="s">
        <v>19</v>
      </c>
      <c r="M44" t="s">
        <v>20</v>
      </c>
      <c r="N44">
        <v>100</v>
      </c>
      <c r="O44">
        <v>3</v>
      </c>
    </row>
    <row r="45" spans="1:15" x14ac:dyDescent="0.3">
      <c r="A45" s="1">
        <v>45225</v>
      </c>
      <c r="B45" s="1" t="str">
        <f>TEXT(Table1[[#This Row],[Date]],"mmm")</f>
        <v>Oct</v>
      </c>
      <c r="C45" s="1" t="str">
        <f>"Q"&amp; ROUNDUP(MONTH(Table1[[#This Row],[Date]])/3,0)</f>
        <v>Q4</v>
      </c>
      <c r="D45" t="s">
        <v>18</v>
      </c>
      <c r="E45">
        <v>2200</v>
      </c>
      <c r="F45">
        <v>914.28571428571399</v>
      </c>
      <c r="G45">
        <v>714.28571428571433</v>
      </c>
      <c r="H45">
        <v>240</v>
      </c>
      <c r="I45">
        <v>0.9</v>
      </c>
      <c r="J45">
        <v>0.98</v>
      </c>
      <c r="K45">
        <v>0.96</v>
      </c>
      <c r="L45" t="s">
        <v>19</v>
      </c>
      <c r="M45" t="s">
        <v>23</v>
      </c>
      <c r="N45">
        <v>100</v>
      </c>
      <c r="O45">
        <v>2</v>
      </c>
    </row>
    <row r="46" spans="1:15" x14ac:dyDescent="0.3">
      <c r="A46" s="1">
        <v>45226</v>
      </c>
      <c r="B46" s="1" t="str">
        <f>TEXT(Table1[[#This Row],[Date]],"mmm")</f>
        <v>Oct</v>
      </c>
      <c r="C46" s="1" t="str">
        <f>"Q"&amp; ROUNDUP(MONTH(Table1[[#This Row],[Date]])/3,0)</f>
        <v>Q4</v>
      </c>
      <c r="D46" t="s">
        <v>12</v>
      </c>
      <c r="E46">
        <v>2500</v>
      </c>
      <c r="F46">
        <v>914.28571428571399</v>
      </c>
      <c r="G46">
        <v>714.28571428571433</v>
      </c>
      <c r="H46">
        <v>270</v>
      </c>
      <c r="I46">
        <v>0.9</v>
      </c>
      <c r="J46">
        <v>0.95</v>
      </c>
      <c r="K46">
        <v>0.98</v>
      </c>
      <c r="L46" t="s">
        <v>19</v>
      </c>
      <c r="M46" t="s">
        <v>25</v>
      </c>
      <c r="N46">
        <v>100</v>
      </c>
      <c r="O46">
        <v>3</v>
      </c>
    </row>
    <row r="47" spans="1:15" x14ac:dyDescent="0.3">
      <c r="A47" s="1">
        <v>44954</v>
      </c>
      <c r="B47" s="1" t="str">
        <f>TEXT(Table1[[#This Row],[Date]],"mmm")</f>
        <v>Jan</v>
      </c>
      <c r="C47" s="1" t="str">
        <f>"Q"&amp; ROUNDUP(MONTH(Table1[[#This Row],[Date]])/3,0)</f>
        <v>Q1</v>
      </c>
      <c r="D47" t="s">
        <v>15</v>
      </c>
      <c r="E47">
        <v>2000</v>
      </c>
      <c r="F47">
        <v>914.28571428571399</v>
      </c>
      <c r="G47">
        <v>714.28571428571433</v>
      </c>
      <c r="H47">
        <v>259</v>
      </c>
      <c r="I47">
        <v>0.96</v>
      </c>
      <c r="J47">
        <v>0.81</v>
      </c>
      <c r="K47">
        <v>0.85</v>
      </c>
      <c r="L47" t="s">
        <v>19</v>
      </c>
      <c r="M47" t="s">
        <v>14</v>
      </c>
      <c r="N47">
        <v>100</v>
      </c>
      <c r="O47">
        <v>9</v>
      </c>
    </row>
    <row r="48" spans="1:15" x14ac:dyDescent="0.3">
      <c r="A48" s="1">
        <v>44955</v>
      </c>
      <c r="B48" s="1" t="str">
        <f>TEXT(Table1[[#This Row],[Date]],"mmm")</f>
        <v>Jan</v>
      </c>
      <c r="C48" s="1" t="str">
        <f>"Q"&amp; ROUNDUP(MONTH(Table1[[#This Row],[Date]])/3,0)</f>
        <v>Q1</v>
      </c>
      <c r="D48" t="s">
        <v>15</v>
      </c>
      <c r="E48">
        <v>2500</v>
      </c>
      <c r="F48">
        <v>914.28571428571399</v>
      </c>
      <c r="G48">
        <v>714.28571428571433</v>
      </c>
      <c r="H48">
        <v>260</v>
      </c>
      <c r="I48">
        <v>0.98</v>
      </c>
      <c r="J48">
        <v>0.84</v>
      </c>
      <c r="K48">
        <v>0.89</v>
      </c>
      <c r="L48" t="s">
        <v>19</v>
      </c>
      <c r="M48" t="s">
        <v>14</v>
      </c>
      <c r="N48">
        <v>100</v>
      </c>
      <c r="O48">
        <v>5</v>
      </c>
    </row>
    <row r="49" spans="1:15" x14ac:dyDescent="0.3">
      <c r="A49" s="1">
        <v>44956</v>
      </c>
      <c r="B49" s="1" t="str">
        <f>TEXT(Table1[[#This Row],[Date]],"mmm")</f>
        <v>Jan</v>
      </c>
      <c r="C49" s="1" t="str">
        <f>"Q"&amp; ROUNDUP(MONTH(Table1[[#This Row],[Date]])/3,0)</f>
        <v>Q1</v>
      </c>
      <c r="D49" t="s">
        <v>15</v>
      </c>
      <c r="E49">
        <v>2500</v>
      </c>
      <c r="F49">
        <v>914.28571428571399</v>
      </c>
      <c r="G49">
        <v>714.28571428571433</v>
      </c>
      <c r="H49">
        <v>260</v>
      </c>
      <c r="I49">
        <v>0.76</v>
      </c>
      <c r="J49">
        <v>0.7</v>
      </c>
      <c r="K49">
        <v>0.86</v>
      </c>
      <c r="L49" t="s">
        <v>19</v>
      </c>
      <c r="M49" t="s">
        <v>20</v>
      </c>
      <c r="N49">
        <v>100</v>
      </c>
      <c r="O49">
        <v>6</v>
      </c>
    </row>
    <row r="50" spans="1:15" x14ac:dyDescent="0.3">
      <c r="A50" s="1">
        <v>44957</v>
      </c>
      <c r="B50" s="1" t="str">
        <f>TEXT(Table1[[#This Row],[Date]],"mmm")</f>
        <v>Jan</v>
      </c>
      <c r="C50" s="1" t="str">
        <f>"Q"&amp; ROUNDUP(MONTH(Table1[[#This Row],[Date]])/3,0)</f>
        <v>Q1</v>
      </c>
      <c r="D50" t="s">
        <v>12</v>
      </c>
      <c r="E50">
        <v>2500</v>
      </c>
      <c r="F50">
        <v>914.28571428571399</v>
      </c>
      <c r="G50">
        <v>714.28571428571433</v>
      </c>
      <c r="H50">
        <v>261</v>
      </c>
      <c r="I50">
        <v>0.91</v>
      </c>
      <c r="J50">
        <v>0.77</v>
      </c>
      <c r="K50">
        <v>0.75</v>
      </c>
      <c r="L50" t="s">
        <v>13</v>
      </c>
      <c r="M50" t="s">
        <v>23</v>
      </c>
      <c r="N50">
        <v>100</v>
      </c>
      <c r="O50">
        <v>8</v>
      </c>
    </row>
    <row r="51" spans="1:15" x14ac:dyDescent="0.3">
      <c r="A51" s="1">
        <v>45231</v>
      </c>
      <c r="B51" s="1" t="str">
        <f>TEXT(Table1[[#This Row],[Date]],"mmm")</f>
        <v>Nov</v>
      </c>
      <c r="C51" s="1" t="str">
        <f>"Q"&amp; ROUNDUP(MONTH(Table1[[#This Row],[Date]])/3,0)</f>
        <v>Q4</v>
      </c>
      <c r="D51" t="s">
        <v>12</v>
      </c>
      <c r="E51">
        <v>2500</v>
      </c>
      <c r="F51">
        <v>914.28571428571399</v>
      </c>
      <c r="G51">
        <v>714.28571428571433</v>
      </c>
      <c r="H51">
        <v>242</v>
      </c>
      <c r="I51">
        <v>0.79</v>
      </c>
      <c r="J51">
        <v>0.81</v>
      </c>
      <c r="K51">
        <v>0.74</v>
      </c>
      <c r="L51" t="s">
        <v>16</v>
      </c>
      <c r="M51" t="s">
        <v>25</v>
      </c>
      <c r="N51">
        <v>100</v>
      </c>
      <c r="O51">
        <v>4</v>
      </c>
    </row>
    <row r="52" spans="1:15" x14ac:dyDescent="0.3">
      <c r="A52" s="1">
        <v>45232</v>
      </c>
      <c r="B52" s="1" t="str">
        <f>TEXT(Table1[[#This Row],[Date]],"mmm")</f>
        <v>Nov</v>
      </c>
      <c r="C52" s="1" t="str">
        <f>"Q"&amp; ROUNDUP(MONTH(Table1[[#This Row],[Date]])/3,0)</f>
        <v>Q4</v>
      </c>
      <c r="D52" t="s">
        <v>12</v>
      </c>
      <c r="E52">
        <v>2250</v>
      </c>
      <c r="F52">
        <v>914.28571428571399</v>
      </c>
      <c r="G52">
        <v>714.28571428571433</v>
      </c>
      <c r="H52">
        <v>250</v>
      </c>
      <c r="I52">
        <v>0.85</v>
      </c>
      <c r="J52">
        <v>0.82</v>
      </c>
      <c r="K52">
        <v>0.73</v>
      </c>
      <c r="L52" t="s">
        <v>19</v>
      </c>
      <c r="M52" t="s">
        <v>14</v>
      </c>
      <c r="N52">
        <v>100</v>
      </c>
      <c r="O52">
        <v>3</v>
      </c>
    </row>
    <row r="53" spans="1:15" x14ac:dyDescent="0.3">
      <c r="A53" s="1">
        <v>45233</v>
      </c>
      <c r="B53" s="1" t="str">
        <f>TEXT(Table1[[#This Row],[Date]],"mmm")</f>
        <v>Nov</v>
      </c>
      <c r="C53" s="1" t="str">
        <f>"Q"&amp; ROUNDUP(MONTH(Table1[[#This Row],[Date]])/3,0)</f>
        <v>Q4</v>
      </c>
      <c r="D53" t="s">
        <v>12</v>
      </c>
      <c r="E53">
        <v>2500</v>
      </c>
      <c r="F53">
        <v>914.28571428571399</v>
      </c>
      <c r="G53">
        <v>714.28571428571433</v>
      </c>
      <c r="H53">
        <v>242</v>
      </c>
      <c r="I53">
        <v>0.88</v>
      </c>
      <c r="J53">
        <v>0.84</v>
      </c>
      <c r="K53">
        <v>0.75</v>
      </c>
      <c r="L53" t="s">
        <v>21</v>
      </c>
      <c r="M53" t="s">
        <v>17</v>
      </c>
      <c r="N53">
        <v>100</v>
      </c>
      <c r="O53">
        <v>2</v>
      </c>
    </row>
    <row r="54" spans="1:15" x14ac:dyDescent="0.3">
      <c r="A54" s="1">
        <v>45060</v>
      </c>
      <c r="B54" s="1" t="str">
        <f>TEXT(Table1[[#This Row],[Date]],"mmm")</f>
        <v>May</v>
      </c>
      <c r="C54" s="1" t="str">
        <f>"Q"&amp; ROUNDUP(MONTH(Table1[[#This Row],[Date]])/3,0)</f>
        <v>Q2</v>
      </c>
      <c r="D54" t="s">
        <v>12</v>
      </c>
      <c r="E54">
        <v>2500</v>
      </c>
      <c r="F54">
        <v>914.28571428571399</v>
      </c>
      <c r="G54">
        <v>714.28571428571433</v>
      </c>
      <c r="H54">
        <v>242</v>
      </c>
      <c r="I54">
        <v>0.81</v>
      </c>
      <c r="J54">
        <v>0.92</v>
      </c>
      <c r="K54">
        <v>0.91</v>
      </c>
      <c r="L54" t="s">
        <v>13</v>
      </c>
      <c r="M54" t="s">
        <v>20</v>
      </c>
      <c r="N54">
        <v>100</v>
      </c>
      <c r="O54">
        <v>7</v>
      </c>
    </row>
    <row r="55" spans="1:15" x14ac:dyDescent="0.3">
      <c r="A55" s="1">
        <v>45225</v>
      </c>
      <c r="B55" s="1" t="str">
        <f>TEXT(Table1[[#This Row],[Date]],"mmm")</f>
        <v>Oct</v>
      </c>
      <c r="C55" s="1" t="str">
        <f>"Q"&amp; ROUNDUP(MONTH(Table1[[#This Row],[Date]])/3,0)</f>
        <v>Q4</v>
      </c>
      <c r="D55" t="s">
        <v>18</v>
      </c>
      <c r="E55">
        <v>2500</v>
      </c>
      <c r="F55">
        <v>914.28571428571399</v>
      </c>
      <c r="G55">
        <v>714.28571428571433</v>
      </c>
      <c r="H55">
        <v>242</v>
      </c>
      <c r="I55">
        <v>0.84</v>
      </c>
      <c r="J55">
        <v>0.73</v>
      </c>
      <c r="K55">
        <v>0.99</v>
      </c>
      <c r="L55" t="s">
        <v>16</v>
      </c>
      <c r="M55" t="s">
        <v>23</v>
      </c>
      <c r="N55">
        <v>100</v>
      </c>
      <c r="O55">
        <v>9</v>
      </c>
    </row>
    <row r="56" spans="1:15" x14ac:dyDescent="0.3">
      <c r="A56" s="1">
        <v>44995</v>
      </c>
      <c r="B56" s="1" t="str">
        <f>TEXT(Table1[[#This Row],[Date]],"mmm")</f>
        <v>Mar</v>
      </c>
      <c r="C56" s="1" t="str">
        <f>"Q"&amp; ROUNDUP(MONTH(Table1[[#This Row],[Date]])/3,0)</f>
        <v>Q1</v>
      </c>
      <c r="D56" t="s">
        <v>18</v>
      </c>
      <c r="E56">
        <v>2500</v>
      </c>
      <c r="F56">
        <v>914.28571428571399</v>
      </c>
      <c r="G56">
        <v>714.28571428571433</v>
      </c>
      <c r="H56">
        <v>240</v>
      </c>
      <c r="I56">
        <v>0.93</v>
      </c>
      <c r="J56">
        <v>0.79</v>
      </c>
      <c r="K56">
        <v>0.72</v>
      </c>
      <c r="L56" t="s">
        <v>19</v>
      </c>
      <c r="M56" t="s">
        <v>25</v>
      </c>
      <c r="N56">
        <v>100</v>
      </c>
      <c r="O56">
        <v>5</v>
      </c>
    </row>
    <row r="57" spans="1:15" x14ac:dyDescent="0.3">
      <c r="A57" s="1">
        <v>45044</v>
      </c>
      <c r="B57" s="1" t="str">
        <f>TEXT(Table1[[#This Row],[Date]],"mmm")</f>
        <v>Apr</v>
      </c>
      <c r="C57" s="1" t="str">
        <f>"Q"&amp; ROUNDUP(MONTH(Table1[[#This Row],[Date]])/3,0)</f>
        <v>Q2</v>
      </c>
      <c r="D57" t="s">
        <v>18</v>
      </c>
      <c r="E57">
        <v>2500</v>
      </c>
      <c r="F57">
        <v>914.28571428571399</v>
      </c>
      <c r="G57">
        <v>714.28571428571433</v>
      </c>
      <c r="H57">
        <v>242</v>
      </c>
      <c r="I57">
        <v>0.84</v>
      </c>
      <c r="J57">
        <v>0.79</v>
      </c>
      <c r="K57">
        <v>0.8</v>
      </c>
      <c r="L57" t="s">
        <v>21</v>
      </c>
      <c r="M57" t="s">
        <v>14</v>
      </c>
      <c r="N57">
        <v>100</v>
      </c>
      <c r="O57">
        <v>6</v>
      </c>
    </row>
    <row r="58" spans="1:15" x14ac:dyDescent="0.3">
      <c r="A58" s="1">
        <v>44945</v>
      </c>
      <c r="B58" s="1" t="str">
        <f>TEXT(Table1[[#This Row],[Date]],"mmm")</f>
        <v>Jan</v>
      </c>
      <c r="C58" s="1" t="str">
        <f>"Q"&amp; ROUNDUP(MONTH(Table1[[#This Row],[Date]])/3,0)</f>
        <v>Q1</v>
      </c>
      <c r="D58" t="s">
        <v>18</v>
      </c>
      <c r="E58">
        <v>2200</v>
      </c>
      <c r="F58">
        <v>385.71428571428601</v>
      </c>
      <c r="G58">
        <v>285.71428571428572</v>
      </c>
      <c r="H58">
        <v>285</v>
      </c>
      <c r="I58">
        <v>0.85</v>
      </c>
      <c r="J58">
        <v>0.91</v>
      </c>
      <c r="K58">
        <v>0.84</v>
      </c>
      <c r="L58" t="s">
        <v>13</v>
      </c>
      <c r="M58" t="s">
        <v>17</v>
      </c>
      <c r="N58">
        <v>100</v>
      </c>
      <c r="O58">
        <v>8</v>
      </c>
    </row>
    <row r="59" spans="1:15" x14ac:dyDescent="0.3">
      <c r="A59" s="1">
        <v>45160</v>
      </c>
      <c r="B59" s="1" t="str">
        <f>TEXT(Table1[[#This Row],[Date]],"mmm")</f>
        <v>Aug</v>
      </c>
      <c r="C59" s="1" t="str">
        <f>"Q"&amp; ROUNDUP(MONTH(Table1[[#This Row],[Date]])/3,0)</f>
        <v>Q3</v>
      </c>
      <c r="D59" t="s">
        <v>15</v>
      </c>
      <c r="E59">
        <v>2150</v>
      </c>
      <c r="F59">
        <v>385.71428571428601</v>
      </c>
      <c r="G59">
        <v>285.71428571428572</v>
      </c>
      <c r="H59">
        <v>275</v>
      </c>
      <c r="I59">
        <v>0.86</v>
      </c>
      <c r="J59">
        <v>0.75</v>
      </c>
      <c r="K59">
        <v>0.96</v>
      </c>
      <c r="L59" t="s">
        <v>19</v>
      </c>
      <c r="M59" t="s">
        <v>20</v>
      </c>
      <c r="N59">
        <v>100</v>
      </c>
      <c r="O59">
        <v>4</v>
      </c>
    </row>
    <row r="60" spans="1:15" x14ac:dyDescent="0.3">
      <c r="A60" s="1">
        <v>45147</v>
      </c>
      <c r="B60" s="1" t="str">
        <f>TEXT(Table1[[#This Row],[Date]],"mmm")</f>
        <v>Aug</v>
      </c>
      <c r="C60" s="1" t="str">
        <f>"Q"&amp; ROUNDUP(MONTH(Table1[[#This Row],[Date]])/3,0)</f>
        <v>Q3</v>
      </c>
      <c r="D60" t="s">
        <v>24</v>
      </c>
      <c r="E60">
        <v>2400</v>
      </c>
      <c r="F60">
        <v>385.71428571428601</v>
      </c>
      <c r="G60">
        <v>285.71428571428572</v>
      </c>
      <c r="H60">
        <v>285</v>
      </c>
      <c r="I60">
        <v>0.96</v>
      </c>
      <c r="J60">
        <v>0.77</v>
      </c>
      <c r="K60">
        <v>0.92</v>
      </c>
      <c r="L60" t="s">
        <v>21</v>
      </c>
      <c r="M60" t="s">
        <v>23</v>
      </c>
      <c r="N60">
        <v>100</v>
      </c>
      <c r="O60">
        <v>3</v>
      </c>
    </row>
    <row r="61" spans="1:15" x14ac:dyDescent="0.3">
      <c r="A61" s="1">
        <v>45078</v>
      </c>
      <c r="B61" s="1" t="str">
        <f>TEXT(Table1[[#This Row],[Date]],"mmm")</f>
        <v>Jun</v>
      </c>
      <c r="C61" s="1" t="str">
        <f>"Q"&amp; ROUNDUP(MONTH(Table1[[#This Row],[Date]])/3,0)</f>
        <v>Q2</v>
      </c>
      <c r="D61" t="s">
        <v>18</v>
      </c>
      <c r="E61">
        <v>2450</v>
      </c>
      <c r="F61">
        <v>385.71428571428601</v>
      </c>
      <c r="G61">
        <v>285.71428571428572</v>
      </c>
      <c r="H61">
        <v>290</v>
      </c>
      <c r="I61">
        <v>0.99</v>
      </c>
      <c r="J61">
        <v>0.97</v>
      </c>
      <c r="K61">
        <v>0.73</v>
      </c>
      <c r="L61" t="s">
        <v>13</v>
      </c>
      <c r="M61" t="s">
        <v>25</v>
      </c>
      <c r="N61">
        <v>100</v>
      </c>
      <c r="O61">
        <v>2</v>
      </c>
    </row>
    <row r="62" spans="1:15" x14ac:dyDescent="0.3">
      <c r="A62" s="1">
        <v>44986</v>
      </c>
      <c r="B62" s="1" t="str">
        <f>TEXT(Table1[[#This Row],[Date]],"mmm")</f>
        <v>Mar</v>
      </c>
      <c r="C62" s="1" t="str">
        <f>"Q"&amp; ROUNDUP(MONTH(Table1[[#This Row],[Date]])/3,0)</f>
        <v>Q1</v>
      </c>
      <c r="D62" t="s">
        <v>15</v>
      </c>
      <c r="E62">
        <v>2500</v>
      </c>
      <c r="F62">
        <v>385.71428571428601</v>
      </c>
      <c r="G62">
        <v>285.71428571428572</v>
      </c>
      <c r="H62">
        <v>310</v>
      </c>
      <c r="I62">
        <v>0.77</v>
      </c>
      <c r="J62">
        <v>0.72</v>
      </c>
      <c r="K62">
        <v>0.85</v>
      </c>
      <c r="L62" t="s">
        <v>16</v>
      </c>
      <c r="M62" t="s">
        <v>14</v>
      </c>
      <c r="N62">
        <v>100</v>
      </c>
      <c r="O62">
        <v>7</v>
      </c>
    </row>
    <row r="63" spans="1:15" x14ac:dyDescent="0.3">
      <c r="A63" s="1">
        <v>45257</v>
      </c>
      <c r="B63" s="1" t="str">
        <f>TEXT(Table1[[#This Row],[Date]],"mmm")</f>
        <v>Nov</v>
      </c>
      <c r="C63" s="1" t="str">
        <f>"Q"&amp; ROUNDUP(MONTH(Table1[[#This Row],[Date]])/3,0)</f>
        <v>Q4</v>
      </c>
      <c r="D63" t="s">
        <v>24</v>
      </c>
      <c r="E63">
        <v>2450</v>
      </c>
      <c r="F63">
        <v>385.71428571428601</v>
      </c>
      <c r="G63">
        <v>285.71428571428572</v>
      </c>
      <c r="H63">
        <v>270</v>
      </c>
      <c r="I63">
        <v>0.77</v>
      </c>
      <c r="J63">
        <v>0.96</v>
      </c>
      <c r="K63">
        <v>0.78</v>
      </c>
      <c r="L63" t="s">
        <v>19</v>
      </c>
      <c r="M63" t="s">
        <v>17</v>
      </c>
      <c r="N63">
        <v>100</v>
      </c>
      <c r="O63">
        <v>9</v>
      </c>
    </row>
    <row r="64" spans="1:15" x14ac:dyDescent="0.3">
      <c r="A64" s="1">
        <v>45213</v>
      </c>
      <c r="B64" s="1" t="str">
        <f>TEXT(Table1[[#This Row],[Date]],"mmm")</f>
        <v>Oct</v>
      </c>
      <c r="C64" s="1" t="str">
        <f>"Q"&amp; ROUNDUP(MONTH(Table1[[#This Row],[Date]])/3,0)</f>
        <v>Q4</v>
      </c>
      <c r="D64" t="s">
        <v>18</v>
      </c>
      <c r="E64">
        <v>2400</v>
      </c>
      <c r="F64">
        <v>385.71428571428601</v>
      </c>
      <c r="G64">
        <v>285.71428571428572</v>
      </c>
      <c r="H64">
        <v>285</v>
      </c>
      <c r="I64">
        <v>0.78</v>
      </c>
      <c r="J64">
        <v>0.8</v>
      </c>
      <c r="K64">
        <v>0.85</v>
      </c>
      <c r="L64" t="s">
        <v>21</v>
      </c>
      <c r="M64" t="s">
        <v>20</v>
      </c>
      <c r="N64">
        <v>100</v>
      </c>
      <c r="O64">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54D5-F84A-4C12-B786-0FC53D594C0C}">
  <dimension ref="A3:M74"/>
  <sheetViews>
    <sheetView workbookViewId="0">
      <selection activeCell="I6" sqref="I6"/>
    </sheetView>
  </sheetViews>
  <sheetFormatPr defaultRowHeight="14.4" x14ac:dyDescent="0.3"/>
  <cols>
    <col min="1" max="2" width="29" bestFit="1" customWidth="1"/>
    <col min="3" max="3" width="32.6640625" bestFit="1" customWidth="1"/>
    <col min="4" max="4" width="22" bestFit="1" customWidth="1"/>
    <col min="6" max="6" width="16.5546875" bestFit="1" customWidth="1"/>
    <col min="7" max="7" width="12" bestFit="1" customWidth="1"/>
    <col min="9" max="9" width="12.44140625" bestFit="1" customWidth="1"/>
    <col min="10" max="10" width="11.5546875" bestFit="1" customWidth="1"/>
    <col min="11" max="11" width="16.6640625" bestFit="1" customWidth="1"/>
  </cols>
  <sheetData>
    <row r="3" spans="1:11" x14ac:dyDescent="0.3">
      <c r="A3" t="s">
        <v>29</v>
      </c>
      <c r="B3" t="s">
        <v>30</v>
      </c>
      <c r="C3" t="s">
        <v>31</v>
      </c>
      <c r="D3" t="s">
        <v>33</v>
      </c>
      <c r="F3" t="s">
        <v>34</v>
      </c>
    </row>
    <row r="4" spans="1:11" x14ac:dyDescent="0.3">
      <c r="A4" s="3">
        <v>157361</v>
      </c>
      <c r="B4" s="3">
        <v>166999.00000000015</v>
      </c>
      <c r="C4" s="3">
        <v>113300.8571428571</v>
      </c>
      <c r="D4" s="2">
        <v>63</v>
      </c>
      <c r="F4" t="s">
        <v>35</v>
      </c>
      <c r="G4" s="3">
        <f>GETPIVOTDATA("Sum of Sales",$A$3)</f>
        <v>157361</v>
      </c>
    </row>
    <row r="5" spans="1:11" x14ac:dyDescent="0.3">
      <c r="F5" t="s">
        <v>67</v>
      </c>
      <c r="G5" s="3">
        <f>GETPIVOTDATA("Sum of Profit",$A$3)</f>
        <v>113300.8571428571</v>
      </c>
      <c r="I5" t="s">
        <v>42</v>
      </c>
      <c r="J5" t="s">
        <v>41</v>
      </c>
      <c r="K5" t="s">
        <v>40</v>
      </c>
    </row>
    <row r="6" spans="1:11" x14ac:dyDescent="0.3">
      <c r="F6" t="s">
        <v>36</v>
      </c>
      <c r="G6">
        <f>GETPIVOTDATA("Count of No of Customers",$A$3)</f>
        <v>63</v>
      </c>
      <c r="I6" s="2">
        <v>0.85555555555555574</v>
      </c>
      <c r="J6" s="2">
        <v>0.85492063492063519</v>
      </c>
      <c r="K6" s="2">
        <v>0.8447619047619046</v>
      </c>
    </row>
    <row r="7" spans="1:11" x14ac:dyDescent="0.3">
      <c r="F7" t="s">
        <v>37</v>
      </c>
      <c r="G7" s="3">
        <f>GETPIVOTDATA("Sum of Target Sales",$A$3)</f>
        <v>166999.00000000015</v>
      </c>
    </row>
    <row r="11" spans="1:11" x14ac:dyDescent="0.3">
      <c r="A11" t="s">
        <v>42</v>
      </c>
      <c r="B11" t="s">
        <v>41</v>
      </c>
      <c r="C11" t="s">
        <v>40</v>
      </c>
      <c r="F11" t="s">
        <v>43</v>
      </c>
      <c r="I11" t="s">
        <v>48</v>
      </c>
    </row>
    <row r="12" spans="1:11" x14ac:dyDescent="0.3">
      <c r="A12" s="2">
        <v>0.85555555555555574</v>
      </c>
      <c r="B12" s="2">
        <v>0.85492063492063519</v>
      </c>
      <c r="C12" s="2">
        <v>0.8447619047619046</v>
      </c>
      <c r="F12" t="s">
        <v>44</v>
      </c>
      <c r="G12" s="6">
        <f>GETPIVOTDATA("Average of Sales Completion Rate",$A$11)</f>
        <v>0.85555555555555574</v>
      </c>
    </row>
    <row r="13" spans="1:11" x14ac:dyDescent="0.3">
      <c r="G13" s="6">
        <f>1-G12</f>
        <v>0.14444444444444426</v>
      </c>
      <c r="I13" s="4" t="s">
        <v>38</v>
      </c>
      <c r="J13" s="7" t="s">
        <v>68</v>
      </c>
      <c r="K13" t="s">
        <v>69</v>
      </c>
    </row>
    <row r="14" spans="1:11" x14ac:dyDescent="0.3">
      <c r="I14" s="5" t="s">
        <v>49</v>
      </c>
      <c r="J14" s="12">
        <v>12900</v>
      </c>
      <c r="K14" s="12">
        <v>6000.0000000000009</v>
      </c>
    </row>
    <row r="15" spans="1:11" x14ac:dyDescent="0.3">
      <c r="F15" t="s">
        <v>45</v>
      </c>
      <c r="G15" s="6">
        <f>GETPIVOTDATA("Average of Profit Completion Rate",$A$11)</f>
        <v>0.85492063492063519</v>
      </c>
      <c r="I15" s="5" t="s">
        <v>50</v>
      </c>
      <c r="J15" s="12">
        <v>11256</v>
      </c>
      <c r="K15" s="12">
        <v>24285.28571428571</v>
      </c>
    </row>
    <row r="16" spans="1:11" x14ac:dyDescent="0.3">
      <c r="G16" s="6">
        <f>1-G15</f>
        <v>0.14507936507936481</v>
      </c>
      <c r="I16" s="5" t="s">
        <v>51</v>
      </c>
      <c r="J16" s="12">
        <v>11700</v>
      </c>
      <c r="K16" s="12">
        <v>9714.2857142857156</v>
      </c>
    </row>
    <row r="17" spans="6:11" x14ac:dyDescent="0.3">
      <c r="I17" s="5" t="s">
        <v>52</v>
      </c>
      <c r="J17" s="12">
        <v>10400</v>
      </c>
      <c r="K17" s="12">
        <v>13571.428571428569</v>
      </c>
    </row>
    <row r="18" spans="6:11" x14ac:dyDescent="0.3">
      <c r="F18" t="s">
        <v>46</v>
      </c>
      <c r="G18" s="6">
        <f>GETPIVOTDATA("Average of Customer Completion Rate",$A$11)</f>
        <v>0.8447619047619046</v>
      </c>
      <c r="I18" s="5" t="s">
        <v>53</v>
      </c>
      <c r="J18" s="12">
        <v>12995</v>
      </c>
      <c r="K18" s="12">
        <v>12571.285714285716</v>
      </c>
    </row>
    <row r="19" spans="6:11" x14ac:dyDescent="0.3">
      <c r="G19" s="6">
        <f>1-G18</f>
        <v>0.1552380952380954</v>
      </c>
      <c r="I19" s="5" t="s">
        <v>54</v>
      </c>
      <c r="J19" s="12">
        <v>13450</v>
      </c>
      <c r="K19" s="12">
        <v>12999.999999999998</v>
      </c>
    </row>
    <row r="20" spans="6:11" x14ac:dyDescent="0.3">
      <c r="I20" s="5" t="s">
        <v>55</v>
      </c>
      <c r="J20" s="12">
        <v>11000</v>
      </c>
      <c r="K20" s="12">
        <v>20142.85714285713</v>
      </c>
    </row>
    <row r="21" spans="6:11" x14ac:dyDescent="0.3">
      <c r="F21" t="s">
        <v>47</v>
      </c>
      <c r="G21" s="6">
        <f>G4/G7</f>
        <v>0.94228707956334989</v>
      </c>
      <c r="I21" s="5" t="s">
        <v>56</v>
      </c>
      <c r="J21" s="12">
        <v>17050</v>
      </c>
      <c r="K21" s="12">
        <v>3428.5714285714316</v>
      </c>
    </row>
    <row r="22" spans="6:11" x14ac:dyDescent="0.3">
      <c r="G22" s="6">
        <f>1-G21</f>
        <v>5.7712920436650106E-2</v>
      </c>
      <c r="I22" s="5" t="s">
        <v>57</v>
      </c>
      <c r="J22" s="12">
        <v>3600</v>
      </c>
      <c r="K22" s="12">
        <v>9571.428571428567</v>
      </c>
    </row>
    <row r="23" spans="6:11" x14ac:dyDescent="0.3">
      <c r="I23" s="5" t="s">
        <v>58</v>
      </c>
      <c r="J23" s="12">
        <v>26729</v>
      </c>
      <c r="K23" s="12">
        <v>30142.428571428576</v>
      </c>
    </row>
    <row r="24" spans="6:11" x14ac:dyDescent="0.3">
      <c r="I24" s="5" t="s">
        <v>59</v>
      </c>
      <c r="J24" s="12">
        <v>22481</v>
      </c>
      <c r="K24" s="12">
        <v>20857.142857142862</v>
      </c>
    </row>
    <row r="25" spans="6:11" x14ac:dyDescent="0.3">
      <c r="I25" s="5" t="s">
        <v>60</v>
      </c>
      <c r="J25" s="12">
        <v>3800</v>
      </c>
      <c r="K25" s="12">
        <v>3714.2857142857147</v>
      </c>
    </row>
    <row r="26" spans="6:11" x14ac:dyDescent="0.3">
      <c r="I26" s="5" t="s">
        <v>39</v>
      </c>
      <c r="J26" s="12">
        <v>157361</v>
      </c>
      <c r="K26" s="12">
        <v>166999</v>
      </c>
    </row>
    <row r="30" spans="6:11" x14ac:dyDescent="0.3">
      <c r="I30" t="s">
        <v>61</v>
      </c>
    </row>
    <row r="31" spans="6:11" x14ac:dyDescent="0.3">
      <c r="I31" s="4" t="s">
        <v>38</v>
      </c>
      <c r="J31" t="s">
        <v>32</v>
      </c>
      <c r="K31" t="s">
        <v>66</v>
      </c>
    </row>
    <row r="32" spans="6:11" x14ac:dyDescent="0.3">
      <c r="I32" s="5" t="s">
        <v>49</v>
      </c>
      <c r="J32" s="2">
        <v>1435</v>
      </c>
      <c r="K32" s="2">
        <v>100</v>
      </c>
    </row>
    <row r="33" spans="9:11" x14ac:dyDescent="0.3">
      <c r="I33" s="5" t="s">
        <v>50</v>
      </c>
      <c r="J33" s="2">
        <v>185</v>
      </c>
      <c r="K33" s="2">
        <v>100</v>
      </c>
    </row>
    <row r="34" spans="9:11" x14ac:dyDescent="0.3">
      <c r="I34" s="5" t="s">
        <v>51</v>
      </c>
      <c r="J34" s="2">
        <v>688</v>
      </c>
      <c r="K34" s="2">
        <v>100</v>
      </c>
    </row>
    <row r="35" spans="9:11" x14ac:dyDescent="0.3">
      <c r="I35" s="5" t="s">
        <v>52</v>
      </c>
      <c r="J35" s="2">
        <v>810</v>
      </c>
      <c r="K35" s="2">
        <v>100</v>
      </c>
    </row>
    <row r="36" spans="9:11" x14ac:dyDescent="0.3">
      <c r="I36" s="5" t="s">
        <v>53</v>
      </c>
      <c r="J36" s="2">
        <v>850</v>
      </c>
      <c r="K36" s="2">
        <v>100</v>
      </c>
    </row>
    <row r="37" spans="9:11" x14ac:dyDescent="0.3">
      <c r="I37" s="5" t="s">
        <v>54</v>
      </c>
      <c r="J37" s="2">
        <v>991</v>
      </c>
      <c r="K37" s="2">
        <v>100</v>
      </c>
    </row>
    <row r="38" spans="9:11" x14ac:dyDescent="0.3">
      <c r="I38" s="5" t="s">
        <v>55</v>
      </c>
      <c r="J38" s="2">
        <v>300</v>
      </c>
      <c r="K38" s="2">
        <v>100</v>
      </c>
    </row>
    <row r="39" spans="9:11" x14ac:dyDescent="0.3">
      <c r="I39" s="5" t="s">
        <v>56</v>
      </c>
      <c r="J39" s="2">
        <v>646</v>
      </c>
      <c r="K39" s="2">
        <v>100</v>
      </c>
    </row>
    <row r="40" spans="9:11" x14ac:dyDescent="0.3">
      <c r="I40" s="5" t="s">
        <v>57</v>
      </c>
      <c r="J40" s="2">
        <v>190</v>
      </c>
      <c r="K40" s="2">
        <v>100</v>
      </c>
    </row>
    <row r="41" spans="9:11" x14ac:dyDescent="0.3">
      <c r="I41" s="5" t="s">
        <v>58</v>
      </c>
      <c r="J41" s="2">
        <v>1450</v>
      </c>
      <c r="K41" s="2">
        <v>100</v>
      </c>
    </row>
    <row r="42" spans="9:11" x14ac:dyDescent="0.3">
      <c r="I42" s="5" t="s">
        <v>59</v>
      </c>
      <c r="J42" s="2">
        <v>1497</v>
      </c>
      <c r="K42" s="2">
        <v>100</v>
      </c>
    </row>
    <row r="43" spans="9:11" x14ac:dyDescent="0.3">
      <c r="I43" s="5" t="s">
        <v>60</v>
      </c>
      <c r="J43" s="2">
        <v>318</v>
      </c>
      <c r="K43" s="2">
        <v>100</v>
      </c>
    </row>
    <row r="44" spans="9:11" x14ac:dyDescent="0.3">
      <c r="I44" s="5" t="s">
        <v>39</v>
      </c>
      <c r="J44" s="2">
        <v>9360</v>
      </c>
      <c r="K44" s="2">
        <v>100</v>
      </c>
    </row>
    <row r="49" spans="9:13" x14ac:dyDescent="0.3">
      <c r="I49" t="s">
        <v>62</v>
      </c>
    </row>
    <row r="50" spans="9:13" x14ac:dyDescent="0.3">
      <c r="I50" s="4" t="s">
        <v>38</v>
      </c>
      <c r="J50" t="s">
        <v>29</v>
      </c>
    </row>
    <row r="51" spans="9:13" x14ac:dyDescent="0.3">
      <c r="I51" s="5" t="s">
        <v>12</v>
      </c>
      <c r="J51" s="10">
        <v>0.31802670293147606</v>
      </c>
      <c r="L51" t="str">
        <f>INDEX(I51:I54,MATCH(MAX(J51:J54),J51:J54,0))</f>
        <v>East</v>
      </c>
      <c r="M51" s="10">
        <f>MAX(J51:J54)</f>
        <v>0.31802670293147606</v>
      </c>
    </row>
    <row r="52" spans="9:13" x14ac:dyDescent="0.3">
      <c r="I52" s="5" t="s">
        <v>24</v>
      </c>
      <c r="J52" s="10">
        <v>0.14565870832035893</v>
      </c>
    </row>
    <row r="53" spans="9:13" x14ac:dyDescent="0.3">
      <c r="I53" s="5" t="s">
        <v>18</v>
      </c>
      <c r="J53" s="10">
        <v>0.29303321661656956</v>
      </c>
    </row>
    <row r="54" spans="9:13" x14ac:dyDescent="0.3">
      <c r="I54" s="5" t="s">
        <v>15</v>
      </c>
      <c r="J54" s="10">
        <v>0.24328137213159551</v>
      </c>
    </row>
    <row r="55" spans="9:13" x14ac:dyDescent="0.3">
      <c r="I55" s="5" t="s">
        <v>39</v>
      </c>
      <c r="J55" s="9">
        <v>1</v>
      </c>
    </row>
    <row r="57" spans="9:13" x14ac:dyDescent="0.3">
      <c r="I57" s="5" t="s">
        <v>64</v>
      </c>
    </row>
    <row r="58" spans="9:13" x14ac:dyDescent="0.3">
      <c r="I58" s="4" t="s">
        <v>38</v>
      </c>
      <c r="J58" t="s">
        <v>63</v>
      </c>
    </row>
    <row r="59" spans="9:13" x14ac:dyDescent="0.3">
      <c r="I59" s="5" t="s">
        <v>25</v>
      </c>
      <c r="J59" s="2">
        <v>41</v>
      </c>
    </row>
    <row r="60" spans="9:13" x14ac:dyDescent="0.3">
      <c r="I60" s="5" t="s">
        <v>20</v>
      </c>
      <c r="J60" s="2">
        <v>59</v>
      </c>
    </row>
    <row r="61" spans="9:13" x14ac:dyDescent="0.3">
      <c r="I61" s="5" t="s">
        <v>23</v>
      </c>
      <c r="J61" s="2">
        <v>66</v>
      </c>
    </row>
    <row r="62" spans="9:13" x14ac:dyDescent="0.3">
      <c r="I62" s="5" t="s">
        <v>17</v>
      </c>
      <c r="J62" s="2">
        <v>74</v>
      </c>
    </row>
    <row r="63" spans="9:13" x14ac:dyDescent="0.3">
      <c r="I63" s="5" t="s">
        <v>14</v>
      </c>
      <c r="J63" s="2">
        <v>96</v>
      </c>
    </row>
    <row r="64" spans="9:13" x14ac:dyDescent="0.3">
      <c r="I64" s="5" t="s">
        <v>39</v>
      </c>
      <c r="J64" s="2">
        <v>336</v>
      </c>
    </row>
    <row r="67" spans="9:12" x14ac:dyDescent="0.3">
      <c r="I67" s="5" t="s">
        <v>65</v>
      </c>
    </row>
    <row r="68" spans="9:12" x14ac:dyDescent="0.3">
      <c r="I68" s="4" t="s">
        <v>38</v>
      </c>
      <c r="J68" t="s">
        <v>29</v>
      </c>
      <c r="K68" t="s">
        <v>70</v>
      </c>
      <c r="L68" t="s">
        <v>35</v>
      </c>
    </row>
    <row r="69" spans="9:12" x14ac:dyDescent="0.3">
      <c r="I69" s="5" t="s">
        <v>13</v>
      </c>
      <c r="J69" s="8">
        <v>30381</v>
      </c>
      <c r="K69" t="str" cm="1">
        <f t="array" ref="K69:L73">I69:J73</f>
        <v>Argentina</v>
      </c>
      <c r="L69">
        <v>30381</v>
      </c>
    </row>
    <row r="70" spans="9:12" x14ac:dyDescent="0.3">
      <c r="I70" s="5" t="s">
        <v>19</v>
      </c>
      <c r="J70" s="8">
        <v>63874</v>
      </c>
      <c r="K70" t="str">
        <v>Brazil</v>
      </c>
      <c r="L70">
        <v>63874</v>
      </c>
    </row>
    <row r="71" spans="9:12" x14ac:dyDescent="0.3">
      <c r="I71" s="5" t="s">
        <v>16</v>
      </c>
      <c r="J71" s="8">
        <v>25744</v>
      </c>
      <c r="K71" t="str">
        <v>Colombia</v>
      </c>
      <c r="L71">
        <v>25744</v>
      </c>
    </row>
    <row r="72" spans="9:12" x14ac:dyDescent="0.3">
      <c r="I72" s="5" t="s">
        <v>21</v>
      </c>
      <c r="J72" s="8">
        <v>23719</v>
      </c>
      <c r="K72" t="str">
        <v>Ecuador</v>
      </c>
      <c r="L72">
        <v>23719</v>
      </c>
    </row>
    <row r="73" spans="9:12" x14ac:dyDescent="0.3">
      <c r="I73" s="5" t="s">
        <v>22</v>
      </c>
      <c r="J73" s="8">
        <v>13643</v>
      </c>
      <c r="K73" t="str">
        <v>Peru</v>
      </c>
      <c r="L73">
        <v>13643</v>
      </c>
    </row>
    <row r="74" spans="9:12" x14ac:dyDescent="0.3">
      <c r="I74" s="5" t="s">
        <v>39</v>
      </c>
      <c r="J74" s="8">
        <v>157361</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69CB-2330-43F9-B1DE-555F22A62855}">
  <dimension ref="A1"/>
  <sheetViews>
    <sheetView showGridLines="0" zoomScale="90" zoomScaleNormal="90" workbookViewId="0">
      <selection activeCell="A13" sqref="A13"/>
    </sheetView>
  </sheetViews>
  <sheetFormatPr defaultRowHeight="14.4" x14ac:dyDescent="0.3"/>
  <cols>
    <col min="1" max="16384" width="8.88671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62B85-CBF3-4F4C-9FB6-B6FEFB8A008D}">
  <dimension ref="A1"/>
  <sheetViews>
    <sheetView showGridLines="0" tabSelected="1" zoomScale="90" zoomScaleNormal="90" workbookViewId="0">
      <selection activeCell="S9" sqref="A1:XFD1048576"/>
    </sheetView>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Data</vt:lpstr>
      <vt:lpstr>Analysis</vt:lpstr>
      <vt:lpstr>Dashboard</vt:lpstr>
      <vt:lpstr>Dashboard (2)</vt:lpstr>
      <vt:lpstr>Customers</vt:lpstr>
      <vt:lpstr>HIGHESTREGION</vt:lpstr>
      <vt:lpstr>MAXREGION</vt:lpstr>
      <vt:lpstr>Profit</vt:lpstr>
      <vt:lpstr>Sales</vt:lpstr>
      <vt:lpstr>Target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Emmanuel Kolawole</cp:lastModifiedBy>
  <dcterms:created xsi:type="dcterms:W3CDTF">2025-01-31T08:22:50Z</dcterms:created>
  <dcterms:modified xsi:type="dcterms:W3CDTF">2025-08-09T11:00:45Z</dcterms:modified>
</cp:coreProperties>
</file>